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3056" yWindow="372" windowWidth="15492" windowHeight="11772" tabRatio="871" firstSheet="0" activeTab="1" autoFilterDateGrouping="1"/>
  </bookViews>
  <sheets>
    <sheet xmlns:r="http://schemas.openxmlformats.org/officeDocument/2006/relationships" name="READ ME" sheetId="1" state="visible" r:id="rId1"/>
    <sheet xmlns:r="http://schemas.openxmlformats.org/officeDocument/2006/relationships" name="Analysis" sheetId="2" state="visible" r:id="rId2"/>
  </sheets>
  <externalReferences>
    <externalReference xmlns:r="http://schemas.openxmlformats.org/officeDocument/2006/relationships" r:id="rId3"/>
    <externalReference xmlns:r="http://schemas.openxmlformats.org/officeDocument/2006/relationships" r:id="rId4"/>
  </externalReferences>
  <definedNames>
    <definedName name="LUG">[1]Macro1!$A$1</definedName>
    <definedName name="sencount" hidden="1">1</definedName>
    <definedName name="_xlnm.Print_Area" localSheetId="0">'READ ME'!$A$8:$K$62</definedName>
    <definedName name="_xlnm.Print_Area" localSheetId="1">'Analysis'!$A$8:$K$59</definedName>
  </definedNames>
  <calcPr calcId="171027" fullCalcOnLoad="1"/>
</workbook>
</file>

<file path=xl/styles.xml><?xml version="1.0" encoding="utf-8"?>
<styleSheet xmlns="http://schemas.openxmlformats.org/spreadsheetml/2006/main">
  <numFmts count="4">
    <numFmt numFmtId="164" formatCode="0.0"/>
    <numFmt numFmtId="165" formatCode="0.000"/>
    <numFmt numFmtId="166" formatCode="0.00000"/>
    <numFmt numFmtId="167" formatCode="0.0000"/>
  </numFmts>
  <fonts count="24">
    <font>
      <name val="Arial"/>
      <sz val="10"/>
    </font>
    <font>
      <name val="Calibri"/>
      <family val="2"/>
      <color theme="1"/>
      <sz val="11"/>
      <scheme val="minor"/>
    </font>
    <font>
      <name val="Arial"/>
      <family val="2"/>
      <sz val="10"/>
    </font>
    <font>
      <name val="Calibri"/>
      <family val="2"/>
      <sz val="10"/>
      <scheme val="minor"/>
    </font>
    <font>
      <name val="Calibri"/>
      <family val="2"/>
      <b val="1"/>
      <color rgb="FFFF0000"/>
      <sz val="10"/>
      <scheme val="minor"/>
    </font>
    <font>
      <name val="Calibri"/>
      <family val="2"/>
      <b val="1"/>
      <sz val="10"/>
      <scheme val="minor"/>
    </font>
    <font>
      <name val="Calibri"/>
      <family val="2"/>
      <b val="1"/>
      <color rgb="FF0000FF"/>
      <sz val="10"/>
      <scheme val="minor"/>
    </font>
    <font>
      <name val="Calibri"/>
      <family val="2"/>
      <sz val="12"/>
      <scheme val="minor"/>
    </font>
    <font>
      <name val="Calibri"/>
      <family val="2"/>
      <b val="1"/>
      <sz val="12"/>
      <scheme val="minor"/>
    </font>
    <font>
      <name val="Calibri"/>
      <family val="2"/>
      <b val="1"/>
      <sz val="10"/>
      <u val="single"/>
      <scheme val="minor"/>
    </font>
    <font>
      <name val="Calibri"/>
      <family val="2"/>
      <color theme="10"/>
      <sz val="10"/>
      <u val="single"/>
    </font>
    <font>
      <name val="Calibri"/>
      <family val="2"/>
      <sz val="10"/>
    </font>
    <font>
      <name val="Calibri"/>
      <family val="2"/>
      <b val="1"/>
      <i val="1"/>
      <sz val="10"/>
      <scheme val="minor"/>
    </font>
    <font>
      <name val="Calibri"/>
      <family val="2"/>
      <color theme="1"/>
      <sz val="12"/>
      <scheme val="minor"/>
    </font>
    <font>
      <name val="Calibri"/>
      <family val="2"/>
      <color theme="1"/>
      <sz val="10"/>
      <scheme val="minor"/>
    </font>
    <font>
      <name val="Calibri"/>
      <family val="2"/>
      <b val="1"/>
      <color theme="1"/>
      <sz val="10"/>
      <scheme val="minor"/>
    </font>
    <font>
      <name val="Calibri"/>
      <family val="2"/>
      <i val="1"/>
      <color theme="10"/>
      <sz val="10"/>
      <u val="single"/>
    </font>
    <font>
      <name val="Calibri"/>
      <family val="2"/>
      <color indexed="12"/>
      <sz val="10"/>
      <scheme val="minor"/>
    </font>
    <font>
      <name val="Calibri"/>
      <family val="2"/>
      <color rgb="FF0000FF"/>
      <sz val="10"/>
      <scheme val="minor"/>
    </font>
    <font>
      <name val="Calibri"/>
      <family val="2"/>
      <b val="1"/>
      <color indexed="8"/>
      <sz val="10"/>
      <scheme val="minor"/>
    </font>
    <font>
      <name val="Calibri"/>
      <family val="2"/>
      <sz val="10"/>
      <vertAlign val="subscript"/>
      <scheme val="minor"/>
    </font>
    <font>
      <name val="Arial"/>
      <family val="2"/>
      <color theme="10"/>
      <sz val="10"/>
      <u val="single"/>
    </font>
    <font>
      <name val="Calibri"/>
      <family val="2"/>
      <color theme="10"/>
      <sz val="10"/>
      <u val="single"/>
      <scheme val="minor"/>
    </font>
    <font>
      <name val="Arial"/>
      <color theme="10"/>
      <sz val="10"/>
      <u val="single"/>
    </font>
  </fonts>
  <fills count="3">
    <fill>
      <patternFill/>
    </fill>
    <fill>
      <patternFill patternType="gray125"/>
    </fill>
    <fill>
      <patternFill patternType="solid">
        <fgColor indexed="22"/>
        <bgColor indexed="64"/>
      </patternFill>
    </fill>
  </fills>
  <borders count="15">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9">
    <xf numFmtId="0" fontId="0" fillId="0" borderId="0"/>
    <xf numFmtId="0" fontId="2" fillId="0" borderId="0"/>
    <xf numFmtId="0" fontId="2" fillId="0" borderId="0"/>
    <xf numFmtId="0" fontId="2" fillId="0" borderId="0"/>
    <xf numFmtId="0" fontId="10" fillId="0" borderId="0" applyAlignment="1" applyProtection="1">
      <alignment vertical="top"/>
      <protection locked="0" hidden="0"/>
    </xf>
    <xf numFmtId="0" fontId="1" fillId="0" borderId="0"/>
    <xf numFmtId="0" fontId="11" fillId="0" borderId="0"/>
    <xf numFmtId="0" fontId="21" fillId="0" borderId="0"/>
    <xf numFmtId="0" fontId="23" fillId="0" borderId="0"/>
  </cellStyleXfs>
  <cellXfs count="210">
    <xf numFmtId="0" fontId="0" fillId="0" borderId="0" pivotButton="0" quotePrefix="0" xfId="0"/>
    <xf numFmtId="0" fontId="3" fillId="0" borderId="0" applyProtection="1" pivotButton="0" quotePrefix="0" xfId="2">
      <protection locked="0" hidden="0"/>
    </xf>
    <xf numFmtId="0" fontId="3" fillId="0" borderId="0" applyAlignment="1" applyProtection="1" pivotButton="0" quotePrefix="0" xfId="2">
      <alignment horizontal="right"/>
      <protection locked="0" hidden="0"/>
    </xf>
    <xf numFmtId="0" fontId="4" fillId="0" borderId="0" applyProtection="1" pivotButton="0" quotePrefix="0" xfId="2">
      <protection locked="0" hidden="0"/>
    </xf>
    <xf numFmtId="0" fontId="4" fillId="0" borderId="0" applyAlignment="1" applyProtection="1" pivotButton="0" quotePrefix="0" xfId="2">
      <alignment horizontal="left"/>
      <protection locked="0" hidden="0"/>
    </xf>
    <xf numFmtId="0" fontId="3" fillId="0" borderId="0" pivotButton="0" quotePrefix="0" xfId="2"/>
    <xf numFmtId="0" fontId="3" fillId="0" borderId="2" applyAlignment="1" pivotButton="0" quotePrefix="0" xfId="2">
      <alignment horizontal="center"/>
    </xf>
    <xf numFmtId="0" fontId="3" fillId="0" borderId="0" applyAlignment="1" pivotButton="0" quotePrefix="0" xfId="2">
      <alignment horizontal="right"/>
    </xf>
    <xf numFmtId="0" fontId="5" fillId="0" borderId="0" applyAlignment="1" pivotButton="0" quotePrefix="0" xfId="2">
      <alignment horizontal="left"/>
    </xf>
    <xf numFmtId="0" fontId="3" fillId="0" borderId="1" applyAlignment="1" pivotButton="0" quotePrefix="0" xfId="2">
      <alignment horizontal="center"/>
    </xf>
    <xf numFmtId="14" fontId="4" fillId="0" borderId="0" applyProtection="1" pivotButton="0" quotePrefix="1" xfId="2">
      <protection locked="0" hidden="0"/>
    </xf>
    <xf numFmtId="0" fontId="3" fillId="0" borderId="1" applyAlignment="1" pivotButton="0" quotePrefix="0" xfId="3">
      <alignment horizontal="center"/>
    </xf>
    <xf numFmtId="1" fontId="3" fillId="0" borderId="1" applyAlignment="1" pivotButton="0" quotePrefix="0" xfId="3">
      <alignment horizontal="center"/>
    </xf>
    <xf numFmtId="0" fontId="6" fillId="0" borderId="0" applyAlignment="1" applyProtection="1" pivotButton="0" quotePrefix="0" xfId="2">
      <alignment horizontal="left"/>
      <protection locked="0" hidden="0"/>
    </xf>
    <xf numFmtId="0" fontId="3" fillId="0" borderId="0" pivotButton="0" quotePrefix="0" xfId="3"/>
    <xf numFmtId="0" fontId="5" fillId="0" borderId="0" pivotButton="0" quotePrefix="0" xfId="2"/>
    <xf numFmtId="0" fontId="5" fillId="0" borderId="0" applyAlignment="1" pivotButton="0" quotePrefix="1" xfId="2">
      <alignment vertical="center"/>
    </xf>
    <xf numFmtId="0" fontId="5" fillId="0" borderId="0" applyAlignment="1" pivotButton="0" quotePrefix="0" xfId="2">
      <alignment vertical="center"/>
    </xf>
    <xf numFmtId="0" fontId="3" fillId="0" borderId="0" applyAlignment="1" pivotButton="0" quotePrefix="0" xfId="2">
      <alignment horizontal="center"/>
    </xf>
    <xf numFmtId="0" fontId="5" fillId="0" borderId="0" applyAlignment="1" pivotButton="0" quotePrefix="0" xfId="2">
      <alignment horizontal="right"/>
    </xf>
    <xf numFmtId="0" fontId="7" fillId="0" borderId="0" pivotButton="0" quotePrefix="0" xfId="2"/>
    <xf numFmtId="0" fontId="8" fillId="0" borderId="0" pivotButton="0" quotePrefix="0" xfId="2"/>
    <xf numFmtId="0" fontId="9" fillId="0" borderId="0" pivotButton="0" quotePrefix="0" xfId="2"/>
    <xf numFmtId="0" fontId="3" fillId="0" borderId="0" pivotButton="0" quotePrefix="0" xfId="2"/>
    <xf numFmtId="0" fontId="9" fillId="0" borderId="0" pivotButton="0" quotePrefix="0" xfId="2"/>
    <xf numFmtId="0" fontId="7" fillId="0" borderId="0" pivotButton="0" quotePrefix="0" xfId="1"/>
    <xf numFmtId="0" fontId="3" fillId="0" borderId="0" pivotButton="0" quotePrefix="0" xfId="1"/>
    <xf numFmtId="0" fontId="3" fillId="0" borderId="1" applyAlignment="1" pivotButton="0" quotePrefix="0" xfId="1">
      <alignment horizontal="center"/>
    </xf>
    <xf numFmtId="0" fontId="3" fillId="0" borderId="0" pivotButton="0" quotePrefix="0" xfId="0"/>
    <xf numFmtId="0" fontId="3" fillId="0" borderId="0" applyAlignment="1" pivotButton="0" quotePrefix="0" xfId="1">
      <alignment horizontal="center"/>
    </xf>
    <xf numFmtId="0" fontId="3" fillId="0" borderId="0" pivotButton="0" quotePrefix="0" xfId="0"/>
    <xf numFmtId="0" fontId="3" fillId="0" borderId="3" applyAlignment="1" pivotButton="0" quotePrefix="0" xfId="2">
      <alignment horizontal="center"/>
    </xf>
    <xf numFmtId="0" fontId="3" fillId="0" borderId="2" pivotButton="0" quotePrefix="0" xfId="2"/>
    <xf numFmtId="0" fontId="3" fillId="0" borderId="4" applyAlignment="1" pivotButton="0" quotePrefix="0" xfId="2">
      <alignment horizontal="center"/>
    </xf>
    <xf numFmtId="0" fontId="3" fillId="0" borderId="1" pivotButton="0" quotePrefix="0" xfId="2"/>
    <xf numFmtId="1" fontId="3" fillId="0" borderId="4" applyAlignment="1" pivotButton="0" quotePrefix="0" xfId="3">
      <alignment horizontal="center"/>
    </xf>
    <xf numFmtId="0" fontId="3" fillId="0" borderId="1" pivotButton="0" quotePrefix="0" xfId="0"/>
    <xf numFmtId="0" fontId="3" fillId="0" borderId="1" applyAlignment="1" pivotButton="0" quotePrefix="0" xfId="0">
      <alignment horizontal="center"/>
    </xf>
    <xf numFmtId="0" fontId="3" fillId="0" borderId="5" pivotButton="0" quotePrefix="0" xfId="0"/>
    <xf numFmtId="164" fontId="3" fillId="0" borderId="0" applyAlignment="1" pivotButton="0" quotePrefix="0" xfId="2">
      <alignment horizontal="center"/>
    </xf>
    <xf numFmtId="2" fontId="3" fillId="0" borderId="0" applyAlignment="1" pivotButton="0" quotePrefix="0" xfId="2">
      <alignment horizontal="center"/>
    </xf>
    <xf numFmtId="0" fontId="5" fillId="0" borderId="0" applyAlignment="1" pivotButton="0" quotePrefix="0" xfId="2">
      <alignment horizontal="center"/>
    </xf>
    <xf numFmtId="0" fontId="3" fillId="0" borderId="0" pivotButton="0" quotePrefix="0" xfId="2"/>
    <xf numFmtId="165" fontId="3" fillId="0" borderId="0" applyAlignment="1" pivotButton="0" quotePrefix="0" xfId="2">
      <alignment horizontal="center"/>
    </xf>
    <xf numFmtId="1" fontId="3" fillId="0" borderId="0" applyAlignment="1" pivotButton="0" quotePrefix="0" xfId="2">
      <alignment horizontal="center"/>
    </xf>
    <xf numFmtId="164" fontId="3" fillId="0" borderId="0" applyAlignment="1" pivotButton="0" quotePrefix="0" xfId="6">
      <alignment horizontal="center"/>
    </xf>
    <xf numFmtId="0" fontId="10" fillId="0" borderId="0" applyAlignment="1" pivotButton="0" quotePrefix="0" xfId="4">
      <alignment horizontal="center"/>
    </xf>
    <xf numFmtId="0" fontId="3" fillId="0" borderId="0" applyProtection="1" pivotButton="0" quotePrefix="0" xfId="0">
      <protection locked="0" hidden="0"/>
    </xf>
    <xf numFmtId="1" fontId="5" fillId="0" borderId="0" applyAlignment="1" applyProtection="1" pivotButton="0" quotePrefix="0" xfId="0">
      <alignment horizontal="right"/>
      <protection locked="0" hidden="0"/>
    </xf>
    <xf numFmtId="0" fontId="5" fillId="0" borderId="0" applyAlignment="1" pivotButton="0" quotePrefix="0" xfId="0">
      <alignment horizontal="center"/>
    </xf>
    <xf numFmtId="0" fontId="5" fillId="0" borderId="0" applyProtection="1" pivotButton="0" quotePrefix="0" xfId="0">
      <protection locked="0" hidden="0"/>
    </xf>
    <xf numFmtId="0" fontId="12" fillId="0" borderId="0" applyAlignment="1" pivotButton="0" quotePrefix="0" xfId="0">
      <alignment horizontal="center"/>
    </xf>
    <xf numFmtId="0" fontId="3" fillId="0" borderId="0" applyAlignment="1" pivotButton="0" quotePrefix="0" xfId="2">
      <alignment horizontal="center"/>
    </xf>
    <xf numFmtId="0" fontId="3" fillId="0" borderId="0" pivotButton="0" quotePrefix="0" xfId="2"/>
    <xf numFmtId="0" fontId="3" fillId="0" borderId="0" applyAlignment="1" pivotButton="0" quotePrefix="0" xfId="2">
      <alignment horizontal="right"/>
    </xf>
    <xf numFmtId="0" fontId="5" fillId="0" borderId="0" applyAlignment="1" pivotButton="0" quotePrefix="0" xfId="2">
      <alignment horizontal="left"/>
    </xf>
    <xf numFmtId="0" fontId="3" fillId="0" borderId="0" applyAlignment="1" pivotButton="0" quotePrefix="0" xfId="3">
      <alignment horizontal="center"/>
    </xf>
    <xf numFmtId="1" fontId="3" fillId="0" borderId="0" applyAlignment="1" pivotButton="0" quotePrefix="0" xfId="3">
      <alignment horizontal="center"/>
    </xf>
    <xf numFmtId="0" fontId="7" fillId="0" borderId="0" applyAlignment="1" pivotButton="0" quotePrefix="0" xfId="2">
      <alignment horizontal="center"/>
    </xf>
    <xf numFmtId="0" fontId="7" fillId="0" borderId="0" pivotButton="0" quotePrefix="0" xfId="2"/>
    <xf numFmtId="164" fontId="3" fillId="0" borderId="0" applyAlignment="1" pivotButton="0" quotePrefix="0" xfId="3">
      <alignment horizontal="center"/>
    </xf>
    <xf numFmtId="0" fontId="13" fillId="0" borderId="0" pivotButton="0" quotePrefix="0" xfId="2"/>
    <xf numFmtId="0" fontId="14" fillId="0" borderId="0" applyProtection="1" pivotButton="0" quotePrefix="0" xfId="0">
      <protection locked="0" hidden="0"/>
    </xf>
    <xf numFmtId="0" fontId="15" fillId="0" borderId="0" applyAlignment="1" applyProtection="1" pivotButton="0" quotePrefix="0" xfId="0">
      <alignment horizontal="center"/>
      <protection locked="0" hidden="0"/>
    </xf>
    <xf numFmtId="0" fontId="14" fillId="0" borderId="0" pivotButton="0" quotePrefix="0" xfId="2"/>
    <xf numFmtId="0" fontId="14" fillId="0" borderId="0" pivotButton="0" quotePrefix="0" xfId="1"/>
    <xf numFmtId="0" fontId="14" fillId="0" borderId="0" applyAlignment="1" pivotButton="0" quotePrefix="0" xfId="2">
      <alignment horizontal="right"/>
    </xf>
    <xf numFmtId="0" fontId="14" fillId="0" borderId="0" applyAlignment="1" pivotButton="0" quotePrefix="0" xfId="2">
      <alignment horizontal="left"/>
    </xf>
    <xf numFmtId="0" fontId="16" fillId="0" borderId="0" applyAlignment="1" applyProtection="1" pivotButton="0" quotePrefix="0" xfId="4">
      <alignment horizontal="center"/>
      <protection locked="0" hidden="0"/>
    </xf>
    <xf numFmtId="166" fontId="3" fillId="0" borderId="0" applyAlignment="1" pivotButton="0" quotePrefix="0" xfId="2">
      <alignment horizontal="center"/>
    </xf>
    <xf numFmtId="0" fontId="3" fillId="0" borderId="0" pivotButton="0" quotePrefix="0" xfId="1"/>
    <xf numFmtId="0" fontId="3" fillId="0" borderId="0" applyAlignment="1" applyProtection="1" pivotButton="0" quotePrefix="0" xfId="0">
      <alignment horizontal="right" vertical="center"/>
      <protection locked="0" hidden="0"/>
    </xf>
    <xf numFmtId="165" fontId="17" fillId="0" borderId="0" applyAlignment="1" applyProtection="1" pivotButton="0" quotePrefix="0" xfId="0">
      <alignment horizontal="right" vertical="center"/>
      <protection locked="0" hidden="0"/>
    </xf>
    <xf numFmtId="0" fontId="3" fillId="0" borderId="0" applyAlignment="1" applyProtection="1" pivotButton="0" quotePrefix="0" xfId="0">
      <alignment horizontal="left" vertical="center"/>
      <protection locked="0" hidden="0"/>
    </xf>
    <xf numFmtId="2" fontId="3" fillId="0" borderId="0" applyAlignment="1" applyProtection="1" pivotButton="0" quotePrefix="0" xfId="0">
      <alignment horizontal="right" vertical="center"/>
      <protection locked="0" hidden="0"/>
    </xf>
    <xf numFmtId="0" fontId="3" fillId="0" borderId="0" applyAlignment="1" applyProtection="1" pivotButton="0" quotePrefix="0" xfId="0">
      <alignment horizontal="left" vertical="center"/>
      <protection locked="0" hidden="0"/>
    </xf>
    <xf numFmtId="0" fontId="5" fillId="0" borderId="0" applyAlignment="1" applyProtection="1" pivotButton="0" quotePrefix="0" xfId="0">
      <alignment horizontal="right"/>
      <protection locked="0" hidden="0"/>
    </xf>
    <xf numFmtId="0" fontId="5" fillId="0" borderId="0" applyProtection="1" pivotButton="0" quotePrefix="0" xfId="0">
      <protection locked="0" hidden="0"/>
    </xf>
    <xf numFmtId="0" fontId="3" fillId="0" borderId="0" applyProtection="1" pivotButton="0" quotePrefix="0" xfId="0">
      <protection locked="0" hidden="0"/>
    </xf>
    <xf numFmtId="0" fontId="5" fillId="0" borderId="2" pivotButton="0" quotePrefix="0" xfId="0"/>
    <xf numFmtId="0" fontId="5" fillId="0" borderId="6" applyAlignment="1" pivotButton="0" quotePrefix="0" xfId="0">
      <alignment horizontal="center"/>
    </xf>
    <xf numFmtId="0" fontId="5" fillId="0" borderId="7" applyAlignment="1" pivotButton="0" quotePrefix="0" xfId="0">
      <alignment horizontal="center"/>
    </xf>
    <xf numFmtId="0" fontId="5" fillId="0" borderId="9" applyAlignment="1" pivotButton="0" quotePrefix="0" xfId="0">
      <alignment horizontal="center"/>
    </xf>
    <xf numFmtId="0" fontId="3" fillId="0" borderId="0" applyAlignment="1" pivotButton="0" quotePrefix="0" xfId="0">
      <alignment horizontal="center"/>
    </xf>
    <xf numFmtId="2" fontId="3" fillId="0" borderId="0" applyAlignment="1" pivotButton="0" quotePrefix="0" xfId="0">
      <alignment horizontal="center"/>
    </xf>
    <xf numFmtId="2" fontId="3" fillId="0" borderId="0" applyAlignment="1" applyProtection="1" pivotButton="0" quotePrefix="0" xfId="0">
      <alignment horizontal="left" vertical="center"/>
      <protection locked="0" hidden="0"/>
    </xf>
    <xf numFmtId="0" fontId="3" fillId="0" borderId="1" applyAlignment="1" pivotButton="0" quotePrefix="0" xfId="0">
      <alignment horizontal="center"/>
    </xf>
    <xf numFmtId="0" fontId="3" fillId="0" borderId="2" applyAlignment="1" pivotButton="0" quotePrefix="0" xfId="0">
      <alignment horizontal="center"/>
    </xf>
    <xf numFmtId="0" fontId="3" fillId="0" borderId="0" applyProtection="1" pivotButton="0" quotePrefix="0" xfId="0">
      <protection locked="0" hidden="0"/>
    </xf>
    <xf numFmtId="0" fontId="3" fillId="0" borderId="9" applyAlignment="1" pivotButton="0" quotePrefix="0" xfId="0">
      <alignment horizontal="center"/>
    </xf>
    <xf numFmtId="0" fontId="3" fillId="0" borderId="0" applyAlignment="1" applyProtection="1" pivotButton="0" quotePrefix="0" xfId="0">
      <alignment horizontal="right"/>
      <protection locked="0" hidden="0"/>
    </xf>
    <xf numFmtId="0" fontId="18" fillId="0" borderId="0" applyProtection="1" pivotButton="0" quotePrefix="0" xfId="0">
      <protection locked="0" hidden="0"/>
    </xf>
    <xf numFmtId="2" fontId="3" fillId="0" borderId="0" applyAlignment="1" pivotButton="0" quotePrefix="0" xfId="0">
      <alignment horizontal="center"/>
    </xf>
    <xf numFmtId="2" fontId="3" fillId="0" borderId="0" pivotButton="0" quotePrefix="0" xfId="0"/>
    <xf numFmtId="0" fontId="3" fillId="0" borderId="0" applyAlignment="1" applyProtection="1" pivotButton="0" quotePrefix="0" xfId="0">
      <alignment horizontal="left" vertical="center"/>
      <protection locked="0" hidden="0"/>
    </xf>
    <xf numFmtId="0" fontId="19" fillId="0" borderId="0" applyAlignment="1" pivotButton="0" quotePrefix="0" xfId="0">
      <alignment horizontal="left"/>
    </xf>
    <xf numFmtId="0" fontId="3" fillId="2" borderId="0" pivotButton="0" quotePrefix="0" xfId="0"/>
    <xf numFmtId="0" fontId="3" fillId="2" borderId="0" applyAlignment="1" pivotButton="0" quotePrefix="0" xfId="0">
      <alignment horizontal="center"/>
    </xf>
    <xf numFmtId="0" fontId="5" fillId="0" borderId="3" applyAlignment="1" pivotButton="0" quotePrefix="0" xfId="0">
      <alignment horizontal="center"/>
    </xf>
    <xf numFmtId="0" fontId="5" fillId="2" borderId="10" applyAlignment="1" pivotButton="0" quotePrefix="0" xfId="0">
      <alignment horizontal="center"/>
    </xf>
    <xf numFmtId="0" fontId="5" fillId="2" borderId="8" applyAlignment="1" pivotButton="0" quotePrefix="0" xfId="0">
      <alignment horizontal="center"/>
    </xf>
    <xf numFmtId="0" fontId="5" fillId="0" borderId="4" applyAlignment="1" pivotButton="0" quotePrefix="0" xfId="0">
      <alignment horizontal="center"/>
    </xf>
    <xf numFmtId="0" fontId="3" fillId="2" borderId="0" applyAlignment="1" pivotButton="0" quotePrefix="0" xfId="0">
      <alignment horizontal="center"/>
    </xf>
    <xf numFmtId="2" fontId="3" fillId="2" borderId="5" applyAlignment="1" pivotButton="0" quotePrefix="0" xfId="0">
      <alignment horizontal="center"/>
    </xf>
    <xf numFmtId="2" fontId="3" fillId="2" borderId="0" applyAlignment="1" pivotButton="0" quotePrefix="0" xfId="0">
      <alignment horizontal="center"/>
    </xf>
    <xf numFmtId="0" fontId="3" fillId="2" borderId="5" applyAlignment="1" pivotButton="0" quotePrefix="0" xfId="0">
      <alignment horizontal="center"/>
    </xf>
    <xf numFmtId="0" fontId="3" fillId="0" borderId="11" applyAlignment="1" pivotButton="0" quotePrefix="0" xfId="0">
      <alignment horizontal="center"/>
    </xf>
    <xf numFmtId="2" fontId="3" fillId="2" borderId="12" applyAlignment="1" pivotButton="0" quotePrefix="0" xfId="0">
      <alignment horizontal="center"/>
    </xf>
    <xf numFmtId="2" fontId="3" fillId="2" borderId="13" applyAlignment="1" pivotButton="0" quotePrefix="0" xfId="0">
      <alignment horizontal="center"/>
    </xf>
    <xf numFmtId="0" fontId="3" fillId="0" borderId="0" pivotButton="0" quotePrefix="0" xfId="0"/>
    <xf numFmtId="0" fontId="3" fillId="0" borderId="0" applyAlignment="1" applyProtection="1" pivotButton="0" quotePrefix="0" xfId="0">
      <alignment vertical="center"/>
      <protection locked="0" hidden="0"/>
    </xf>
    <xf numFmtId="0" fontId="18" fillId="0" borderId="0" pivotButton="0" quotePrefix="0" xfId="0"/>
    <xf numFmtId="0" fontId="3" fillId="0" borderId="0" applyAlignment="1" pivotButton="0" quotePrefix="0" xfId="1">
      <alignment horizontal="right"/>
    </xf>
    <xf numFmtId="167" fontId="3" fillId="0" borderId="0" pivotButton="0" quotePrefix="0" xfId="1"/>
    <xf numFmtId="2" fontId="3" fillId="0" borderId="0" applyAlignment="1" pivotButton="0" quotePrefix="0" xfId="2">
      <alignment horizontal="left"/>
    </xf>
    <xf numFmtId="0" fontId="3" fillId="0" borderId="0" applyAlignment="1" pivotButton="0" quotePrefix="0" xfId="0">
      <alignment horizontal="right"/>
    </xf>
    <xf numFmtId="2" fontId="5" fillId="0" borderId="0" applyAlignment="1" pivotButton="0" quotePrefix="0" xfId="2">
      <alignment horizontal="center"/>
    </xf>
    <xf numFmtId="0" fontId="2"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xf>
    <xf numFmtId="0" fontId="0" fillId="2" borderId="0" applyAlignment="1" pivotButton="0" quotePrefix="0" xfId="0">
      <alignment horizontal="center"/>
    </xf>
    <xf numFmtId="2" fontId="2" fillId="0" borderId="0" applyAlignment="1" pivotButton="0" quotePrefix="0" xfId="0">
      <alignment horizontal="center"/>
    </xf>
    <xf numFmtId="0" fontId="2" fillId="0" borderId="0" applyAlignment="1" pivotButton="0" quotePrefix="0" xfId="0">
      <alignment horizontal="center"/>
    </xf>
    <xf numFmtId="0" fontId="2" fillId="2" borderId="0" applyAlignment="1" pivotButton="0" quotePrefix="0" xfId="0">
      <alignment horizontal="center"/>
    </xf>
    <xf numFmtId="0" fontId="0" fillId="2" borderId="9" applyAlignment="1" pivotButton="0" quotePrefix="0" xfId="0">
      <alignment horizontal="center"/>
    </xf>
    <xf numFmtId="0" fontId="0" fillId="2" borderId="1" applyAlignment="1" pivotButton="0" quotePrefix="0" xfId="0">
      <alignment horizontal="center"/>
    </xf>
    <xf numFmtId="0" fontId="0" fillId="2" borderId="1" applyAlignment="1" pivotButton="0" quotePrefix="0" xfId="0">
      <alignment horizontal="center"/>
    </xf>
    <xf numFmtId="0" fontId="2" fillId="0" borderId="1" applyAlignment="1" pivotButton="0" quotePrefix="0" xfId="0">
      <alignment horizontal="center"/>
    </xf>
    <xf numFmtId="0" fontId="0" fillId="2" borderId="2" applyAlignment="1" pivotButton="0" quotePrefix="0" xfId="0">
      <alignment horizontal="center"/>
    </xf>
    <xf numFmtId="0" fontId="2" fillId="2" borderId="6" applyAlignment="1" pivotButton="0" quotePrefix="0" xfId="0">
      <alignment horizontal="center"/>
    </xf>
    <xf numFmtId="0" fontId="3" fillId="0" borderId="9" applyAlignment="1" pivotButton="0" quotePrefix="0" xfId="0">
      <alignment horizontal="center"/>
    </xf>
    <xf numFmtId="0" fontId="3" fillId="0" borderId="12" applyAlignment="1" pivotButton="0" quotePrefix="0" xfId="0">
      <alignment horizontal="center"/>
    </xf>
    <xf numFmtId="0" fontId="0" fillId="0" borderId="11" applyAlignment="1" pivotButton="0" quotePrefix="0" xfId="0">
      <alignment horizontal="center"/>
    </xf>
    <xf numFmtId="0" fontId="0" fillId="0" borderId="9" applyAlignment="1" pivotButton="0" quotePrefix="0" xfId="0">
      <alignment horizontal="center"/>
    </xf>
    <xf numFmtId="0" fontId="3" fillId="0" borderId="4" applyAlignment="1" pivotButton="0" quotePrefix="0" xfId="0">
      <alignment horizontal="center"/>
    </xf>
    <xf numFmtId="0" fontId="2" fillId="0" borderId="4" applyAlignment="1" pivotButton="0" quotePrefix="0" xfId="0">
      <alignment horizontal="center"/>
    </xf>
    <xf numFmtId="0" fontId="2" fillId="0" borderId="1" applyAlignment="1" pivotButton="0" quotePrefix="0" xfId="0">
      <alignment horizontal="center"/>
    </xf>
    <xf numFmtId="0" fontId="0" fillId="0" borderId="1" applyAlignment="1" pivotButton="0" quotePrefix="0" xfId="0">
      <alignment horizontal="center"/>
    </xf>
    <xf numFmtId="0" fontId="3" fillId="0" borderId="0" applyAlignment="1" pivotButton="0" quotePrefix="0" xfId="0">
      <alignment horizontal="center"/>
    </xf>
    <xf numFmtId="0" fontId="3" fillId="0" borderId="4" applyAlignment="1" pivotButton="0" quotePrefix="0" xfId="0">
      <alignment horizontal="center"/>
    </xf>
    <xf numFmtId="0" fontId="0" fillId="0" borderId="4" applyAlignment="1" pivotButton="0" quotePrefix="0" xfId="0">
      <alignment horizontal="center"/>
    </xf>
    <xf numFmtId="0" fontId="0" fillId="0" borderId="1" applyAlignment="1" pivotButton="0" quotePrefix="0" xfId="0">
      <alignment horizontal="center"/>
    </xf>
    <xf numFmtId="0" fontId="6" fillId="0" borderId="0" applyAlignment="1" pivotButton="0" quotePrefix="0" xfId="0">
      <alignment horizontal="left"/>
    </xf>
    <xf numFmtId="0" fontId="0" fillId="0" borderId="2" applyAlignment="1" pivotButton="0" quotePrefix="0" xfId="0">
      <alignment horizontal="center"/>
    </xf>
    <xf numFmtId="0" fontId="3" fillId="0" borderId="10" applyAlignment="1" pivotButton="0" quotePrefix="0" xfId="0">
      <alignment horizontal="center"/>
    </xf>
    <xf numFmtId="0" fontId="0" fillId="0" borderId="3" applyAlignment="1" pivotButton="0" quotePrefix="0" xfId="0">
      <alignment horizontal="center"/>
    </xf>
    <xf numFmtId="0" fontId="5" fillId="0" borderId="0" applyAlignment="1" pivotButton="0" quotePrefix="0" xfId="0">
      <alignment horizontal="center"/>
    </xf>
    <xf numFmtId="0" fontId="5" fillId="0" borderId="1" applyAlignment="1" pivotButton="0" quotePrefix="0" xfId="0">
      <alignment horizontal="center"/>
    </xf>
    <xf numFmtId="0" fontId="5" fillId="0" borderId="4" applyAlignment="1" pivotButton="0" quotePrefix="0" xfId="0">
      <alignment horizontal="center"/>
    </xf>
    <xf numFmtId="0" fontId="5" fillId="0" borderId="11" applyAlignment="1" pivotButton="0" quotePrefix="0" xfId="0">
      <alignment horizontal="center"/>
    </xf>
    <xf numFmtId="0" fontId="5" fillId="0" borderId="14" applyAlignment="1" pivotButton="0" quotePrefix="0" xfId="0">
      <alignment horizontal="center"/>
    </xf>
    <xf numFmtId="0" fontId="3" fillId="0" borderId="0" applyProtection="1" pivotButton="0" quotePrefix="0" xfId="0">
      <protection locked="0" hidden="0"/>
    </xf>
    <xf numFmtId="0" fontId="3" fillId="2" borderId="9" applyAlignment="1" pivotButton="0" quotePrefix="0" xfId="0">
      <alignment horizontal="center"/>
    </xf>
    <xf numFmtId="0" fontId="3" fillId="2" borderId="1" applyAlignment="1" pivotButton="0" quotePrefix="0" xfId="0">
      <alignment horizontal="center"/>
    </xf>
    <xf numFmtId="0" fontId="3" fillId="2" borderId="2" applyAlignment="1" pivotButton="0" quotePrefix="0" xfId="0">
      <alignment horizontal="center"/>
    </xf>
    <xf numFmtId="165" fontId="3" fillId="0" borderId="9" applyAlignment="1" pivotButton="0" quotePrefix="0" xfId="0">
      <alignment horizontal="center"/>
    </xf>
    <xf numFmtId="165" fontId="3" fillId="0" borderId="13" applyAlignment="1" pivotButton="0" quotePrefix="0" xfId="0">
      <alignment horizontal="center"/>
    </xf>
    <xf numFmtId="165" fontId="3" fillId="0" borderId="9" applyAlignment="1" pivotButton="0" quotePrefix="0" xfId="0">
      <alignment horizontal="center"/>
    </xf>
    <xf numFmtId="165" fontId="3" fillId="0" borderId="11" applyAlignment="1" pivotButton="0" quotePrefix="0" xfId="0">
      <alignment horizontal="center"/>
    </xf>
    <xf numFmtId="165" fontId="3" fillId="2" borderId="9" applyAlignment="1" pivotButton="0" quotePrefix="0" xfId="0">
      <alignment horizontal="center"/>
    </xf>
    <xf numFmtId="165" fontId="3" fillId="0" borderId="1" applyAlignment="1" pivotButton="0" quotePrefix="0" xfId="0">
      <alignment horizontal="center"/>
    </xf>
    <xf numFmtId="165" fontId="3" fillId="0" borderId="5" applyAlignment="1" pivotButton="0" quotePrefix="0" xfId="0">
      <alignment horizontal="center"/>
    </xf>
    <xf numFmtId="165" fontId="3" fillId="0" borderId="1" applyAlignment="1" pivotButton="0" quotePrefix="0" xfId="0">
      <alignment horizontal="center"/>
    </xf>
    <xf numFmtId="165" fontId="3" fillId="0" borderId="4" applyAlignment="1" pivotButton="0" quotePrefix="0" xfId="0">
      <alignment horizontal="center"/>
    </xf>
    <xf numFmtId="165" fontId="3" fillId="0" borderId="5" applyAlignment="1" pivotButton="0" quotePrefix="0" xfId="0">
      <alignment horizontal="center"/>
    </xf>
    <xf numFmtId="165" fontId="3" fillId="2" borderId="1" applyAlignment="1" pivotButton="0" quotePrefix="0" xfId="0">
      <alignment horizontal="center"/>
    </xf>
    <xf numFmtId="165" fontId="3" fillId="2" borderId="4" applyAlignment="1" pivotButton="0" quotePrefix="0" xfId="0">
      <alignment horizontal="center"/>
    </xf>
    <xf numFmtId="165" fontId="3" fillId="0" borderId="0" pivotButton="0" quotePrefix="0" xfId="0"/>
    <xf numFmtId="165" fontId="3" fillId="0" borderId="4" applyAlignment="1" pivotButton="0" quotePrefix="0" xfId="0">
      <alignment horizontal="center"/>
    </xf>
    <xf numFmtId="0" fontId="3" fillId="0" borderId="2" pivotButton="0" quotePrefix="0" xfId="0"/>
    <xf numFmtId="165" fontId="3" fillId="0" borderId="2" applyAlignment="1" pivotButton="0" quotePrefix="0" xfId="0">
      <alignment horizontal="center"/>
    </xf>
    <xf numFmtId="165" fontId="3" fillId="2" borderId="2" applyAlignment="1" pivotButton="0" quotePrefix="0" xfId="0">
      <alignment horizontal="center"/>
    </xf>
    <xf numFmtId="165" fontId="3" fillId="0" borderId="3" applyAlignment="1" pivotButton="0" quotePrefix="0" xfId="0">
      <alignment horizontal="center"/>
    </xf>
    <xf numFmtId="165" fontId="3" fillId="2" borderId="3" applyAlignment="1" pivotButton="0" quotePrefix="0" xfId="0">
      <alignment horizontal="center"/>
    </xf>
    <xf numFmtId="165" fontId="3" fillId="0" borderId="0" applyAlignment="1" applyProtection="1" pivotButton="0" quotePrefix="0" xfId="0">
      <alignment horizontal="right" vertical="center"/>
      <protection locked="0" hidden="0"/>
    </xf>
    <xf numFmtId="0" fontId="5" fillId="0" borderId="0" pivotButton="0" quotePrefix="0" xfId="0"/>
    <xf numFmtId="165" fontId="14" fillId="0" borderId="0" pivotButton="0" quotePrefix="0" xfId="0"/>
    <xf numFmtId="165" fontId="3" fillId="0" borderId="0" applyAlignment="1" pivotButton="0" quotePrefix="0" xfId="1">
      <alignment horizontal="left"/>
    </xf>
    <xf numFmtId="0" fontId="5" fillId="0" borderId="0" pivotButton="0" quotePrefix="0" xfId="1"/>
    <xf numFmtId="1" fontId="5" fillId="0" borderId="0" applyAlignment="1" pivotButton="0" quotePrefix="0" xfId="2">
      <alignment horizontal="right"/>
    </xf>
    <xf numFmtId="0" fontId="3" fillId="0" borderId="0" applyAlignment="1" pivotButton="0" quotePrefix="0" xfId="2">
      <alignment horizontal="left" vertical="top" wrapText="1"/>
    </xf>
    <xf numFmtId="0" fontId="10" fillId="0" borderId="0" applyAlignment="1" pivotButton="0" quotePrefix="0" xfId="4">
      <alignment horizontal="center"/>
    </xf>
    <xf numFmtId="0" fontId="22" fillId="0" borderId="0" pivotButton="0" quotePrefix="0" xfId="7"/>
    <xf numFmtId="0" fontId="22" fillId="0" borderId="0" applyAlignment="1" pivotButton="0" quotePrefix="0" xfId="8">
      <alignment horizontal="center"/>
    </xf>
    <xf numFmtId="0" fontId="23" fillId="0" borderId="0" applyAlignment="1" pivotButton="0" quotePrefix="0" xfId="8">
      <alignment horizontal="center"/>
    </xf>
    <xf numFmtId="0" fontId="3" fillId="0" borderId="0" applyAlignment="1" pivotButton="0" quotePrefix="0" xfId="2">
      <alignment horizontal="left" vertical="top" wrapText="1"/>
    </xf>
    <xf numFmtId="0" fontId="3" fillId="0" borderId="0" applyAlignment="1" pivotButton="0" quotePrefix="0" xfId="2">
      <alignment horizontal="left" wrapText="1"/>
    </xf>
    <xf numFmtId="0" fontId="10" fillId="0" borderId="0" applyAlignment="1" pivotButton="0" quotePrefix="0" xfId="4">
      <alignment horizontal="center"/>
    </xf>
    <xf numFmtId="164" fontId="3" fillId="0" borderId="0" applyAlignment="1" pivotButton="0" quotePrefix="0" xfId="3">
      <alignment horizontal="center"/>
    </xf>
    <xf numFmtId="164" fontId="3" fillId="0" borderId="0" applyAlignment="1" pivotButton="0" quotePrefix="0" xfId="2">
      <alignment horizontal="center"/>
    </xf>
    <xf numFmtId="165" fontId="17" fillId="0" borderId="0" applyAlignment="1" applyProtection="1" pivotButton="0" quotePrefix="0" xfId="0">
      <alignment horizontal="right" vertical="center"/>
      <protection locked="0" hidden="0"/>
    </xf>
    <xf numFmtId="165" fontId="3" fillId="2" borderId="2" applyAlignment="1" pivotButton="0" quotePrefix="0" xfId="0">
      <alignment horizontal="center"/>
    </xf>
    <xf numFmtId="165" fontId="3" fillId="2" borderId="3" applyAlignment="1" pivotButton="0" quotePrefix="0" xfId="0">
      <alignment horizontal="center"/>
    </xf>
    <xf numFmtId="165" fontId="3" fillId="0" borderId="3" applyAlignment="1" pivotButton="0" quotePrefix="0" xfId="0">
      <alignment horizontal="center"/>
    </xf>
    <xf numFmtId="165" fontId="3" fillId="0" borderId="2" applyAlignment="1" pivotButton="0" quotePrefix="0" xfId="0">
      <alignment horizontal="center"/>
    </xf>
    <xf numFmtId="165" fontId="3" fillId="0" borderId="1" applyAlignment="1" pivotButton="0" quotePrefix="0" xfId="0">
      <alignment horizontal="center"/>
    </xf>
    <xf numFmtId="165" fontId="3" fillId="0" borderId="4" applyAlignment="1" pivotButton="0" quotePrefix="0" xfId="0">
      <alignment horizontal="center"/>
    </xf>
    <xf numFmtId="165" fontId="3" fillId="2" borderId="1" applyAlignment="1" pivotButton="0" quotePrefix="0" xfId="0">
      <alignment horizontal="center"/>
    </xf>
    <xf numFmtId="165" fontId="3" fillId="2" borderId="4" applyAlignment="1" pivotButton="0" quotePrefix="0" xfId="0">
      <alignment horizontal="center"/>
    </xf>
    <xf numFmtId="165" fontId="3" fillId="0" borderId="5" applyAlignment="1" pivotButton="0" quotePrefix="0" xfId="0">
      <alignment horizontal="center"/>
    </xf>
    <xf numFmtId="165" fontId="14" fillId="0" borderId="0" pivotButton="0" quotePrefix="0" xfId="0"/>
    <xf numFmtId="165" fontId="3" fillId="2" borderId="9" applyAlignment="1" pivotButton="0" quotePrefix="0" xfId="0">
      <alignment horizontal="center"/>
    </xf>
    <xf numFmtId="165" fontId="3" fillId="0" borderId="11" applyAlignment="1" pivotButton="0" quotePrefix="0" xfId="0">
      <alignment horizontal="center"/>
    </xf>
    <xf numFmtId="165" fontId="3" fillId="0" borderId="9" applyAlignment="1" pivotButton="0" quotePrefix="0" xfId="0">
      <alignment horizontal="center"/>
    </xf>
    <xf numFmtId="165" fontId="3" fillId="0" borderId="13" applyAlignment="1" pivotButton="0" quotePrefix="0" xfId="0">
      <alignment horizontal="center"/>
    </xf>
    <xf numFmtId="165" fontId="3" fillId="0" borderId="0" applyAlignment="1" pivotButton="0" quotePrefix="0" xfId="2">
      <alignment horizontal="center"/>
    </xf>
    <xf numFmtId="165" fontId="3" fillId="0" borderId="0" pivotButton="0" quotePrefix="0" xfId="0"/>
    <xf numFmtId="165" fontId="3" fillId="0" borderId="0" applyAlignment="1" applyProtection="1" pivotButton="0" quotePrefix="0" xfId="0">
      <alignment horizontal="right" vertical="center"/>
      <protection locked="0" hidden="0"/>
    </xf>
    <xf numFmtId="165" fontId="3" fillId="0" borderId="0" applyAlignment="1" pivotButton="0" quotePrefix="0" xfId="1">
      <alignment horizontal="left"/>
    </xf>
    <xf numFmtId="164" fontId="3" fillId="0" borderId="0" applyAlignment="1" pivotButton="0" quotePrefix="0" xfId="6">
      <alignment horizontal="center"/>
    </xf>
  </cellXfs>
  <cellStyles count="9">
    <cellStyle name="Normal" xfId="0" builtinId="0"/>
    <cellStyle name="Normal 2" xfId="1"/>
    <cellStyle name="Normal 2 2" xfId="2"/>
    <cellStyle name="Normal 4" xfId="3"/>
    <cellStyle name="Hyperlink 2" xfId="4"/>
    <cellStyle name="Normal 3" xfId="5"/>
    <cellStyle name="Normal 5" xfId="6"/>
    <cellStyle name="Hyperlink" xfId="7" builtinId="8"/>
    <cellStyle name="Hyperlink 3" xf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gif"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gif" Id="rId5"/></Relationships>
</file>

<file path=xl/drawings/drawing1.xml><?xml version="1.0" encoding="utf-8"?>
<wsDr xmlns="http://schemas.openxmlformats.org/drawingml/2006/spreadsheetDrawing">
  <twoCellAnchor editAs="oneCell">
    <from>
      <col>0</col>
      <colOff>40822</colOff>
      <row>7</row>
      <rowOff>40821</rowOff>
    </from>
    <to>
      <col>4</col>
      <colOff>0</colOff>
      <row>10</row>
      <rowOff>52475</rowOff>
    </to>
    <pic>
      <nvPicPr>
        <cNvPr id="2" name="Picture 1">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clrChange>
            <clrFrom/>
            <clrTo/>
          </clrChange>
        </a:blip>
        <a:stretch xmlns:a="http://schemas.openxmlformats.org/drawingml/2006/main">
          <a:fillRect/>
        </a:stretch>
      </blipFill>
      <spPr>
        <a:xfrm xmlns:a="http://schemas.openxmlformats.org/drawingml/2006/main">
          <a:off x="40822" y="1267641"/>
          <a:ext cx="2565218" cy="537434"/>
        </a:xfrm>
        <a:prstGeom xmlns:a="http://schemas.openxmlformats.org/drawingml/2006/main" prst="rect">
          <avLst/>
        </a:prstGeom>
        <a:ln xmlns:a="http://schemas.openxmlformats.org/drawingml/2006/main">
          <a:prstDash val="solid"/>
        </a:ln>
      </spPr>
    </pic>
    <clientData/>
  </twoCellAnchor>
  <twoCellAnchor editAs="oneCell">
    <from>
      <col>4</col>
      <colOff>274320</colOff>
      <row>56</row>
      <rowOff>45720</rowOff>
    </from>
    <to>
      <col>6</col>
      <colOff>190500</colOff>
      <row>58</row>
      <rowOff>69036</rowOff>
    </to>
    <pic>
      <nvPicPr>
        <cNvPr id="3" name="Picture 2" descr="PayPal - The safer, easier way to pay online!">
          <a:hlinkClick xmlns:a="http://schemas.openxmlformats.org/drawingml/2006/main" xmlns:r="http://schemas.openxmlformats.org/officeDocument/2006/relationships"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880360" y="9745980"/>
          <a:ext cx="1165860" cy="37383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3</col>
      <colOff>0</colOff>
      <row>25</row>
      <rowOff>9524</rowOff>
    </from>
    <to>
      <col>5</col>
      <colOff>194643</colOff>
      <row>26</row>
      <rowOff>9524</rowOff>
    </to>
    <pic>
      <nvPicPr>
        <cNvPr id="53" name="Picture 52"/>
        <cNvPicPr>
          <a:picLocks xmlns:a="http://schemas.openxmlformats.org/drawingml/2006/main" noChangeAspect="1" noChangeArrowheads="1"/>
        </cNvPicPr>
      </nvPicPr>
      <blipFill>
        <a:blip xmlns:a="http://schemas.openxmlformats.org/drawingml/2006/main" xmlns:r="http://schemas.openxmlformats.org/officeDocument/2006/relationships" r:embed="rId2">
          <clrChange>
            <clrFrom/>
            <clrTo/>
          </clrChange>
        </a:blip>
        <a:srcRect xmlns:a="http://schemas.openxmlformats.org/drawingml/2006/main"/>
        <a:stretch xmlns:a="http://schemas.openxmlformats.org/drawingml/2006/main">
          <a:fillRect/>
        </a:stretch>
      </blipFill>
      <spPr bwMode="auto">
        <a:xfrm xmlns:a="http://schemas.openxmlformats.org/drawingml/2006/main">
          <a:off x="1866900" y="3657599"/>
          <a:ext cx="1413843" cy="1619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39714</colOff>
      <row>31</row>
      <rowOff>161836</rowOff>
    </from>
    <to>
      <col>4</col>
      <colOff>361950</colOff>
      <row>32</row>
      <rowOff>159356</rowOff>
    </to>
    <pic>
      <nvPicPr>
        <cNvPr id="58" name="Picture 57"/>
        <cNvPicPr>
          <a:picLocks xmlns:a="http://schemas.openxmlformats.org/drawingml/2006/main" noChangeAspect="1" noChangeArrowheads="1"/>
        </cNvPicPr>
      </nvPicPr>
      <blipFill>
        <a:blip xmlns:a="http://schemas.openxmlformats.org/drawingml/2006/main" xmlns:r="http://schemas.openxmlformats.org/officeDocument/2006/relationships" r:embed="rId3">
          <clrChange>
            <clrFrom/>
            <clrTo/>
          </clrChange>
        </a:blip>
        <a:srcRect xmlns:a="http://schemas.openxmlformats.org/drawingml/2006/main"/>
        <a:stretch xmlns:a="http://schemas.openxmlformats.org/drawingml/2006/main">
          <a:fillRect/>
        </a:stretch>
      </blipFill>
      <spPr bwMode="auto">
        <a:xfrm xmlns:a="http://schemas.openxmlformats.org/drawingml/2006/main">
          <a:off x="1906614" y="5486311"/>
          <a:ext cx="931836" cy="1594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74650</colOff>
      <row>41</row>
      <rowOff>6187</rowOff>
    </from>
    <to>
      <col>5</col>
      <colOff>57077</colOff>
      <row>41</row>
      <rowOff>159835</rowOff>
    </to>
    <pic>
      <nvPicPr>
        <cNvPr id="86" name="Picture 85"/>
        <cNvPicPr>
          <a:picLocks xmlns:a="http://schemas.openxmlformats.org/drawingml/2006/main" noChangeAspect="1" noChangeArrowheads="1"/>
        </cNvPicPr>
      </nvPicPr>
      <blipFill>
        <a:blip xmlns:a="http://schemas.openxmlformats.org/drawingml/2006/main" xmlns:r="http://schemas.openxmlformats.org/officeDocument/2006/relationships" r:embed="rId4">
          <clrChange>
            <clrFrom/>
            <clrTo/>
          </clrChange>
        </a:blip>
        <a:srcRect xmlns:a="http://schemas.openxmlformats.org/drawingml/2006/main"/>
        <a:stretch xmlns:a="http://schemas.openxmlformats.org/drawingml/2006/main">
          <a:fillRect/>
        </a:stretch>
      </blipFill>
      <spPr bwMode="auto">
        <a:xfrm xmlns:a="http://schemas.openxmlformats.org/drawingml/2006/main">
          <a:off x="1941550" y="7492837"/>
          <a:ext cx="1201627" cy="15364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40822</colOff>
      <row>7</row>
      <rowOff>40821</rowOff>
    </from>
    <to>
      <col>4</col>
      <colOff>66675</colOff>
      <row>10</row>
      <rowOff>145236</rowOff>
    </to>
    <grpSp>
      <nvGrpSpPr>
        <cNvPr id="9" name="Group 8"/>
        <cNvGrpSpPr/>
      </nvGrpSpPr>
      <grpSpPr>
        <a:xfrm xmlns:a="http://schemas.openxmlformats.org/drawingml/2006/main" rot="0">
          <a:off x="40822" y="1260021"/>
          <a:ext cx="2562224" cy="626929"/>
          <a:chOff x="40822" y="1267641"/>
          <a:chExt cx="2570933" cy="630195"/>
        </a:xfrm>
      </grpSpPr>
      <pic>
        <nvPicPr>
          <cNvPr id="11" name="Picture 10" descr="PayPal - The safer, easier way to pay online!">
            <a:hlinkClick xmlns:a="http://schemas.openxmlformats.org/drawingml/2006/main" xmlns:r="http://schemas.openxmlformats.org/officeDocument/2006/relationships" r:id="rId8"/>
          </cNvPr>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790700" y="1673046"/>
            <a:ext cx="701040" cy="224790"/>
          </a:xfrm>
          <a:prstGeom xmlns:a="http://schemas.openxmlformats.org/drawingml/2006/main" prst="rect">
            <avLst/>
          </a:prstGeom>
          <a:noFill xmlns:a="http://schemas.openxmlformats.org/drawingml/2006/main"/>
          <a:ln xmlns:a="http://schemas.openxmlformats.org/drawingml/2006/main">
            <a:prstDash val="solid"/>
          </a:ln>
        </spPr>
      </pic>
    </grpSp>
    <clientData/>
  </twoCellAnchor>
  <oneCellAnchor>
    <from>
      <col>2</col>
      <colOff>474034</colOff>
      <row>13</row>
      <rowOff>38660</rowOff>
    </from>
    <ext cx="1640516" cy="1038170"/>
    <pic>
      <nvPicPr>
        <cNvPr id="69" name="Picture 68"/>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15090"/>
        <a:stretch xmlns:a="http://schemas.openxmlformats.org/drawingml/2006/main">
          <a:fillRect/>
        </a:stretch>
      </blipFill>
      <spPr>
        <a:xfrm xmlns:a="http://schemas.openxmlformats.org/drawingml/2006/main">
          <a:off x="1702759" y="2210360"/>
          <a:ext cx="1640516" cy="1038170"/>
        </a:xfrm>
        <a:prstGeom xmlns:a="http://schemas.openxmlformats.org/drawingml/2006/main" prst="rect">
          <avLst/>
        </a:prstGeom>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Dropbox/AA-99/General%20Design/Spreadsheets%20for%20Design%20and%20Stress/AA-SM-XXX/AA-SM-009-001%20Lugs%20Under%20Oblique%20Loading.xls" TargetMode="External" Id="rId1"/></Relationships>
</file>

<file path=xl/externalLinks/_rels/externalLink2.xml.rels><Relationships xmlns="http://schemas.openxmlformats.org/package/2006/relationships"><Relationship Type="http://schemas.microsoft.com/office/2006/relationships/xlExternalLinkPath/xlLibrary" Target="XL_Viking_Display.xla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emp"/>
      <sheetName val="Sheet1"/>
      <sheetName val="Proforma"/>
      <sheetName val="Curves"/>
      <sheetName val="MIL-HDBK-5J"/>
      <sheetName val="Macro1"/>
    </sheetNames>
    <sheetDataSet>
      <sheetData sheetId="0"/>
      <sheetData sheetId="1"/>
      <sheetData sheetId="2"/>
      <sheetData sheetId="3"/>
      <sheetData sheetId="4"/>
      <sheetData sheetId="5">
        <row r="1">
          <cell r="A1" t="str">
            <v>LUG</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definedNames>
      <definedName name="xln"/>
      <definedName name="xlv"/>
    </defined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hyperlink" Target="http://www.abbottaerospace.com/subscribe" TargetMode="External" Id="rId1"/><Relationship Type="http://schemas.openxmlformats.org/officeDocument/2006/relationships/hyperlink" Target="mailto:%20spreadsheets@abbottaerospace.com?subject=Abbott%20Aerospace%20Inc%20Spreadsheets" TargetMode="External" Id="rId2"/><Relationship Type="http://schemas.openxmlformats.org/officeDocument/2006/relationships/hyperlink" Target="http://www.xl-viking.com/download-free-trial/" TargetMode="External" Id="rId3"/><Relationship Type="http://schemas.openxmlformats.org/officeDocument/2006/relationships/hyperlink" Target="http://www.abbottaerospace.com/engineering-services" TargetMode="External" Id="rId4"/><Relationship Type="http://schemas.openxmlformats.org/officeDocument/2006/relationships/drawing" Target="/xl/drawings/drawing1.xml" Id="rId5"/></Relationships>
</file>

<file path=xl/worksheets/_rels/sheet2.xml.rels><Relationships xmlns="http://schemas.openxmlformats.org/package/2006/relationships"><Relationship Type="http://schemas.openxmlformats.org/officeDocument/2006/relationships/hyperlink" Target="http://www.abbottaerospace.com/nasa-astronautic-structures-manual-volumes-i-ii-iii" TargetMode="External" Id="rId1"/><Relationship Type="http://schemas.openxmlformats.org/officeDocument/2006/relationships/hyperlink" Target="http://www.xl-viking.com/" TargetMode="External" Id="rId2"/><Relationship Type="http://schemas.openxmlformats.org/officeDocument/2006/relationships/drawing" Target="/xl/drawings/drawing2.xml" Id="rId3"/></Relationships>
</file>

<file path=xl/worksheets/sheet1.xml><?xml version="1.0" encoding="utf-8"?>
<worksheet xmlns="http://schemas.openxmlformats.org/spreadsheetml/2006/main">
  <sheetPr>
    <tabColor rgb="FF00B050"/>
    <outlinePr summaryBelow="1" summaryRight="1"/>
    <pageSetUpPr/>
  </sheetPr>
  <dimension ref="A1:Y62"/>
  <sheetViews>
    <sheetView view="pageBreakPreview" zoomScale="70" zoomScaleNormal="100" zoomScaleSheetLayoutView="70" workbookViewId="0">
      <selection activeCell="C65" sqref="C65"/>
    </sheetView>
  </sheetViews>
  <sheetFormatPr baseColWidth="8" defaultColWidth="9.109375" defaultRowHeight="15.6"/>
  <cols>
    <col width="9.109375" customWidth="1" style="59" min="1" max="2"/>
    <col width="10.6640625" bestFit="1" customWidth="1" style="59" min="3" max="3"/>
    <col width="9.109375" customWidth="1" style="59" min="4" max="11"/>
    <col width="5.44140625" customWidth="1" style="53" min="12" max="12"/>
    <col width="5.33203125" customWidth="1" style="56" min="13" max="17"/>
    <col width="5.33203125" customWidth="1" style="57" min="18" max="19"/>
    <col width="9.109375" customWidth="1" style="59" min="20" max="25"/>
    <col width="9.109375" customWidth="1" style="59" min="26" max="16384"/>
  </cols>
  <sheetData>
    <row r="1" ht="13.8" customFormat="1" customHeight="1" s="53">
      <c r="A1" s="1" t="n"/>
      <c r="B1" s="2" t="inlineStr">
        <is>
          <t>Author:</t>
        </is>
      </c>
      <c r="C1" s="3" t="inlineStr">
        <is>
          <t>R. Abbott</t>
        </is>
      </c>
      <c r="D1" s="1" t="n"/>
      <c r="E1" s="1" t="n"/>
      <c r="F1" s="2" t="inlineStr">
        <is>
          <t>Total Report Pages:</t>
        </is>
      </c>
      <c r="G1" s="4" t="n"/>
      <c r="H1" s="1" t="n"/>
      <c r="I1" s="1" t="n"/>
      <c r="J1" s="1" t="n"/>
      <c r="K1" s="1" t="n"/>
      <c r="M1" s="52" t="n"/>
      <c r="N1" s="52" t="n"/>
      <c r="O1" s="52" t="n"/>
      <c r="P1" s="52" t="n"/>
      <c r="Q1" s="52" t="n"/>
      <c r="R1" s="52" t="n"/>
      <c r="S1" s="52" t="n"/>
      <c r="T1" s="53" t="n"/>
      <c r="U1" s="53" t="n"/>
      <c r="V1" s="53" t="n"/>
      <c r="W1" s="54" t="n"/>
      <c r="X1" s="55" t="n"/>
      <c r="Y1" s="53" t="n"/>
    </row>
    <row r="2" ht="13.8" customFormat="1" customHeight="1" s="53">
      <c r="A2" s="1" t="n"/>
      <c r="B2" s="2" t="inlineStr">
        <is>
          <t>Check:</t>
        </is>
      </c>
      <c r="C2" s="3" t="inlineStr">
        <is>
          <t xml:space="preserve"> </t>
        </is>
      </c>
      <c r="D2" s="1" t="n"/>
      <c r="E2" s="1" t="n"/>
      <c r="F2" s="2" t="inlineStr">
        <is>
          <t>Report:</t>
        </is>
      </c>
      <c r="G2" s="3" t="n"/>
      <c r="H2" s="1" t="n"/>
      <c r="I2" s="1" t="n"/>
      <c r="J2" s="1" t="n"/>
      <c r="K2" s="1" t="n"/>
      <c r="M2" s="52" t="n"/>
      <c r="N2" s="52" t="n"/>
      <c r="O2" s="52" t="n"/>
      <c r="P2" s="52" t="n"/>
      <c r="Q2" s="52" t="n"/>
      <c r="R2" s="52" t="n"/>
      <c r="S2" s="52" t="n"/>
      <c r="T2" s="53" t="n"/>
      <c r="U2" s="53" t="n"/>
      <c r="V2" s="53" t="n"/>
      <c r="W2" s="54" t="n"/>
      <c r="X2" s="55" t="n"/>
      <c r="Y2" s="53" t="n"/>
    </row>
    <row r="3" ht="13.8" customFormat="1" customHeight="1" s="53">
      <c r="A3" s="1" t="n"/>
      <c r="B3" s="2" t="inlineStr">
        <is>
          <t>Date:</t>
        </is>
      </c>
      <c r="C3" s="10" t="n"/>
      <c r="D3" s="1" t="n"/>
      <c r="E3" s="1" t="n"/>
      <c r="F3" s="2" t="inlineStr">
        <is>
          <t>Revision:</t>
        </is>
      </c>
      <c r="G3" s="3" t="n"/>
      <c r="H3" s="1" t="n"/>
      <c r="I3" s="1" t="n"/>
      <c r="J3" s="1" t="n"/>
      <c r="K3" s="1" t="n"/>
      <c r="M3" s="52" t="n"/>
      <c r="N3" s="52" t="n"/>
      <c r="O3" s="52" t="n"/>
      <c r="P3" s="52" t="n"/>
      <c r="Q3" s="52" t="n"/>
      <c r="R3" s="52" t="n"/>
      <c r="S3" s="52" t="n"/>
      <c r="T3" s="53" t="n"/>
      <c r="U3" s="53" t="n"/>
      <c r="V3" s="53" t="n"/>
      <c r="W3" s="54" t="n"/>
      <c r="X3" s="55" t="n"/>
      <c r="Y3" s="53" t="n"/>
    </row>
    <row r="4" ht="13.8" customFormat="1" customHeight="1" s="53">
      <c r="A4" s="1" t="n"/>
      <c r="B4" s="2" t="inlineStr">
        <is>
          <t>Section Number:</t>
        </is>
      </c>
      <c r="C4" s="4" t="n"/>
      <c r="D4" s="1" t="n"/>
      <c r="E4" s="1" t="n"/>
      <c r="F4" s="2" t="inlineStr">
        <is>
          <t>Sheet Name</t>
        </is>
      </c>
      <c r="G4" s="3" t="inlineStr">
        <is>
          <t>IMPORTANT INFORMATION</t>
        </is>
      </c>
      <c r="H4" s="1" t="n"/>
      <c r="I4" s="1" t="n"/>
      <c r="J4" s="1" t="n"/>
      <c r="K4" s="1" t="n"/>
      <c r="M4" s="52" t="n"/>
      <c r="N4" s="52" t="n"/>
      <c r="O4" s="52" t="n"/>
      <c r="P4" s="52" t="n"/>
      <c r="Q4" s="56" t="n"/>
      <c r="R4" s="57" t="n"/>
      <c r="S4" s="57" t="n"/>
      <c r="T4" s="53" t="n"/>
      <c r="U4" s="53" t="n"/>
      <c r="V4" s="53" t="n"/>
      <c r="W4" s="54" t="n"/>
      <c r="X4" s="55" t="n"/>
      <c r="Y4" s="53" t="n"/>
    </row>
    <row r="5" ht="13.8" customFormat="1" customHeight="1" s="53">
      <c r="A5" s="1" t="n"/>
      <c r="B5" s="2" t="inlineStr">
        <is>
          <t>Report Title:</t>
        </is>
      </c>
      <c r="C5" s="4" t="n"/>
      <c r="D5" s="1" t="n"/>
      <c r="E5" s="2" t="n"/>
      <c r="F5" s="1" t="n"/>
      <c r="G5" s="1" t="n"/>
      <c r="H5" s="1" t="n"/>
      <c r="I5" s="1" t="n"/>
      <c r="J5" s="1" t="n"/>
      <c r="K5" s="1" t="n"/>
      <c r="M5" s="52" t="n"/>
      <c r="N5" s="52" t="n"/>
      <c r="O5" s="52" t="n"/>
      <c r="P5" s="52" t="n"/>
      <c r="Q5" s="56" t="n"/>
      <c r="R5" s="57" t="n"/>
      <c r="S5" s="57" t="n"/>
      <c r="T5" s="53" t="n"/>
      <c r="U5" s="53" t="n"/>
      <c r="V5" s="53" t="n"/>
      <c r="W5" s="54" t="n"/>
      <c r="X5" s="55" t="n"/>
      <c r="Y5" s="53" t="n"/>
    </row>
    <row r="6" ht="13.8" customFormat="1" customHeight="1" s="53">
      <c r="A6" s="1" t="n"/>
      <c r="B6" s="1" t="inlineStr">
        <is>
          <t>Section:</t>
        </is>
      </c>
      <c r="C6" s="13" t="n"/>
      <c r="D6" s="1" t="n"/>
      <c r="E6" s="1" t="n"/>
      <c r="F6" s="1" t="n"/>
      <c r="G6" s="1" t="n"/>
      <c r="H6" s="1" t="n"/>
      <c r="I6" s="1" t="n"/>
      <c r="J6" s="1" t="n"/>
      <c r="K6" s="1" t="n"/>
      <c r="M6" s="52" t="n"/>
      <c r="N6" s="52" t="n"/>
      <c r="O6" s="52" t="n"/>
      <c r="P6" s="52" t="n"/>
      <c r="Q6" s="56" t="n"/>
      <c r="R6" s="57" t="n"/>
      <c r="S6" s="57" t="n"/>
      <c r="T6" s="53" t="n"/>
      <c r="U6" s="53" t="n"/>
      <c r="V6" s="53" t="n"/>
      <c r="W6" s="54" t="n"/>
      <c r="X6" s="55" t="n"/>
      <c r="Y6" s="53" t="n"/>
    </row>
    <row r="7" ht="13.8" customFormat="1" customHeight="1" s="53">
      <c r="A7" s="1" t="n"/>
      <c r="B7" s="1" t="n"/>
      <c r="C7" s="1" t="n"/>
      <c r="D7" s="1" t="n"/>
      <c r="E7" s="1" t="n"/>
      <c r="F7" s="1" t="n"/>
      <c r="G7" s="1" t="n"/>
      <c r="H7" s="1" t="n"/>
      <c r="I7" s="1" t="n"/>
      <c r="J7" s="1" t="n"/>
      <c r="K7" s="1" t="n"/>
      <c r="M7" s="52" t="n"/>
      <c r="N7" s="52" t="n"/>
      <c r="O7" s="52" t="n"/>
      <c r="P7" s="52" t="n"/>
      <c r="Q7" s="56" t="n"/>
      <c r="R7" s="57" t="n"/>
      <c r="S7" s="57" t="n"/>
      <c r="T7" s="53" t="n"/>
      <c r="U7" s="53" t="n"/>
      <c r="V7" s="53" t="n"/>
      <c r="W7" s="54" t="n"/>
      <c r="X7" s="55" t="n"/>
      <c r="Y7" s="53" t="n"/>
    </row>
    <row r="8" ht="13.8" customFormat="1" customHeight="1" s="53">
      <c r="A8" s="14" t="n"/>
      <c r="E8" s="54" t="n"/>
      <c r="F8" s="55" t="n"/>
      <c r="H8" s="15" t="n"/>
      <c r="I8" s="54" t="n"/>
      <c r="J8" s="16" t="n"/>
      <c r="K8" s="17" t="n"/>
      <c r="L8" s="52" t="n"/>
      <c r="M8" s="52" t="n"/>
      <c r="N8" s="52" t="n"/>
      <c r="O8" s="52" t="n"/>
      <c r="P8" s="52" t="n"/>
      <c r="Q8" s="56" t="n"/>
      <c r="R8" s="57" t="n"/>
      <c r="S8" s="57" t="n"/>
      <c r="T8" s="53" t="n"/>
      <c r="U8" s="53" t="n"/>
      <c r="V8" s="53" t="n"/>
      <c r="W8" s="53" t="n"/>
      <c r="X8" s="53" t="n"/>
      <c r="Y8" s="53" t="n"/>
    </row>
    <row r="9" ht="13.8" customFormat="1" customHeight="1" s="53">
      <c r="E9" s="54" t="n"/>
      <c r="F9" s="15" t="n"/>
      <c r="H9" s="15" t="n"/>
      <c r="I9" s="54" t="n"/>
      <c r="J9" s="17" t="n"/>
      <c r="K9" s="17" t="n"/>
      <c r="L9" s="52" t="n"/>
      <c r="M9" s="52" t="n"/>
      <c r="N9" s="52" t="n"/>
      <c r="O9" s="52" t="n"/>
      <c r="P9" s="52" t="n"/>
      <c r="Q9" s="56" t="n"/>
      <c r="R9" s="57" t="n"/>
      <c r="S9" s="57" t="n"/>
      <c r="T9" s="53" t="n"/>
      <c r="U9" s="53" t="n"/>
      <c r="V9" s="53" t="n"/>
      <c r="W9" s="53" t="n"/>
      <c r="X9" s="53" t="n"/>
      <c r="Y9" s="53" t="n"/>
    </row>
    <row r="10" ht="13.8" customFormat="1" customHeight="1" s="53">
      <c r="E10" s="54" t="n"/>
      <c r="F10" s="15" t="n"/>
      <c r="H10" s="15" t="n"/>
      <c r="I10" s="54" t="n"/>
      <c r="J10" s="55" t="n"/>
      <c r="K10" s="15" t="n"/>
      <c r="L10" s="52" t="n"/>
      <c r="M10" s="52" t="n"/>
      <c r="N10" s="52" t="n"/>
      <c r="O10" s="52" t="n"/>
      <c r="P10" s="52" t="n"/>
      <c r="Q10" s="56" t="n"/>
      <c r="R10" s="57" t="n"/>
      <c r="S10" s="57" t="n"/>
      <c r="T10" s="53" t="n"/>
      <c r="U10" s="53" t="n"/>
      <c r="V10" s="53" t="n"/>
      <c r="W10" s="53" t="n"/>
      <c r="X10" s="53" t="n"/>
      <c r="Y10" s="53" t="n"/>
    </row>
    <row r="11" ht="13.8" customFormat="1" customHeight="1" s="53">
      <c r="E11" s="54" t="n"/>
      <c r="F11" s="15" t="n"/>
      <c r="I11" s="19" t="n"/>
      <c r="J11" s="55" t="n"/>
      <c r="M11" s="52" t="n"/>
      <c r="N11" s="52" t="n"/>
      <c r="O11" s="52" t="n"/>
      <c r="P11" s="52" t="n"/>
      <c r="Q11" s="52" t="n"/>
      <c r="R11" s="52" t="n"/>
      <c r="S11" s="52" t="n"/>
      <c r="T11" s="53" t="n"/>
      <c r="U11" s="53" t="n"/>
      <c r="V11" s="53" t="n"/>
      <c r="W11" s="53" t="n"/>
      <c r="X11" s="53" t="n"/>
      <c r="Y11" s="53" t="n"/>
    </row>
    <row r="12">
      <c r="C12" s="21">
        <f>G4</f>
        <v/>
      </c>
      <c r="M12" s="52" t="n"/>
      <c r="N12" s="52" t="n"/>
      <c r="O12" s="52" t="n"/>
      <c r="P12" s="52" t="n"/>
      <c r="Q12" s="58" t="n"/>
      <c r="R12" s="58" t="n"/>
      <c r="S12" s="58" t="n"/>
    </row>
    <row r="13" ht="13.8" customFormat="1" customHeight="1" s="53">
      <c r="M13" s="52" t="n"/>
      <c r="N13" s="52" t="n"/>
      <c r="O13" s="52" t="n"/>
      <c r="P13" s="52" t="n"/>
      <c r="Q13" s="52" t="n"/>
      <c r="R13" s="52" t="n"/>
      <c r="S13" s="52" t="n"/>
      <c r="T13" s="53" t="n"/>
      <c r="U13" s="53" t="n"/>
      <c r="V13" s="53" t="n"/>
      <c r="W13" s="53" t="n"/>
      <c r="X13" s="53" t="n"/>
      <c r="Y13" s="53" t="n"/>
    </row>
    <row r="14" ht="13.8" customFormat="1" customHeight="1" s="53">
      <c r="B14" s="24" t="inlineStr">
        <is>
          <t>About us:</t>
        </is>
      </c>
      <c r="M14" s="52" t="n"/>
      <c r="N14" s="52" t="n"/>
      <c r="O14" s="52" t="n"/>
      <c r="P14" s="52" t="n"/>
      <c r="Q14" s="52" t="n"/>
      <c r="R14" s="52" t="n"/>
      <c r="S14" s="52" t="n"/>
      <c r="T14" s="53" t="n"/>
      <c r="U14" s="53" t="n"/>
      <c r="V14" s="53" t="n"/>
      <c r="W14" s="53" t="n"/>
      <c r="X14" s="53" t="n"/>
      <c r="Y14" s="53" t="n"/>
    </row>
    <row r="15" ht="13.8" customFormat="1" customHeight="1" s="53">
      <c r="A15" s="53" t="n"/>
      <c r="K15" s="53" t="n"/>
      <c r="M15" s="56" t="n"/>
      <c r="N15" s="56" t="n"/>
      <c r="O15" s="56" t="n"/>
      <c r="P15" s="56" t="n"/>
      <c r="Q15" s="56" t="n"/>
      <c r="R15" s="57" t="n"/>
      <c r="S15" s="57" t="n"/>
      <c r="T15" s="53" t="n"/>
      <c r="U15" s="53" t="n"/>
      <c r="V15" s="53" t="n"/>
      <c r="W15" s="53" t="n"/>
      <c r="X15" s="53" t="n"/>
      <c r="Y15" s="53" t="n"/>
    </row>
    <row r="16" ht="12.75" customFormat="1" customHeight="1" s="53">
      <c r="B16" s="185" t="inlineStr">
        <is>
          <t>Established in Canada 2008 we relocated to Grand Cayman in 2015. Abbott Aerospace SEZC Ltd. specializes in helping our partners bring the best aircraft product to market in the shortest time. We help you define your aircraft and execute your development program.</t>
        </is>
      </c>
      <c r="M16" s="56" t="n"/>
      <c r="N16" s="56" t="n"/>
      <c r="O16" s="56" t="n"/>
      <c r="P16" s="56" t="n"/>
      <c r="Q16" s="56" t="n"/>
      <c r="R16" s="57" t="n"/>
      <c r="S16" s="57" t="n"/>
      <c r="T16" s="53" t="n"/>
      <c r="U16" s="53" t="n"/>
      <c r="V16" s="53" t="n"/>
      <c r="W16" s="53" t="n"/>
      <c r="X16" s="53" t="n"/>
      <c r="Y16" s="53" t="n"/>
    </row>
    <row r="17" ht="13.8" customFormat="1" customHeight="1" s="53">
      <c r="M17" s="56" t="n"/>
      <c r="N17" s="56" t="n"/>
      <c r="O17" s="56" t="n"/>
      <c r="P17" s="56" t="n"/>
      <c r="Q17" s="56" t="n"/>
      <c r="R17" s="57" t="n"/>
      <c r="S17" s="57" t="n"/>
      <c r="T17" s="53" t="n"/>
      <c r="U17" s="53" t="n"/>
      <c r="V17" s="53" t="n"/>
      <c r="W17" s="53" t="n"/>
      <c r="X17" s="53" t="n"/>
      <c r="Y17" s="53" t="n"/>
    </row>
    <row r="18" ht="13.8" customFormat="1" customHeight="1" s="53">
      <c r="M18" s="56" t="n"/>
      <c r="N18" s="56" t="n"/>
      <c r="O18" s="56" t="n"/>
      <c r="P18" s="56" t="n"/>
      <c r="Q18" s="56" t="n"/>
      <c r="R18" s="57" t="n"/>
      <c r="S18" s="57" t="n"/>
      <c r="T18" s="53" t="n"/>
      <c r="U18" s="53" t="n"/>
      <c r="V18" s="53" t="n"/>
      <c r="W18" s="53" t="n"/>
      <c r="X18" s="53" t="n"/>
      <c r="Y18" s="53" t="n"/>
    </row>
    <row r="19" ht="13.8" customFormat="1" customHeight="1" s="53">
      <c r="M19" s="56" t="n"/>
      <c r="N19" s="56" t="n"/>
      <c r="O19" s="56" t="n"/>
      <c r="P19" s="56" t="n"/>
      <c r="Q19" s="56" t="n"/>
      <c r="R19" s="57" t="n"/>
      <c r="S19" s="57" t="n"/>
      <c r="T19" s="53" t="n"/>
      <c r="U19" s="53" t="n"/>
      <c r="V19" s="53" t="n"/>
      <c r="W19" s="53" t="n"/>
      <c r="X19" s="53" t="n"/>
      <c r="Y19" s="53" t="n"/>
    </row>
    <row r="20" ht="12.75" customFormat="1" customHeight="1" s="53">
      <c r="A20" s="53" t="n"/>
      <c r="B20" s="24" t="inlineStr">
        <is>
          <t>About the Abbott Aerospace Analysis Spreadsheets:</t>
        </is>
      </c>
      <c r="C20" s="53" t="n"/>
      <c r="D20" s="53" t="n"/>
      <c r="E20" s="53" t="n"/>
      <c r="F20" s="53" t="n"/>
      <c r="G20" s="53" t="n"/>
      <c r="H20" s="53" t="n"/>
      <c r="I20" s="53" t="n"/>
      <c r="J20" s="53" t="n"/>
      <c r="K20" s="53" t="n"/>
      <c r="M20" s="56" t="n"/>
      <c r="N20" s="56" t="n"/>
      <c r="O20" s="56" t="n"/>
      <c r="P20" s="56" t="n"/>
      <c r="Q20" s="56" t="n"/>
      <c r="R20" s="57" t="n"/>
      <c r="S20" s="57" t="n"/>
      <c r="T20" s="53" t="n"/>
      <c r="U20" s="53" t="n"/>
      <c r="V20" s="53" t="n"/>
      <c r="W20" s="53" t="n"/>
      <c r="X20" s="53" t="n"/>
      <c r="Y20" s="53" t="n"/>
    </row>
    <row r="21" ht="13.8" customFormat="1" customHeight="1" s="53">
      <c r="A21" s="53" t="n"/>
      <c r="B21" s="24" t="n"/>
      <c r="C21" s="53" t="n"/>
      <c r="D21" s="53" t="n"/>
      <c r="E21" s="53" t="n"/>
      <c r="F21" s="53" t="n"/>
      <c r="G21" s="53" t="n"/>
      <c r="H21" s="53" t="n"/>
      <c r="I21" s="53" t="n"/>
      <c r="J21" s="53" t="n"/>
      <c r="K21" s="53" t="n"/>
      <c r="M21" s="56" t="n"/>
      <c r="N21" s="56" t="n"/>
      <c r="O21" s="56" t="n"/>
      <c r="P21" s="56" t="n"/>
      <c r="Q21" s="56" t="n"/>
      <c r="R21" s="57" t="n"/>
      <c r="S21" s="57" t="n"/>
      <c r="T21" s="53" t="n"/>
      <c r="U21" s="53" t="n"/>
      <c r="V21" s="53" t="n"/>
      <c r="W21" s="53" t="n"/>
      <c r="X21" s="53" t="n"/>
      <c r="Y21" s="53" t="n"/>
    </row>
    <row r="22" ht="13.8" customFormat="1" customHeight="1" s="53">
      <c r="A22" s="53" t="n"/>
      <c r="B22" s="185" t="inlineStr">
        <is>
          <t>Our in-house structural analysis toolbox is our collection of spreadsheets, we make these available for free to anyone who wants to use them. To keep up to date with our latest spreadsheet news and subscibe to our regular newsletter please click this link.</t>
        </is>
      </c>
      <c r="K22" s="53" t="n"/>
      <c r="M22" s="56" t="n"/>
      <c r="N22" s="56" t="n"/>
      <c r="O22" s="56" t="n"/>
      <c r="P22" s="56" t="n"/>
      <c r="Q22" s="56" t="n"/>
      <c r="R22" s="57" t="n"/>
      <c r="S22" s="57" t="n"/>
      <c r="T22" s="53" t="n"/>
      <c r="U22" s="53" t="n"/>
      <c r="V22" s="53" t="n"/>
      <c r="W22" s="53" t="n"/>
      <c r="X22" s="53" t="n"/>
      <c r="Y22" s="53" t="n"/>
    </row>
    <row r="23" ht="13.8" customFormat="1" customHeight="1" s="53">
      <c r="A23" s="53" t="n"/>
      <c r="K23" s="53" t="n"/>
      <c r="M23" s="56" t="n"/>
      <c r="N23" s="56" t="n"/>
      <c r="O23" s="56" t="n"/>
      <c r="P23" s="56" t="n"/>
      <c r="Q23" s="56" t="n"/>
      <c r="R23" s="57" t="n"/>
      <c r="S23" s="188" t="n"/>
      <c r="T23" s="53" t="n"/>
      <c r="U23" s="53" t="n"/>
      <c r="V23" s="53" t="n"/>
      <c r="W23" s="53" t="n"/>
      <c r="X23" s="53" t="n"/>
      <c r="Y23" s="53" t="n"/>
    </row>
    <row r="24" ht="13.8" customFormat="1" customHeight="1" s="53">
      <c r="A24" s="53" t="n"/>
      <c r="K24" s="53" t="n"/>
      <c r="M24" s="56" t="n"/>
      <c r="N24" s="56" t="n"/>
      <c r="O24" s="56" t="n"/>
      <c r="P24" s="56" t="n"/>
      <c r="Q24" s="56" t="n"/>
      <c r="R24" s="57" t="n"/>
      <c r="S24" s="188" t="n"/>
      <c r="T24" s="53" t="n"/>
      <c r="U24" s="53" t="n"/>
      <c r="V24" s="53" t="n"/>
      <c r="W24" s="53" t="n"/>
      <c r="X24" s="53" t="n"/>
      <c r="Y24" s="53" t="n"/>
    </row>
    <row r="25" ht="12.75" customFormat="1" customHeight="1" s="53">
      <c r="A25" s="53" t="n"/>
      <c r="B25" s="185" t="n"/>
      <c r="C25" s="185" t="n"/>
      <c r="D25" s="185" t="n"/>
      <c r="E25" s="185" t="n"/>
      <c r="F25" s="183" t="inlineStr">
        <is>
          <t>http://www.abbottaerospace.com/subscribe</t>
        </is>
      </c>
      <c r="G25" s="185" t="n"/>
      <c r="H25" s="185" t="n"/>
      <c r="I25" s="185" t="n"/>
      <c r="J25" s="185" t="n"/>
      <c r="K25" s="53" t="n"/>
      <c r="M25" s="56" t="n"/>
      <c r="N25" s="56" t="n"/>
      <c r="O25" s="56" t="n"/>
      <c r="P25" s="56" t="n"/>
      <c r="Q25" s="56" t="n"/>
      <c r="R25" s="57" t="n"/>
      <c r="S25" s="57" t="n"/>
      <c r="T25" s="53" t="n"/>
      <c r="U25" s="53" t="n"/>
      <c r="V25" s="53" t="n"/>
      <c r="W25" s="53" t="n"/>
      <c r="X25" s="53" t="n"/>
      <c r="Y25" s="53" t="n"/>
    </row>
    <row r="26" ht="13.8" customFormat="1" customHeight="1" s="53">
      <c r="A26" s="53" t="n"/>
      <c r="B26" s="185" t="inlineStr">
        <is>
          <t>The spreadsheets are intended to be used by engineers. They are not protected software packages and can be changed in every way by the user.</t>
        </is>
      </c>
      <c r="K26" s="53" t="n"/>
      <c r="M26" s="56" t="n"/>
      <c r="N26" s="56" t="n"/>
      <c r="O26" s="56" t="n"/>
      <c r="P26" s="56" t="n"/>
      <c r="Q26" s="56" t="n"/>
      <c r="R26" s="57" t="n"/>
      <c r="S26" s="57" t="n"/>
      <c r="T26" s="53" t="n"/>
      <c r="U26" s="53" t="n"/>
      <c r="V26" s="53" t="n"/>
      <c r="W26" s="53" t="n"/>
      <c r="X26" s="53" t="n"/>
      <c r="Y26" s="53" t="n"/>
    </row>
    <row r="27" ht="13.8" customFormat="1" customHeight="1" s="53">
      <c r="A27" s="53" t="n"/>
      <c r="K27" s="53" t="n"/>
      <c r="M27" s="56" t="n"/>
      <c r="N27" s="56" t="n"/>
      <c r="O27" s="56" t="n"/>
      <c r="P27" s="56" t="n"/>
      <c r="Q27" s="56" t="n"/>
      <c r="R27" s="57" t="n"/>
      <c r="S27" s="57" t="n"/>
      <c r="T27" s="53" t="n"/>
      <c r="U27" s="53" t="n"/>
      <c r="V27" s="53" t="n"/>
      <c r="W27" s="53" t="n"/>
      <c r="X27" s="53" t="n"/>
      <c r="Y27" s="53" t="n"/>
    </row>
    <row r="28" ht="13.8" customFormat="1" customHeight="1" s="53">
      <c r="A28" s="53" t="n"/>
      <c r="B28" s="185" t="n"/>
      <c r="C28" s="185" t="n"/>
      <c r="D28" s="185" t="n"/>
      <c r="E28" s="185" t="n"/>
      <c r="F28" s="185" t="n"/>
      <c r="G28" s="185" t="n"/>
      <c r="H28" s="185" t="n"/>
      <c r="I28" s="185" t="n"/>
      <c r="J28" s="185" t="n"/>
      <c r="K28" s="53" t="n"/>
      <c r="M28" s="56" t="n"/>
      <c r="N28" s="56" t="n"/>
      <c r="O28" s="56" t="n"/>
      <c r="P28" s="56" t="n"/>
      <c r="Q28" s="56" t="n"/>
      <c r="R28" s="57" t="n"/>
      <c r="S28" s="57" t="n"/>
      <c r="T28" s="53" t="n"/>
      <c r="U28" s="53" t="n"/>
      <c r="V28" s="53" t="n"/>
      <c r="W28" s="53" t="n"/>
      <c r="X28" s="53" t="n"/>
      <c r="Y28" s="53" t="n"/>
    </row>
    <row r="29" ht="13.8" customFormat="1" customHeight="1" s="53">
      <c r="A29" s="53" t="n"/>
      <c r="B29" s="185" t="inlineStr">
        <is>
          <t>All of our spreadsheets are provided 'as is' with no warranty or guarantee explicitly given or implied. You use these spreadsheets at your own risk. The Author will not be liable for data loss, damages, loss of profits or any other kind of loss while using or misusing these spreadsheets
We have made every reasonable effort to remove all errors but some may still exist and all analysis work should be thoroughly checked. If you do find errors plese notify us at:</t>
        </is>
      </c>
      <c r="K29" s="53" t="n"/>
      <c r="M29" s="56" t="n"/>
      <c r="N29" s="56" t="n"/>
      <c r="O29" s="56" t="n"/>
      <c r="P29" s="56" t="n"/>
      <c r="Q29" s="56" t="n"/>
      <c r="R29" s="57" t="n"/>
      <c r="S29" s="57" t="n"/>
      <c r="T29" s="53" t="n"/>
      <c r="U29" s="53" t="n"/>
      <c r="V29" s="53" t="n"/>
      <c r="W29" s="53" t="n"/>
      <c r="X29" s="53" t="n"/>
      <c r="Y29" s="53" t="n"/>
    </row>
    <row r="30" ht="13.8" customFormat="1" customHeight="1" s="53">
      <c r="A30" s="53" t="n"/>
      <c r="K30" s="53" t="n"/>
      <c r="M30" s="56" t="n"/>
      <c r="N30" s="56" t="n"/>
      <c r="O30" s="56" t="n"/>
      <c r="P30" s="56" t="n"/>
      <c r="Q30" s="56" t="n"/>
      <c r="R30" s="57" t="n"/>
      <c r="S30" s="57" t="n"/>
      <c r="T30" s="53" t="n"/>
      <c r="U30" s="53" t="n"/>
      <c r="V30" s="53" t="n"/>
      <c r="W30" s="53" t="n"/>
      <c r="X30" s="53" t="n"/>
      <c r="Y30" s="53" t="n"/>
    </row>
    <row r="31" ht="12.75" customFormat="1" customHeight="1" s="53">
      <c r="A31" s="53" t="n"/>
      <c r="K31" s="53" t="n"/>
      <c r="M31" s="56" t="n"/>
      <c r="N31" s="56" t="n"/>
      <c r="O31" s="56" t="n"/>
      <c r="P31" s="56" t="n"/>
      <c r="Q31" s="56" t="n"/>
      <c r="R31" s="57" t="n"/>
      <c r="S31" s="57" t="n"/>
      <c r="T31" s="53" t="n"/>
      <c r="U31" s="53" t="n"/>
      <c r="V31" s="53" t="n"/>
      <c r="W31" s="53" t="n"/>
      <c r="X31" s="53" t="n"/>
      <c r="Y31" s="53" t="n"/>
    </row>
    <row r="32" ht="13.8" customFormat="1" customHeight="1" s="53">
      <c r="A32" s="53" t="n"/>
      <c r="K32" s="53" t="n"/>
      <c r="M32" s="56" t="n"/>
      <c r="N32" s="56" t="n"/>
      <c r="O32" s="56" t="n"/>
      <c r="P32" s="56" t="n"/>
      <c r="Q32" s="56" t="n"/>
      <c r="R32" s="57" t="n"/>
      <c r="S32" s="57" t="n"/>
      <c r="T32" s="53" t="n"/>
      <c r="U32" s="53" t="n"/>
      <c r="V32" s="53" t="n"/>
      <c r="W32" s="53" t="n"/>
      <c r="X32" s="53" t="n"/>
      <c r="Y32" s="53" t="n"/>
    </row>
    <row r="33" ht="12.75" customFormat="1" customHeight="1" s="53">
      <c r="A33" s="53" t="n"/>
      <c r="K33" s="53" t="n"/>
      <c r="M33" s="56" t="n"/>
      <c r="N33" s="56" t="n"/>
      <c r="O33" s="56" t="n"/>
      <c r="P33" s="56" t="n"/>
      <c r="Q33" s="56" t="n"/>
      <c r="R33" s="57" t="n"/>
      <c r="S33" s="57" t="n"/>
      <c r="T33" s="53" t="n"/>
      <c r="U33" s="53" t="n"/>
      <c r="V33" s="53" t="n"/>
      <c r="W33" s="53" t="n"/>
      <c r="X33" s="53" t="n"/>
      <c r="Y33" s="53" t="n"/>
    </row>
    <row r="34" ht="13.8" customFormat="1" customHeight="1" s="53">
      <c r="A34" s="53" t="n"/>
      <c r="B34" s="185" t="n"/>
      <c r="C34" s="185" t="n"/>
      <c r="D34" s="187" t="inlineStr">
        <is>
          <t xml:space="preserve"> spreadsheets@abbottaerospace.com</t>
        </is>
      </c>
      <c r="I34" s="185" t="n"/>
      <c r="J34" s="185" t="n"/>
      <c r="K34" s="53" t="n"/>
      <c r="M34" s="56" t="n"/>
      <c r="N34" s="56" t="n"/>
      <c r="O34" s="56" t="n"/>
      <c r="P34" s="56" t="n"/>
      <c r="Q34" s="56" t="n"/>
      <c r="R34" s="57" t="n"/>
      <c r="S34" s="188" t="n"/>
      <c r="T34" s="53" t="n"/>
      <c r="U34" s="53" t="n"/>
      <c r="V34" s="53" t="n"/>
      <c r="W34" s="53" t="n"/>
      <c r="X34" s="53" t="n"/>
      <c r="Y34" s="53" t="n"/>
    </row>
    <row r="35" ht="13.8" customFormat="1" customHeight="1" s="53">
      <c r="A35" s="53" t="n"/>
      <c r="B35" s="53" t="n"/>
      <c r="C35" s="53" t="n"/>
      <c r="I35" s="53" t="n"/>
      <c r="J35" s="53" t="n"/>
      <c r="K35" s="53" t="n"/>
      <c r="M35" s="56" t="n"/>
      <c r="N35" s="56" t="n"/>
      <c r="O35" s="56" t="n"/>
      <c r="P35" s="56" t="n"/>
      <c r="Q35" s="56" t="n"/>
      <c r="R35" s="57" t="n"/>
      <c r="S35" s="188" t="n"/>
      <c r="T35" s="53" t="n"/>
      <c r="U35" s="53" t="n"/>
      <c r="V35" s="53" t="n"/>
      <c r="W35" s="53" t="n"/>
      <c r="X35" s="53" t="n"/>
      <c r="Y35" s="53" t="n"/>
    </row>
    <row r="36" ht="12.75" customFormat="1" customHeight="1" s="53">
      <c r="A36" s="53" t="n"/>
      <c r="B36" s="24" t="inlineStr">
        <is>
          <t>Proprietary information:</t>
        </is>
      </c>
      <c r="C36" s="53" t="n"/>
      <c r="D36" s="53" t="n"/>
      <c r="E36" s="53" t="n"/>
      <c r="F36" s="187" t="n"/>
      <c r="G36" s="53" t="n"/>
      <c r="H36" s="53" t="n"/>
      <c r="I36" s="53" t="n"/>
      <c r="J36" s="53" t="n"/>
      <c r="K36" s="53" t="n"/>
      <c r="M36" s="56" t="n"/>
      <c r="N36" s="56" t="n"/>
      <c r="O36" s="56" t="n"/>
      <c r="P36" s="56" t="n"/>
      <c r="Q36" s="56" t="n"/>
      <c r="R36" s="57" t="n"/>
      <c r="S36" s="57" t="n"/>
      <c r="T36" s="53" t="n"/>
      <c r="U36" s="53" t="n"/>
      <c r="V36" s="53" t="n"/>
      <c r="W36" s="53" t="n"/>
      <c r="X36" s="53" t="n"/>
      <c r="Y36" s="53" t="n"/>
    </row>
    <row r="37" ht="13.8" customFormat="1" customHeight="1" s="53">
      <c r="A37" s="53" t="n"/>
      <c r="B37" s="24" t="n"/>
      <c r="C37" s="53" t="n"/>
      <c r="D37" s="53" t="n"/>
      <c r="E37" s="53" t="n"/>
      <c r="F37" s="187" t="n"/>
      <c r="G37" s="53" t="n"/>
      <c r="H37" s="53" t="n"/>
      <c r="I37" s="53" t="n"/>
      <c r="J37" s="53" t="n"/>
      <c r="K37" s="53" t="n"/>
      <c r="M37" s="56" t="n"/>
      <c r="N37" s="56" t="n"/>
      <c r="O37" s="56" t="n"/>
      <c r="P37" s="56" t="n"/>
      <c r="Q37" s="56" t="n"/>
      <c r="R37" s="57" t="n"/>
      <c r="S37" s="57" t="n"/>
      <c r="T37" s="53" t="n"/>
      <c r="U37" s="53" t="n"/>
      <c r="V37" s="53" t="n"/>
      <c r="W37" s="53" t="n"/>
      <c r="X37" s="53" t="n"/>
      <c r="Y37" s="53" t="n"/>
    </row>
    <row r="38" ht="13.8" customFormat="1" customHeight="1" s="53">
      <c r="A38" s="53" t="n"/>
      <c r="B38" s="185" t="inlineStr">
        <is>
          <t>The spreadsheets contain no proprietary information from outside of Abbott Aerospace SEZC Ltd. If you think that we have used proprietary information inappropriately please let us know.</t>
        </is>
      </c>
      <c r="K38" s="53" t="n"/>
      <c r="M38" s="56" t="n"/>
      <c r="N38" s="56" t="n"/>
      <c r="O38" s="56" t="n"/>
      <c r="P38" s="56" t="n"/>
      <c r="Q38" s="56" t="n"/>
      <c r="R38" s="57" t="n"/>
      <c r="S38" s="57" t="n"/>
      <c r="T38" s="53" t="n"/>
      <c r="U38" s="53" t="n"/>
      <c r="V38" s="53" t="n"/>
      <c r="W38" s="53" t="n"/>
      <c r="X38" s="53" t="n"/>
      <c r="Y38" s="53" t="n"/>
    </row>
    <row r="39" ht="13.8" customFormat="1" customHeight="1" s="53">
      <c r="A39" s="53" t="n"/>
      <c r="K39" s="53" t="n"/>
      <c r="M39" s="56" t="n"/>
      <c r="N39" s="56" t="n"/>
      <c r="O39" s="56" t="n"/>
      <c r="P39" s="56" t="n"/>
      <c r="Q39" s="56" t="n"/>
      <c r="R39" s="57" t="n"/>
      <c r="S39" s="57" t="n"/>
      <c r="T39" s="53" t="n"/>
      <c r="U39" s="53" t="n"/>
      <c r="V39" s="53" t="n"/>
      <c r="W39" s="53" t="n"/>
      <c r="X39" s="53" t="n"/>
      <c r="Y39" s="53" t="n"/>
    </row>
    <row r="40" ht="13.8" customFormat="1" customHeight="1" s="53">
      <c r="A40" s="53" t="n"/>
      <c r="B40" s="185" t="n"/>
      <c r="C40" s="185" t="n"/>
      <c r="D40" s="185" t="n"/>
      <c r="E40" s="185" t="n"/>
      <c r="F40" s="185" t="n"/>
      <c r="G40" s="185" t="n"/>
      <c r="H40" s="185" t="n"/>
      <c r="I40" s="185" t="n"/>
      <c r="J40" s="185" t="n"/>
      <c r="K40" s="53" t="n"/>
      <c r="M40" s="56" t="n"/>
      <c r="N40" s="56" t="n"/>
      <c r="O40" s="56" t="n"/>
      <c r="P40" s="56" t="n"/>
      <c r="Q40" s="56" t="n"/>
      <c r="R40" s="57" t="n"/>
      <c r="S40" s="57" t="n"/>
      <c r="T40" s="53" t="n"/>
      <c r="U40" s="53" t="n"/>
      <c r="V40" s="53" t="n"/>
      <c r="W40" s="53" t="n"/>
      <c r="X40" s="53" t="n"/>
      <c r="Y40" s="53" t="n"/>
    </row>
    <row r="41" ht="13.8" customFormat="1" customHeight="1" s="53">
      <c r="A41" s="53" t="n"/>
      <c r="B41" s="185" t="inlineStr">
        <is>
          <t>Abbott Aerospace SEZC Ltd. grants the user the right to use, modify, reproduce and redistribute these spreadsheets. We just ask that if possible you maintain a credit naming Abbott Aerospace SEZC Ltd. as the source.</t>
        </is>
      </c>
      <c r="K41" s="53" t="n"/>
      <c r="M41" s="56" t="n"/>
      <c r="N41" s="56" t="n"/>
      <c r="O41" s="56" t="n"/>
      <c r="P41" s="56" t="n"/>
      <c r="Q41" s="56" t="n"/>
      <c r="R41" s="57" t="n"/>
      <c r="S41" s="57" t="n"/>
      <c r="T41" s="53" t="n"/>
      <c r="U41" s="53" t="n"/>
      <c r="V41" s="53" t="n"/>
      <c r="W41" s="53" t="n"/>
      <c r="X41" s="53" t="n"/>
      <c r="Y41" s="53" t="n"/>
    </row>
    <row r="42" ht="13.8" customFormat="1" customHeight="1" s="53">
      <c r="A42" s="53" t="n"/>
      <c r="K42" s="53" t="n"/>
      <c r="M42" s="56" t="n"/>
      <c r="N42" s="56" t="n"/>
      <c r="O42" s="56" t="n"/>
      <c r="P42" s="56" t="n"/>
      <c r="Q42" s="56" t="n"/>
      <c r="R42" s="57" t="n"/>
      <c r="S42" s="57" t="n"/>
      <c r="T42" s="53" t="n"/>
      <c r="U42" s="53" t="n"/>
      <c r="V42" s="53" t="n"/>
      <c r="W42" s="53" t="n"/>
      <c r="X42" s="53" t="n"/>
      <c r="Y42" s="53" t="n"/>
    </row>
    <row r="43" ht="13.8" customFormat="1" customHeight="1" s="53">
      <c r="A43" s="53" t="n"/>
      <c r="K43" s="53" t="n"/>
      <c r="M43" s="56" t="n"/>
      <c r="N43" s="56" t="n"/>
      <c r="O43" s="56" t="n"/>
      <c r="P43" s="56" t="n"/>
      <c r="Q43" s="56" t="n"/>
      <c r="R43" s="57" t="n"/>
      <c r="S43" s="57" t="n"/>
      <c r="T43" s="53" t="n"/>
      <c r="U43" s="53" t="n"/>
      <c r="V43" s="53" t="n"/>
      <c r="W43" s="53" t="n"/>
      <c r="X43" s="53" t="n"/>
      <c r="Y43" s="53" t="n"/>
    </row>
    <row r="44" ht="13.8" customFormat="1" customHeight="1" s="53">
      <c r="A44" s="53" t="n"/>
      <c r="B44" s="185" t="n"/>
      <c r="C44" s="185" t="n"/>
      <c r="D44" s="185" t="n"/>
      <c r="E44" s="185" t="n"/>
      <c r="F44" s="185" t="n"/>
      <c r="G44" s="185" t="n"/>
      <c r="H44" s="185" t="n"/>
      <c r="I44" s="185" t="n"/>
      <c r="J44" s="185" t="n"/>
      <c r="K44" s="53" t="n"/>
      <c r="M44" s="56" t="n"/>
      <c r="N44" s="56" t="n"/>
      <c r="O44" s="56" t="n"/>
      <c r="P44" s="56" t="n"/>
      <c r="Q44" s="56" t="n"/>
      <c r="R44" s="57" t="n"/>
      <c r="S44" s="57" t="n"/>
      <c r="T44" s="53" t="n"/>
      <c r="U44" s="53" t="n"/>
      <c r="V44" s="53" t="n"/>
      <c r="W44" s="53" t="n"/>
      <c r="X44" s="53" t="n"/>
      <c r="Y44" s="53" t="n"/>
    </row>
    <row r="45" ht="12.75" customFormat="1" customHeight="1" s="53">
      <c r="A45" s="53" t="n"/>
      <c r="B45" s="185" t="inlineStr">
        <is>
          <t>Our analysis spreadsheets in general do not use Visual Basic routines and the outcome of the analysis in the spreadsheets rely solely on native Excel functions.  The display of the math in these sheets rely on the XL-Viking add-in and the spreadsheets will not display correcly if the add-in is not installed.</t>
        </is>
      </c>
      <c r="K45" s="53" t="n"/>
      <c r="M45" s="56" t="n"/>
      <c r="N45" s="56" t="n"/>
      <c r="O45" s="56" t="n"/>
      <c r="P45" s="56" t="n"/>
      <c r="Q45" s="56" t="n"/>
      <c r="R45" s="57" t="n"/>
      <c r="S45" s="57" t="n"/>
      <c r="T45" s="53" t="n"/>
      <c r="U45" s="53" t="n"/>
      <c r="V45" s="53" t="n"/>
      <c r="W45" s="53" t="n"/>
      <c r="X45" s="53" t="n"/>
      <c r="Y45" s="53" t="n"/>
    </row>
    <row r="46" ht="13.8" customFormat="1" customHeight="1" s="53">
      <c r="A46" s="53" t="n"/>
      <c r="K46" s="53" t="n"/>
      <c r="M46" s="56" t="n"/>
      <c r="N46" s="56" t="n"/>
      <c r="O46" s="56" t="n"/>
      <c r="P46" s="56" t="n"/>
      <c r="Q46" s="56" t="n"/>
      <c r="R46" s="57" t="n"/>
      <c r="S46" s="57" t="n"/>
      <c r="T46" s="53" t="n"/>
      <c r="U46" s="53" t="n"/>
      <c r="V46" s="53" t="n"/>
      <c r="W46" s="53" t="n"/>
      <c r="X46" s="53" t="n"/>
      <c r="Y46" s="53" t="n"/>
    </row>
    <row r="47" ht="13.8" customFormat="1" customHeight="1" s="53">
      <c r="A47" s="53" t="n"/>
      <c r="K47" s="53" t="n"/>
      <c r="M47" s="56" t="n"/>
      <c r="N47" s="56" t="n"/>
      <c r="O47" s="56" t="n"/>
      <c r="P47" s="56" t="n"/>
      <c r="Q47" s="56" t="n"/>
      <c r="R47" s="57" t="n"/>
      <c r="S47" s="57" t="n"/>
      <c r="T47" s="53" t="n"/>
      <c r="U47" s="53" t="n"/>
      <c r="V47" s="53" t="n"/>
      <c r="W47" s="53" t="n"/>
      <c r="X47" s="53" t="n"/>
      <c r="Y47" s="53" t="n"/>
    </row>
    <row r="48" ht="12.75" customFormat="1" customHeight="1" s="53">
      <c r="A48" s="53" t="n"/>
      <c r="K48" s="53" t="n"/>
      <c r="M48" s="56" t="n"/>
      <c r="N48" s="56" t="n"/>
      <c r="O48" s="56" t="n"/>
      <c r="P48" s="56" t="n"/>
      <c r="Q48" s="56" t="n"/>
      <c r="R48" s="57" t="n"/>
      <c r="S48" s="57" t="n"/>
      <c r="T48" s="53" t="n"/>
      <c r="U48" s="53" t="n"/>
      <c r="V48" s="53" t="n"/>
      <c r="W48" s="53" t="n"/>
      <c r="X48" s="53" t="n"/>
      <c r="Y48" s="53" t="n"/>
    </row>
    <row r="49" ht="13.8" customFormat="1" customHeight="1" s="53">
      <c r="A49" s="53" t="n"/>
      <c r="B49" s="53" t="inlineStr">
        <is>
          <t>To find out more about the Xl-Viking Add-in and to download it for free:</t>
        </is>
      </c>
      <c r="C49" s="53" t="n"/>
      <c r="D49" s="53" t="n"/>
      <c r="E49" s="53" t="n"/>
      <c r="F49" s="53" t="n"/>
      <c r="G49" s="53" t="n"/>
      <c r="H49" s="53" t="n"/>
      <c r="I49" s="53" t="n"/>
      <c r="J49" s="53" t="n"/>
      <c r="K49" s="53" t="n"/>
      <c r="M49" s="56" t="n"/>
      <c r="N49" s="56" t="n"/>
      <c r="O49" s="56" t="n"/>
      <c r="P49" s="56" t="n"/>
      <c r="Q49" s="56" t="n"/>
      <c r="R49" s="57" t="n"/>
      <c r="S49" s="57" t="n"/>
      <c r="T49" s="53" t="n"/>
      <c r="U49" s="53" t="n"/>
      <c r="V49" s="53" t="n"/>
      <c r="W49" s="53" t="n"/>
      <c r="X49" s="53" t="n"/>
      <c r="Y49" s="53" t="n"/>
    </row>
    <row r="50" ht="13.8" customFormat="1" customHeight="1" s="53">
      <c r="A50" s="53" t="n"/>
      <c r="B50" s="53" t="n"/>
      <c r="C50" s="53" t="n"/>
      <c r="D50" s="53" t="n"/>
      <c r="F50" s="183" t="inlineStr">
        <is>
          <t>http://www.xl-viking.com/download-free-trial/</t>
        </is>
      </c>
      <c r="G50" s="187" t="n"/>
      <c r="H50" s="53" t="n"/>
      <c r="I50" s="53" t="n"/>
      <c r="J50" s="53" t="n"/>
      <c r="K50" s="53" t="n"/>
      <c r="M50" s="56" t="n"/>
      <c r="N50" s="56" t="n"/>
      <c r="O50" s="56" t="n"/>
      <c r="P50" s="56" t="n"/>
      <c r="Q50" s="56" t="n"/>
      <c r="R50" s="57" t="n"/>
      <c r="S50" s="57" t="n"/>
      <c r="T50" s="53" t="n"/>
      <c r="U50" s="53" t="n"/>
      <c r="V50" s="53" t="n"/>
      <c r="W50" s="53" t="n"/>
      <c r="X50" s="53" t="n"/>
      <c r="Y50" s="53" t="n"/>
    </row>
    <row r="51" ht="13.8" customFormat="1" customHeight="1" s="53">
      <c r="A51" s="53" t="n"/>
      <c r="B51" s="53" t="n"/>
      <c r="C51" s="53" t="n"/>
      <c r="D51" s="53" t="n"/>
      <c r="E51" s="53" t="n"/>
      <c r="F51" s="53" t="n"/>
      <c r="G51" s="53" t="n"/>
      <c r="H51" s="53" t="n"/>
      <c r="I51" s="53" t="n"/>
      <c r="J51" s="53" t="n"/>
      <c r="K51" s="53" t="n"/>
      <c r="M51" s="56" t="n"/>
      <c r="N51" s="56" t="n"/>
      <c r="O51" s="56" t="n"/>
      <c r="P51" s="56" t="n"/>
      <c r="Q51" s="56" t="n"/>
      <c r="R51" s="57" t="n"/>
      <c r="S51" s="57" t="n"/>
      <c r="T51" s="53" t="n"/>
      <c r="U51" s="53" t="n"/>
      <c r="V51" s="53" t="n"/>
      <c r="W51" s="53" t="n"/>
      <c r="X51" s="53" t="n"/>
      <c r="Y51" s="53" t="n"/>
    </row>
    <row r="52" ht="12.75" customFormat="1" customHeight="1" s="53">
      <c r="A52" s="53" t="n"/>
      <c r="B52" s="24" t="inlineStr">
        <is>
          <t>Support:</t>
        </is>
      </c>
      <c r="C52" s="53" t="n"/>
      <c r="D52" s="53" t="n"/>
      <c r="E52" s="53" t="n"/>
      <c r="F52" s="53" t="n"/>
      <c r="G52" s="53" t="n"/>
      <c r="H52" s="53" t="n"/>
      <c r="I52" s="53" t="n"/>
      <c r="J52" s="53" t="n"/>
      <c r="K52" s="53" t="n"/>
      <c r="M52" s="56" t="n"/>
      <c r="N52" s="56" t="n"/>
      <c r="O52" s="56" t="n"/>
      <c r="P52" s="56" t="n"/>
      <c r="Q52" s="56" t="n"/>
      <c r="R52" s="57" t="n"/>
      <c r="S52" s="57" t="n"/>
      <c r="T52" s="53" t="n"/>
      <c r="U52" s="53" t="n"/>
      <c r="V52" s="53" t="n"/>
      <c r="W52" s="53" t="n"/>
      <c r="X52" s="53" t="n"/>
      <c r="Y52" s="53" t="n"/>
    </row>
    <row r="53" ht="13.8" customFormat="1" customHeight="1" s="53">
      <c r="A53" s="53" t="n"/>
      <c r="B53" s="53" t="n"/>
      <c r="C53" s="53" t="n"/>
      <c r="D53" s="53" t="n"/>
      <c r="E53" s="53" t="n"/>
      <c r="F53" s="53" t="n"/>
      <c r="G53" s="53" t="n"/>
      <c r="H53" s="53" t="n"/>
      <c r="I53" s="53" t="n"/>
      <c r="J53" s="53" t="n"/>
      <c r="K53" s="53" t="n"/>
      <c r="M53" s="56" t="n"/>
      <c r="N53" s="56" t="n"/>
      <c r="O53" s="56" t="n"/>
      <c r="P53" s="56" t="n"/>
      <c r="Q53" s="56" t="n"/>
      <c r="R53" s="57" t="n"/>
      <c r="S53" s="57" t="n"/>
      <c r="T53" s="53" t="n"/>
      <c r="U53" s="53" t="n"/>
      <c r="V53" s="53" t="n"/>
      <c r="W53" s="53" t="n"/>
      <c r="X53" s="53" t="n"/>
      <c r="Y53" s="53" t="n"/>
    </row>
    <row r="54" ht="13.8" customFormat="1" customHeight="1" s="53">
      <c r="A54" s="53" t="n"/>
      <c r="B54" s="186" t="inlineStr">
        <is>
          <t>You can help support the work of the Abbott Aerospace Technical Library. We provide all of our library services without a mandatory charge. We rely on the goodwill of our users making voluntary donatations to help us support and expand the services we provide. Click the link below to make a donation.</t>
        </is>
      </c>
      <c r="K54" s="53" t="n"/>
      <c r="M54" s="56" t="n"/>
      <c r="N54" s="56" t="n"/>
      <c r="O54" s="56" t="n"/>
      <c r="P54" s="56" t="n"/>
      <c r="Q54" s="56" t="n"/>
      <c r="R54" s="57" t="n"/>
      <c r="S54" s="57" t="n"/>
      <c r="T54" s="53" t="n"/>
      <c r="U54" s="53" t="n"/>
      <c r="V54" s="53" t="n"/>
      <c r="W54" s="53" t="n"/>
      <c r="X54" s="53" t="n"/>
      <c r="Y54" s="53" t="n"/>
    </row>
    <row r="55" ht="13.8" customFormat="1" customHeight="1" s="53">
      <c r="A55" s="53" t="n"/>
      <c r="K55" s="53" t="n"/>
      <c r="M55" s="56" t="n"/>
      <c r="N55" s="56" t="n"/>
      <c r="O55" s="56" t="n"/>
      <c r="P55" s="56" t="n"/>
      <c r="Q55" s="56" t="n"/>
      <c r="R55" s="57" t="n"/>
      <c r="S55" s="57" t="n"/>
      <c r="T55" s="53" t="n"/>
      <c r="U55" s="53" t="n"/>
      <c r="V55" s="53" t="n"/>
      <c r="W55" s="53" t="n"/>
      <c r="X55" s="53" t="n"/>
      <c r="Y55" s="53" t="n"/>
    </row>
    <row r="56" ht="13.8" customFormat="1" customHeight="1" s="53">
      <c r="A56" s="53" t="n"/>
      <c r="K56" s="53" t="n"/>
      <c r="M56" s="56" t="n"/>
      <c r="N56" s="56" t="n"/>
      <c r="P56" s="56" t="n"/>
      <c r="Q56" s="56" t="n"/>
      <c r="R56" s="57" t="n"/>
      <c r="S56" s="57" t="n"/>
      <c r="T56" s="53" t="n"/>
      <c r="U56" s="53" t="n"/>
      <c r="V56" s="53" t="n"/>
      <c r="W56" s="53" t="n"/>
      <c r="X56" s="53" t="n"/>
      <c r="Y56" s="53" t="n"/>
    </row>
    <row r="57" ht="13.8" customFormat="1" customHeight="1" s="53">
      <c r="A57" s="53" t="n"/>
      <c r="B57" s="53" t="n"/>
      <c r="C57" s="53" t="n"/>
      <c r="D57" s="53" t="n"/>
      <c r="F57" s="187" t="n"/>
      <c r="G57" s="53" t="n"/>
      <c r="H57" s="53" t="n"/>
      <c r="I57" s="53" t="n"/>
      <c r="J57" s="53" t="n"/>
      <c r="K57" s="53" t="n"/>
      <c r="M57" s="56" t="n"/>
      <c r="N57" s="56" t="n"/>
      <c r="O57" s="56" t="n"/>
      <c r="P57" s="56" t="n"/>
      <c r="Q57" s="56" t="n"/>
      <c r="R57" s="57" t="n"/>
      <c r="S57" s="57" t="n"/>
      <c r="T57" s="53" t="n"/>
      <c r="U57" s="53" t="n"/>
      <c r="V57" s="53" t="n"/>
      <c r="W57" s="53" t="n"/>
      <c r="X57" s="53" t="n"/>
      <c r="Y57" s="53" t="n"/>
    </row>
    <row r="58" ht="13.8" customFormat="1" customHeight="1" s="53">
      <c r="A58" s="53" t="n"/>
      <c r="B58" s="53" t="n"/>
      <c r="C58" s="53" t="n"/>
      <c r="D58" s="53" t="n"/>
      <c r="E58" s="53" t="n"/>
      <c r="F58" s="53" t="n"/>
      <c r="G58" s="53" t="n"/>
      <c r="H58" s="53" t="n"/>
      <c r="I58" s="53" t="n"/>
      <c r="J58" s="53" t="n"/>
      <c r="K58" s="53" t="n"/>
      <c r="M58" s="56" t="n"/>
      <c r="N58" s="56" t="n"/>
      <c r="O58" s="56" t="n"/>
      <c r="P58" s="56" t="n"/>
      <c r="Q58" s="56" t="n"/>
      <c r="R58" s="57" t="n"/>
      <c r="S58" s="57" t="n"/>
      <c r="T58" s="53" t="n"/>
      <c r="U58" s="53" t="n"/>
      <c r="V58" s="53" t="n"/>
      <c r="W58" s="53" t="n"/>
      <c r="X58" s="53" t="n"/>
      <c r="Y58" s="53" t="n"/>
    </row>
    <row r="59" ht="13.8" customFormat="1" customHeight="1" s="53">
      <c r="K59" s="53" t="n"/>
      <c r="M59" s="56" t="n"/>
      <c r="N59" s="56" t="n"/>
      <c r="O59" s="184" t="n"/>
      <c r="P59" s="56" t="n"/>
      <c r="Q59" s="56" t="n"/>
      <c r="R59" s="57" t="n"/>
      <c r="S59" s="57" t="n"/>
      <c r="T59" s="53" t="n"/>
      <c r="U59" s="53" t="n"/>
      <c r="V59" s="53" t="n"/>
      <c r="W59" s="53" t="n"/>
      <c r="X59" s="53" t="n"/>
      <c r="Y59" s="53" t="n"/>
    </row>
    <row r="60" ht="13.8" customFormat="1" customHeight="1" s="53">
      <c r="A60" s="53" t="n"/>
      <c r="B60" s="53" t="inlineStr">
        <is>
          <t>Find out more about the Design and Analysis services provided by Abbott Aerospace</t>
        </is>
      </c>
      <c r="C60" s="53" t="n"/>
      <c r="D60" s="53" t="n"/>
      <c r="E60" s="53" t="n"/>
      <c r="F60" s="53" t="n"/>
      <c r="G60" s="53" t="n"/>
      <c r="H60" s="53" t="n"/>
      <c r="I60" s="53" t="n"/>
      <c r="J60" s="53" t="n"/>
      <c r="K60" s="53" t="n"/>
      <c r="M60" s="56" t="n"/>
      <c r="N60" s="56" t="n"/>
      <c r="O60" s="56" t="n"/>
      <c r="P60" s="56" t="n"/>
      <c r="Q60" s="56" t="n"/>
      <c r="R60" s="57" t="n"/>
      <c r="S60" s="57" t="n"/>
      <c r="T60" s="53" t="n"/>
      <c r="U60" s="53" t="n"/>
      <c r="V60" s="53" t="n"/>
      <c r="W60" s="53" t="n"/>
      <c r="X60" s="53" t="n"/>
      <c r="Y60" s="53" t="n"/>
    </row>
    <row r="61" ht="13.8" customFormat="1" customHeight="1" s="53">
      <c r="A61" s="53" t="n"/>
      <c r="C61" s="53" t="n"/>
      <c r="D61" s="53" t="n"/>
      <c r="F61" s="183" t="inlineStr">
        <is>
          <t>http://www.abbottaerospace.com/engineering-services</t>
        </is>
      </c>
      <c r="G61" s="187" t="n"/>
      <c r="H61" s="53" t="n"/>
      <c r="I61" s="53" t="n"/>
      <c r="J61" s="53" t="n"/>
      <c r="K61" s="53" t="n"/>
      <c r="M61" s="56" t="n"/>
      <c r="N61" s="56" t="n"/>
      <c r="O61" s="56" t="n"/>
      <c r="P61" s="56" t="n"/>
      <c r="Q61" s="56" t="n"/>
      <c r="R61" s="57" t="n"/>
      <c r="S61" s="57" t="n"/>
      <c r="T61" s="53" t="n"/>
      <c r="U61" s="53" t="n"/>
      <c r="V61" s="53" t="n"/>
      <c r="W61" s="53" t="n"/>
      <c r="X61" s="53" t="n"/>
      <c r="Y61" s="53" t="n"/>
    </row>
    <row r="62" ht="13.8" customFormat="1" customHeight="1" s="53">
      <c r="A62" s="53" t="n"/>
      <c r="B62" s="53" t="n"/>
      <c r="C62" s="53" t="n"/>
      <c r="D62" s="53" t="n"/>
      <c r="E62" s="53" t="n"/>
      <c r="F62" s="53" t="n"/>
      <c r="G62" s="53" t="n"/>
      <c r="H62" s="53" t="n"/>
      <c r="I62" s="53" t="n"/>
      <c r="J62" s="53" t="n"/>
      <c r="K62" s="53" t="n"/>
      <c r="M62" s="56" t="n"/>
      <c r="N62" s="56" t="n"/>
      <c r="O62" s="56" t="n"/>
      <c r="P62" s="56" t="n"/>
      <c r="Q62" s="56" t="n"/>
      <c r="R62" s="57" t="n"/>
      <c r="S62" s="57" t="n"/>
      <c r="T62" s="53" t="n"/>
      <c r="U62" s="53" t="n"/>
      <c r="V62" s="53" t="n"/>
      <c r="W62" s="53" t="n"/>
      <c r="X62" s="53" t="n"/>
      <c r="Y62" s="53" t="n"/>
    </row>
  </sheetData>
  <mergeCells count="9">
    <mergeCell ref="B16:J19"/>
    <mergeCell ref="D34:H34"/>
    <mergeCell ref="B41:J43"/>
    <mergeCell ref="B45:J48"/>
    <mergeCell ref="B26:J27"/>
    <mergeCell ref="B38:J39"/>
    <mergeCell ref="B22:J24"/>
    <mergeCell ref="B54:J56"/>
    <mergeCell ref="B29:J33"/>
  </mergeCells>
  <hyperlinks>
    <hyperlink xmlns:r="http://schemas.openxmlformats.org/officeDocument/2006/relationships" ref="F25" r:id="rId1"/>
    <hyperlink xmlns:r="http://schemas.openxmlformats.org/officeDocument/2006/relationships" ref="D34" tooltip="Send E-mail to Abbott Aerospace Inc." r:id="rId2"/>
    <hyperlink xmlns:r="http://schemas.openxmlformats.org/officeDocument/2006/relationships" ref="F50" r:id="rId3"/>
    <hyperlink xmlns:r="http://schemas.openxmlformats.org/officeDocument/2006/relationships" ref="F61" r:id="rId4"/>
  </hyperlinks>
  <pageMargins left="0.4724409448818898" right="0.2362204724409449" top="0.3149606299212598" bottom="0.8267716535433072" header="0.3149606299212598" footer="0.4724409448818898"/>
  <pageSetup orientation="portrait" scale="95"/>
  <headerFooter alignWithMargins="0">
    <oddHeader/>
    <oddFooter>&amp;C&amp;"Arial,Bold"ABBOTT AEROSPACE INC. PROPRIETARY INFORMATION&amp;"Arial,Regular"_x000a_Subject to restrictions on the cover or first page</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BQ7591"/>
  <sheetViews>
    <sheetView tabSelected="1" view="pageBreakPreview" topLeftCell="A7" zoomScale="70" zoomScaleNormal="100" zoomScaleSheetLayoutView="70" workbookViewId="0">
      <selection activeCell="J31" sqref="J31"/>
    </sheetView>
  </sheetViews>
  <sheetFormatPr baseColWidth="8" defaultColWidth="9.109375" defaultRowHeight="15.6"/>
  <cols>
    <col width="9.109375" customWidth="1" style="25" min="1" max="1"/>
    <col width="9.33203125" bestFit="1" customWidth="1" style="25" min="2" max="2"/>
    <col width="9.5546875" bestFit="1" customWidth="1" style="25" min="3" max="3"/>
    <col width="9.109375" customWidth="1" style="25" min="4" max="11"/>
    <col width="5.44140625" customWidth="1" style="70" min="12" max="12"/>
    <col width="4.109375" customWidth="1" style="27" min="13" max="20"/>
    <col width="9.109375" customWidth="1" style="25" min="21" max="16384"/>
  </cols>
  <sheetData>
    <row r="1" ht="13.8" customFormat="1" customHeight="1" s="53">
      <c r="A1" s="1" t="n"/>
      <c r="B1" s="2" t="inlineStr">
        <is>
          <t>Author:</t>
        </is>
      </c>
      <c r="C1" s="3" t="inlineStr">
        <is>
          <t>R. Abbott</t>
        </is>
      </c>
      <c r="D1" s="1" t="n"/>
      <c r="E1" s="1" t="n"/>
      <c r="F1" s="2" t="inlineStr">
        <is>
          <t>Total Report Pages:</t>
        </is>
      </c>
      <c r="G1" s="4">
        <f>X1</f>
        <v/>
      </c>
      <c r="H1" s="1" t="n"/>
      <c r="I1" s="1" t="n"/>
      <c r="J1" s="1" t="n"/>
      <c r="K1" s="1" t="n"/>
      <c r="M1" s="6" t="inlineStr">
        <is>
          <t xml:space="preserve">Page </t>
        </is>
      </c>
      <c r="N1" s="6" t="inlineStr">
        <is>
          <t>Title</t>
        </is>
      </c>
      <c r="O1" s="6" t="inlineStr">
        <is>
          <t>Sub</t>
        </is>
      </c>
      <c r="P1" s="6" t="inlineStr">
        <is>
          <t>Sub</t>
        </is>
      </c>
      <c r="Q1" s="6" t="inlineStr">
        <is>
          <t>Sub</t>
        </is>
      </c>
      <c r="R1" s="6" t="inlineStr">
        <is>
          <t>Fig</t>
        </is>
      </c>
      <c r="S1" s="31" t="inlineStr">
        <is>
          <t>Table</t>
        </is>
      </c>
      <c r="T1" s="32" t="inlineStr">
        <is>
          <t>Running Counts</t>
        </is>
      </c>
      <c r="W1" s="54" t="inlineStr">
        <is>
          <t>Total Sheet Pages:</t>
        </is>
      </c>
      <c r="X1" s="55">
        <f>SUM(M:M)</f>
        <v/>
      </c>
    </row>
    <row r="2" ht="13.8" customFormat="1" customHeight="1" s="53">
      <c r="A2" s="1" t="n"/>
      <c r="B2" s="2" t="inlineStr">
        <is>
          <t>Check:</t>
        </is>
      </c>
      <c r="C2" s="3" t="inlineStr">
        <is>
          <t xml:space="preserve"> </t>
        </is>
      </c>
      <c r="D2" s="1" t="n"/>
      <c r="E2" s="1" t="n"/>
      <c r="F2" s="2" t="inlineStr">
        <is>
          <t>Report:</t>
        </is>
      </c>
      <c r="G2" s="3" t="inlineStr">
        <is>
          <t>AA-SM-009-005</t>
        </is>
      </c>
      <c r="H2" s="1" t="n"/>
      <c r="I2" s="1" t="n"/>
      <c r="J2" s="1" t="n"/>
      <c r="K2" s="1" t="n"/>
      <c r="M2" s="9" t="inlineStr">
        <is>
          <t>No</t>
        </is>
      </c>
      <c r="N2" s="9" t="inlineStr">
        <is>
          <t>No</t>
        </is>
      </c>
      <c r="O2" s="9" t="inlineStr">
        <is>
          <t>Title</t>
        </is>
      </c>
      <c r="P2" s="9" t="inlineStr">
        <is>
          <t>Title</t>
        </is>
      </c>
      <c r="Q2" s="9" t="inlineStr">
        <is>
          <t>Title</t>
        </is>
      </c>
      <c r="R2" s="9" t="inlineStr">
        <is>
          <t>No</t>
        </is>
      </c>
      <c r="S2" s="33" t="inlineStr">
        <is>
          <t>No</t>
        </is>
      </c>
      <c r="T2" s="34" t="n"/>
      <c r="W2" s="54" t="inlineStr">
        <is>
          <t>Total Title No:</t>
        </is>
      </c>
      <c r="X2" s="55">
        <f>SUM(N:N)</f>
        <v/>
      </c>
    </row>
    <row r="3" ht="13.8" customFormat="1" customHeight="1" s="53">
      <c r="A3" s="1" t="n"/>
      <c r="B3" s="2" t="inlineStr">
        <is>
          <t>Date:</t>
        </is>
      </c>
      <c r="C3" s="10" t="inlineStr">
        <is>
          <t>20/10/2013</t>
        </is>
      </c>
      <c r="D3" s="1" t="n"/>
      <c r="E3" s="1" t="n"/>
      <c r="F3" s="2" t="inlineStr">
        <is>
          <t>Revision:</t>
        </is>
      </c>
      <c r="G3" s="3" t="inlineStr">
        <is>
          <t>IR</t>
        </is>
      </c>
      <c r="H3" s="1" t="n"/>
      <c r="I3" s="1" t="n"/>
      <c r="J3" s="1" t="n"/>
      <c r="K3" s="1" t="n"/>
      <c r="M3" s="9" t="n"/>
      <c r="N3" s="9" t="n"/>
      <c r="O3" s="9" t="n"/>
      <c r="P3" s="9" t="n"/>
      <c r="Q3" s="9" t="n"/>
      <c r="R3" s="9" t="n"/>
      <c r="S3" s="33" t="n"/>
      <c r="T3" s="34" t="n"/>
      <c r="W3" s="54" t="inlineStr">
        <is>
          <t>Total Sub No:</t>
        </is>
      </c>
      <c r="X3" s="55">
        <f>SUM(O:O)</f>
        <v/>
      </c>
    </row>
    <row r="4" ht="13.8" customFormat="1" customHeight="1" s="53">
      <c r="A4" s="1" t="n"/>
      <c r="B4" s="2" t="inlineStr">
        <is>
          <t>Section Number:</t>
        </is>
      </c>
      <c r="C4" s="4" t="n"/>
      <c r="D4" s="1" t="n"/>
      <c r="E4" s="1" t="n"/>
      <c r="F4" s="2" t="inlineStr">
        <is>
          <t>Sheet Name</t>
        </is>
      </c>
      <c r="G4" s="3" t="inlineStr">
        <is>
          <t>LUG ANALYSIS - OBLIQUE STRENGTH</t>
        </is>
      </c>
      <c r="H4" s="1" t="n"/>
      <c r="I4" s="1" t="n"/>
      <c r="J4" s="1" t="n"/>
      <c r="K4" s="1" t="n"/>
      <c r="M4" s="9" t="n"/>
      <c r="N4" s="9" t="n"/>
      <c r="O4" s="9" t="n"/>
      <c r="P4" s="9" t="n"/>
      <c r="Q4" s="11" t="n"/>
      <c r="R4" s="12" t="n"/>
      <c r="S4" s="35" t="n"/>
      <c r="T4" s="34" t="n"/>
      <c r="W4" s="54" t="inlineStr">
        <is>
          <t>Total Sub No:</t>
        </is>
      </c>
      <c r="X4" s="55">
        <f>SUM(P:P)</f>
        <v/>
      </c>
    </row>
    <row r="5" ht="13.8" customFormat="1" customHeight="1" s="53">
      <c r="A5" s="1" t="n"/>
      <c r="B5" s="2" t="inlineStr">
        <is>
          <t>Report Title:</t>
        </is>
      </c>
      <c r="C5" s="4" t="inlineStr">
        <is>
          <t>STANDARD SPREADSHEET METHOD</t>
        </is>
      </c>
      <c r="D5" s="1" t="n"/>
      <c r="E5" s="2" t="n"/>
      <c r="F5" s="1" t="n"/>
      <c r="G5" s="1" t="n"/>
      <c r="H5" s="1" t="n"/>
      <c r="I5" s="1" t="n"/>
      <c r="J5" s="1" t="n"/>
      <c r="K5" s="1" t="n"/>
      <c r="M5" s="9" t="n"/>
      <c r="N5" s="9" t="n"/>
      <c r="O5" s="9" t="n"/>
      <c r="P5" s="9" t="n"/>
      <c r="Q5" s="11" t="n"/>
      <c r="R5" s="12" t="n"/>
      <c r="S5" s="35" t="n"/>
      <c r="T5" s="34" t="n"/>
      <c r="W5" s="54" t="inlineStr">
        <is>
          <t>Total Sub No:</t>
        </is>
      </c>
      <c r="X5" s="55">
        <f>SUM(Q:Q)</f>
        <v/>
      </c>
    </row>
    <row r="6" ht="13.8" customFormat="1" customHeight="1" s="53">
      <c r="A6" s="1" t="n"/>
      <c r="B6" s="1" t="inlineStr">
        <is>
          <t>Section:</t>
        </is>
      </c>
      <c r="C6" s="13" t="n"/>
      <c r="D6" s="1" t="n"/>
      <c r="E6" s="1" t="n"/>
      <c r="F6" s="1" t="n"/>
      <c r="G6" s="1" t="n"/>
      <c r="H6" s="1" t="n"/>
      <c r="I6" s="1" t="n"/>
      <c r="J6" s="1" t="n"/>
      <c r="K6" s="1" t="n"/>
      <c r="M6" s="9" t="n"/>
      <c r="N6" s="9" t="n"/>
      <c r="O6" s="9" t="n"/>
      <c r="P6" s="9" t="n"/>
      <c r="Q6" s="11" t="n"/>
      <c r="R6" s="12" t="n"/>
      <c r="S6" s="35" t="n"/>
      <c r="T6" s="34" t="n"/>
      <c r="W6" s="54" t="inlineStr">
        <is>
          <t>Total Fig No:</t>
        </is>
      </c>
      <c r="X6" s="55">
        <f>SUM(R:R)</f>
        <v/>
      </c>
    </row>
    <row r="7" ht="13.8" customFormat="1" customHeight="1" s="53">
      <c r="A7" s="1" t="n"/>
      <c r="B7" s="1" t="n"/>
      <c r="C7" s="1" t="n"/>
      <c r="D7" s="1" t="n"/>
      <c r="E7" s="1" t="n"/>
      <c r="F7" s="1" t="n"/>
      <c r="G7" s="1" t="n"/>
      <c r="H7" s="1" t="n"/>
      <c r="I7" s="1" t="n"/>
      <c r="J7" s="1" t="n"/>
      <c r="K7" s="1" t="n"/>
      <c r="M7" s="9" t="n"/>
      <c r="N7" s="9" t="n"/>
      <c r="O7" s="9" t="n"/>
      <c r="P7" s="9" t="n"/>
      <c r="Q7" s="11" t="n"/>
      <c r="R7" s="12" t="n"/>
      <c r="S7" s="35" t="n"/>
      <c r="T7" s="34" t="n"/>
      <c r="W7" s="54" t="inlineStr">
        <is>
          <t>Total Table No:</t>
        </is>
      </c>
      <c r="X7" s="55">
        <f>SUM(S:S)</f>
        <v/>
      </c>
    </row>
    <row r="8" ht="13.8" customFormat="1" customHeight="1" s="53">
      <c r="A8" s="14" t="n"/>
      <c r="E8" s="54" t="inlineStr">
        <is>
          <t>Author:</t>
        </is>
      </c>
      <c r="F8" s="55">
        <f>$C$1</f>
        <v/>
      </c>
      <c r="H8" s="15" t="n"/>
      <c r="I8" s="54" t="inlineStr">
        <is>
          <t>Document Number:</t>
        </is>
      </c>
      <c r="J8" s="16">
        <f>$G$2</f>
        <v/>
      </c>
      <c r="K8" s="17" t="n"/>
      <c r="L8" s="52" t="n"/>
      <c r="M8" s="9" t="n"/>
      <c r="N8" s="9" t="n"/>
      <c r="O8" s="9" t="n"/>
      <c r="P8" s="9" t="n"/>
      <c r="Q8" s="11" t="n"/>
      <c r="R8" s="12" t="n"/>
      <c r="S8" s="35" t="n"/>
      <c r="T8" s="34" t="n"/>
    </row>
    <row r="9" ht="13.8" customFormat="1" customHeight="1" s="53">
      <c r="E9" s="54" t="inlineStr">
        <is>
          <t>Check:</t>
        </is>
      </c>
      <c r="F9" s="15">
        <f>$C$2</f>
        <v/>
      </c>
      <c r="H9" s="15" t="n"/>
      <c r="I9" s="54" t="inlineStr">
        <is>
          <t>Revision Level :</t>
        </is>
      </c>
      <c r="J9" s="17">
        <f>$G$3</f>
        <v/>
      </c>
      <c r="K9" s="17" t="n"/>
      <c r="L9" s="52" t="n"/>
      <c r="M9" s="9" t="n">
        <v>1</v>
      </c>
      <c r="N9" s="9" t="n"/>
      <c r="O9" s="9" t="n"/>
      <c r="P9" s="9" t="n"/>
      <c r="Q9" s="11" t="n"/>
      <c r="R9" s="12" t="n"/>
      <c r="S9" s="35" t="n"/>
      <c r="T9" s="34" t="n"/>
    </row>
    <row r="10" ht="13.8" customFormat="1" customHeight="1" s="53">
      <c r="E10" s="54" t="inlineStr">
        <is>
          <t>Date:</t>
        </is>
      </c>
      <c r="F10" s="15">
        <f>$C$3</f>
        <v/>
      </c>
      <c r="H10" s="15" t="n"/>
      <c r="I10" s="54" t="inlineStr">
        <is>
          <t>Page:</t>
        </is>
      </c>
      <c r="J10" s="55">
        <f>L10&amp;" of "&amp;$G$1</f>
        <v/>
      </c>
      <c r="K10" s="15" t="n"/>
      <c r="L10" s="52">
        <f>SUM($M$1:M9)</f>
        <v/>
      </c>
      <c r="M10" s="9" t="n"/>
      <c r="N10" s="9" t="n"/>
      <c r="O10" s="9" t="n"/>
      <c r="P10" s="9" t="n"/>
      <c r="Q10" s="11" t="n"/>
      <c r="R10" s="12" t="n"/>
      <c r="S10" s="35" t="n"/>
      <c r="T10" s="34" t="n"/>
    </row>
    <row r="11" ht="13.8" customFormat="1" customHeight="1" s="53">
      <c r="A11" s="70" t="n"/>
      <c r="B11" s="70" t="n"/>
      <c r="C11" s="70" t="n"/>
      <c r="D11" s="70" t="n"/>
      <c r="E11" s="54" t="inlineStr">
        <is>
          <t>Title:</t>
        </is>
      </c>
      <c r="F11" s="15">
        <f>$C$5</f>
        <v/>
      </c>
      <c r="I11" s="19" t="n"/>
      <c r="J11" s="55" t="n"/>
      <c r="M11" s="9" t="n"/>
      <c r="N11" s="9" t="n"/>
      <c r="O11" s="9" t="n"/>
      <c r="P11" s="9" t="n"/>
      <c r="Q11" s="9" t="n"/>
      <c r="R11" s="9" t="n"/>
      <c r="S11" s="33" t="n"/>
      <c r="T11" s="34" t="n"/>
    </row>
    <row r="12" customFormat="1" s="109">
      <c r="A12" s="61" t="n"/>
      <c r="B12" s="21">
        <f>G4</f>
        <v/>
      </c>
      <c r="C12" s="62" t="n"/>
      <c r="D12" s="62" t="n"/>
      <c r="E12" s="63" t="n"/>
      <c r="F12" s="62" t="n"/>
      <c r="G12" s="62" t="n"/>
      <c r="H12" s="62" t="n"/>
      <c r="I12" s="62" t="n"/>
      <c r="J12" s="62" t="n"/>
      <c r="K12" s="62" t="n"/>
      <c r="L12" s="109" t="n"/>
      <c r="M12" s="36" t="n"/>
      <c r="N12" s="86" t="n"/>
      <c r="O12" s="86" t="n"/>
      <c r="P12" s="86" t="n"/>
      <c r="Q12" s="86" t="n"/>
      <c r="R12" s="36" t="n"/>
      <c r="S12" s="36" t="n"/>
      <c r="T12" s="38" t="n"/>
    </row>
    <row r="13" ht="13.8" customFormat="1" customHeight="1" s="70">
      <c r="A13" s="64" t="n"/>
      <c r="B13" s="182" t="inlineStr">
        <is>
          <t>(NASA TM X-73305, 1975)</t>
        </is>
      </c>
      <c r="C13" s="64" t="n"/>
      <c r="D13" s="64" t="n"/>
      <c r="E13" s="64" t="n"/>
      <c r="F13" s="64" t="n"/>
      <c r="G13" s="64" t="n"/>
      <c r="H13" s="64" t="n"/>
      <c r="I13" s="64" t="n"/>
      <c r="J13" s="64" t="n"/>
      <c r="K13" s="64" t="n"/>
      <c r="L13" s="29" t="n"/>
      <c r="M13" s="27" t="n"/>
      <c r="N13" s="27" t="n"/>
      <c r="O13" s="27" t="n"/>
      <c r="P13" s="27" t="n"/>
      <c r="Q13" s="27" t="n"/>
      <c r="R13" s="27" t="n"/>
      <c r="S13" s="27" t="n"/>
      <c r="T13" s="27" t="n"/>
      <c r="AX13" s="146" t="n"/>
      <c r="AY13" s="109" t="n"/>
    </row>
    <row r="14" ht="13.8" customFormat="1" customHeight="1" s="70">
      <c r="A14" s="64" t="n"/>
      <c r="B14" s="65" t="n"/>
      <c r="C14" s="64" t="n"/>
      <c r="D14" s="66" t="n"/>
      <c r="E14" s="64" t="n"/>
      <c r="F14" s="66" t="inlineStr">
        <is>
          <t>P₁ =</t>
        </is>
      </c>
      <c r="G14" s="111" t="n">
        <v>71453</v>
      </c>
      <c r="H14" s="64" t="inlineStr">
        <is>
          <t>lb</t>
        </is>
      </c>
      <c r="I14" s="64" t="inlineStr">
        <is>
          <t>Applied Ultimate Axial Load</t>
        </is>
      </c>
      <c r="J14" s="64" t="n"/>
      <c r="K14" s="64" t="n"/>
      <c r="M14" s="27" t="n"/>
      <c r="N14" s="27" t="n"/>
      <c r="O14" s="27" t="n"/>
      <c r="P14" s="27" t="n"/>
      <c r="Q14" s="27" t="n"/>
      <c r="R14" s="27" t="n"/>
      <c r="S14" s="27" t="n"/>
      <c r="T14" s="27" t="n"/>
      <c r="AN14" s="79" t="n"/>
      <c r="AO14" s="80" t="n">
        <v>1</v>
      </c>
      <c r="AP14" s="81" t="n">
        <v>2</v>
      </c>
      <c r="AQ14" s="80" t="n">
        <v>3</v>
      </c>
      <c r="AR14" s="81" t="n">
        <v>4</v>
      </c>
      <c r="AS14" s="150" t="n">
        <v>5</v>
      </c>
      <c r="AT14" s="80" t="n">
        <v>6</v>
      </c>
      <c r="AU14" s="81" t="n">
        <v>7</v>
      </c>
      <c r="AV14" s="80" t="n">
        <v>8</v>
      </c>
      <c r="AW14" s="146" t="n"/>
      <c r="AX14" s="146" t="n"/>
      <c r="AY14" s="109" t="n"/>
      <c r="AZ14" s="79" t="n"/>
      <c r="BA14" s="80" t="inlineStr">
        <is>
          <t>1a</t>
        </is>
      </c>
      <c r="BB14" s="81" t="inlineStr">
        <is>
          <t>1b</t>
        </is>
      </c>
      <c r="BC14" s="80" t="n"/>
      <c r="BD14" s="80" t="inlineStr">
        <is>
          <t>1c</t>
        </is>
      </c>
      <c r="BE14" s="81" t="n">
        <v>2</v>
      </c>
      <c r="BF14" s="150" t="n">
        <v>3</v>
      </c>
      <c r="BG14" s="80" t="n">
        <v>4</v>
      </c>
      <c r="BH14" s="81" t="n">
        <v>5</v>
      </c>
      <c r="BI14" s="80" t="n">
        <v>6</v>
      </c>
      <c r="BJ14" s="81" t="n">
        <v>7</v>
      </c>
      <c r="BK14" s="80" t="n">
        <v>8</v>
      </c>
      <c r="BL14" s="81" t="n">
        <v>9</v>
      </c>
      <c r="BM14" s="80" t="n">
        <v>10</v>
      </c>
      <c r="BN14" s="80" t="n">
        <v>11</v>
      </c>
      <c r="BO14" s="146" t="n"/>
      <c r="BP14" s="146" t="n"/>
      <c r="BQ14" s="109" t="n"/>
    </row>
    <row r="15" ht="13.8" customFormat="1" customHeight="1" s="70">
      <c r="A15" s="64" t="n"/>
      <c r="B15" s="65" t="n"/>
      <c r="C15" s="64" t="n"/>
      <c r="D15" s="66" t="n"/>
      <c r="F15" s="66" t="inlineStr">
        <is>
          <t>P₂ =</t>
        </is>
      </c>
      <c r="G15" s="111" t="n">
        <v>119090</v>
      </c>
      <c r="H15" s="64" t="inlineStr">
        <is>
          <t>lb</t>
        </is>
      </c>
      <c r="I15" s="64" t="inlineStr">
        <is>
          <t>Applied Ultimate Transverse Load</t>
        </is>
      </c>
      <c r="K15" s="109" t="n"/>
      <c r="M15" s="27" t="n"/>
      <c r="N15" s="27" t="n"/>
      <c r="O15" s="27" t="n"/>
      <c r="P15" s="27" t="n"/>
      <c r="Q15" s="27" t="n"/>
      <c r="R15" s="27" t="n"/>
      <c r="S15" s="27" t="n"/>
      <c r="T15" s="27" t="n"/>
      <c r="V15" s="189" t="n"/>
      <c r="W15" s="189" t="n"/>
      <c r="Y15" s="53" t="n"/>
      <c r="Z15" s="53" t="n"/>
      <c r="AA15" s="53" t="n"/>
      <c r="AB15" s="53" t="n"/>
      <c r="AC15" s="54" t="n"/>
      <c r="AD15" s="53" t="n"/>
      <c r="AE15" s="53" t="n"/>
      <c r="AF15" s="53" t="n"/>
      <c r="AG15" s="53" t="n"/>
      <c r="AH15" s="53" t="n"/>
      <c r="AI15" s="53" t="n"/>
      <c r="AN15" s="129" t="inlineStr">
        <is>
          <t>w/D</t>
        </is>
      </c>
      <c r="AO15" s="129" t="inlineStr">
        <is>
          <t>Curve 1</t>
        </is>
      </c>
      <c r="AP15" s="129" t="inlineStr">
        <is>
          <t>Curve 2</t>
        </is>
      </c>
      <c r="AQ15" s="129" t="inlineStr">
        <is>
          <t>Curve 4</t>
        </is>
      </c>
      <c r="AR15" s="149" t="inlineStr">
        <is>
          <t>Kbr</t>
        </is>
      </c>
      <c r="AS15" s="148" t="inlineStr">
        <is>
          <t>Kbr</t>
        </is>
      </c>
      <c r="AT15" s="147" t="inlineStr">
        <is>
          <t>Kbr</t>
        </is>
      </c>
      <c r="AU15" s="146" t="inlineStr">
        <is>
          <t>Kbr</t>
        </is>
      </c>
      <c r="AV15" s="147" t="inlineStr">
        <is>
          <t>Kbr</t>
        </is>
      </c>
      <c r="AW15" s="146" t="n"/>
      <c r="AX15" s="138" t="n"/>
      <c r="AY15" s="109" t="n"/>
      <c r="AZ15" s="129" t="inlineStr">
        <is>
          <t>w/D</t>
        </is>
      </c>
      <c r="BA15" s="129" t="inlineStr">
        <is>
          <t>Curve 1</t>
        </is>
      </c>
      <c r="BB15" s="129" t="inlineStr">
        <is>
          <t>Curve 2</t>
        </is>
      </c>
      <c r="BC15" s="129" t="inlineStr">
        <is>
          <t>Curve 3</t>
        </is>
      </c>
      <c r="BD15" s="129" t="n"/>
      <c r="BE15" s="129" t="inlineStr">
        <is>
          <t>Curve 4</t>
        </is>
      </c>
      <c r="BF15" s="129" t="inlineStr">
        <is>
          <t>Curve 5</t>
        </is>
      </c>
      <c r="BG15" s="129" t="inlineStr">
        <is>
          <t>Curve 6</t>
        </is>
      </c>
      <c r="BH15" s="129" t="inlineStr">
        <is>
          <t>Curve 7</t>
        </is>
      </c>
      <c r="BI15" s="129" t="inlineStr">
        <is>
          <t>Curve 8</t>
        </is>
      </c>
      <c r="BJ15" s="129" t="inlineStr">
        <is>
          <t>Curve 9</t>
        </is>
      </c>
      <c r="BK15" s="129" t="inlineStr">
        <is>
          <t>Curve 10</t>
        </is>
      </c>
      <c r="BL15" s="129" t="inlineStr">
        <is>
          <t>Curve 11</t>
        </is>
      </c>
      <c r="BM15" s="129" t="inlineStr">
        <is>
          <t>Curve 12</t>
        </is>
      </c>
      <c r="BN15" s="129" t="inlineStr">
        <is>
          <t>Curve 13</t>
        </is>
      </c>
      <c r="BO15" s="146" t="n"/>
      <c r="BP15" s="146" t="n"/>
      <c r="BQ15" s="109" t="n"/>
    </row>
    <row r="16" ht="13.8" customFormat="1" customHeight="1" s="109">
      <c r="F16" s="71" t="inlineStr">
        <is>
          <t>D =</t>
        </is>
      </c>
      <c r="G16" s="190" t="n">
        <v>2</v>
      </c>
      <c r="H16" s="94" t="inlineStr">
        <is>
          <t>in</t>
        </is>
      </c>
      <c r="I16" s="94" t="inlineStr">
        <is>
          <t>Hole Diameter</t>
        </is>
      </c>
      <c r="J16" s="74" t="n"/>
      <c r="M16" s="36" t="n"/>
      <c r="N16" s="36" t="n"/>
      <c r="O16" s="36" t="n"/>
      <c r="P16" s="36" t="n"/>
      <c r="Q16" s="38" t="n"/>
      <c r="R16" s="27" t="n"/>
      <c r="S16" s="27" t="n"/>
      <c r="T16" s="27" t="n"/>
      <c r="AM16" s="70" t="n"/>
      <c r="AN16" s="128" t="n">
        <v>1</v>
      </c>
      <c r="AO16" s="128" t="n">
        <v>1</v>
      </c>
      <c r="AP16" s="143" t="n">
        <v>1</v>
      </c>
      <c r="AQ16" s="143" t="n">
        <v>1</v>
      </c>
      <c r="AR16" s="145" t="n">
        <v>1</v>
      </c>
      <c r="AS16" s="145" t="n">
        <v>1</v>
      </c>
      <c r="AT16" s="87" t="n">
        <v>1</v>
      </c>
      <c r="AU16" s="144" t="n">
        <v>1</v>
      </c>
      <c r="AV16" s="143" t="n">
        <v>1</v>
      </c>
      <c r="AW16" s="138" t="n"/>
      <c r="AX16" s="138" t="n"/>
      <c r="AZ16" s="154" t="n">
        <v>0</v>
      </c>
      <c r="BA16" s="191" t="n">
        <v>0</v>
      </c>
      <c r="BB16" s="191" t="n">
        <v>0</v>
      </c>
      <c r="BC16" s="192" t="n">
        <v>0</v>
      </c>
      <c r="BD16" s="193">
        <f>0.9*BB16</f>
        <v/>
      </c>
      <c r="BE16" s="193">
        <f>0.9*BC16</f>
        <v/>
      </c>
      <c r="BF16" s="194">
        <f>BE16*0.9</f>
        <v/>
      </c>
      <c r="BG16" s="191" t="n">
        <v>0</v>
      </c>
      <c r="BH16" s="191" t="n">
        <v>0</v>
      </c>
      <c r="BI16" s="194" t="n">
        <v>0</v>
      </c>
      <c r="BJ16" s="194" t="n">
        <v>0</v>
      </c>
      <c r="BK16" s="87">
        <f>BH16*0.65</f>
        <v/>
      </c>
      <c r="BL16" s="87" t="n">
        <v>0</v>
      </c>
      <c r="BM16" s="87" t="n">
        <v>0</v>
      </c>
      <c r="BN16" s="169" t="n">
        <v>0</v>
      </c>
      <c r="BO16" s="138" t="n"/>
      <c r="BP16" s="138" t="n"/>
      <c r="BQ16" s="109" t="n"/>
    </row>
    <row r="17" ht="13.8" customFormat="1" customHeight="1" s="109">
      <c r="F17" s="71" t="inlineStr">
        <is>
          <t>t =</t>
        </is>
      </c>
      <c r="G17" s="190" t="n">
        <v>2.5</v>
      </c>
      <c r="H17" s="94" t="inlineStr">
        <is>
          <t>in</t>
        </is>
      </c>
      <c r="I17" s="94" t="inlineStr">
        <is>
          <t>Lug Thickness</t>
        </is>
      </c>
      <c r="M17" s="36" t="n"/>
      <c r="N17" s="36" t="n"/>
      <c r="O17" s="36" t="n"/>
      <c r="P17" s="36" t="n"/>
      <c r="Q17" s="38" t="n"/>
      <c r="R17" s="27" t="n"/>
      <c r="S17" s="27" t="n"/>
      <c r="T17" s="27" t="n"/>
      <c r="AN17" s="136" t="n">
        <v>1.5</v>
      </c>
      <c r="AO17" s="136" t="n">
        <v>0.99</v>
      </c>
      <c r="AP17" s="136" t="n">
        <v>0.99</v>
      </c>
      <c r="AQ17" s="136" t="n">
        <v>0.98</v>
      </c>
      <c r="AR17" s="135" t="n">
        <v>0.95</v>
      </c>
      <c r="AS17" s="135" t="n">
        <v>0.95</v>
      </c>
      <c r="AT17" s="86" t="n">
        <v>0.87</v>
      </c>
      <c r="AU17" s="138" t="n">
        <v>0.925</v>
      </c>
      <c r="AV17" s="136" t="n">
        <v>0.98</v>
      </c>
      <c r="AW17" s="138" t="n"/>
      <c r="AX17" s="138" t="n"/>
      <c r="AZ17" s="86" t="n">
        <v>0.1</v>
      </c>
      <c r="BA17" s="195" t="n">
        <v>0.16</v>
      </c>
      <c r="BB17" s="195" t="n">
        <v>0.16</v>
      </c>
      <c r="BC17" s="196" t="n">
        <v>0.16</v>
      </c>
      <c r="BD17" s="196" t="n">
        <v>0.14</v>
      </c>
      <c r="BE17" s="196" t="n">
        <v>0.14</v>
      </c>
      <c r="BF17" s="195">
        <f>BE17*0.87</f>
        <v/>
      </c>
      <c r="BG17" s="195" t="n">
        <v>0.16</v>
      </c>
      <c r="BH17" s="195" t="n">
        <v>0.16</v>
      </c>
      <c r="BI17" s="195">
        <f>BG17*0.75</f>
        <v/>
      </c>
      <c r="BJ17" s="195">
        <f>BI17*0.9</f>
        <v/>
      </c>
      <c r="BK17" s="195">
        <f>BA17</f>
        <v/>
      </c>
      <c r="BL17" s="86">
        <f>BK17*0.95</f>
        <v/>
      </c>
      <c r="BM17" s="195" t="n">
        <v>0.16</v>
      </c>
      <c r="BN17" s="36">
        <f>BM17*0.5</f>
        <v/>
      </c>
      <c r="BO17" s="138" t="n"/>
      <c r="BP17" s="138" t="n"/>
      <c r="BQ17" s="109" t="n"/>
    </row>
    <row r="18" ht="13.8" customFormat="1" customHeight="1" s="109">
      <c r="A18" s="76" t="n"/>
      <c r="B18" s="77" t="n"/>
      <c r="C18" s="151" t="n"/>
      <c r="D18" s="151" t="n"/>
      <c r="F18" s="71" t="inlineStr">
        <is>
          <t>e =</t>
        </is>
      </c>
      <c r="G18" s="190" t="n">
        <v>2.5</v>
      </c>
      <c r="H18" s="94" t="inlineStr">
        <is>
          <t>in</t>
        </is>
      </c>
      <c r="I18" s="94" t="inlineStr">
        <is>
          <t>Edge Distance</t>
        </is>
      </c>
      <c r="M18" s="36" t="n"/>
      <c r="N18" s="36" t="n"/>
      <c r="O18" s="36" t="n"/>
      <c r="P18" s="36" t="n"/>
      <c r="Q18" s="38" t="n"/>
      <c r="R18" s="27" t="n"/>
      <c r="S18" s="27" t="n"/>
      <c r="T18" s="27" t="n"/>
      <c r="AN18" s="126" t="n">
        <v>2</v>
      </c>
      <c r="AO18" s="126" t="n">
        <v>0.97</v>
      </c>
      <c r="AP18" s="141" t="n">
        <v>0.965</v>
      </c>
      <c r="AQ18" s="141" t="n">
        <v>0.9399999999999999</v>
      </c>
      <c r="AR18" s="140" t="n">
        <v>0.9</v>
      </c>
      <c r="AS18" s="140" t="n">
        <v>0.9</v>
      </c>
      <c r="AT18" s="86" t="n">
        <v>0.7</v>
      </c>
      <c r="AU18" s="138" t="n">
        <v>0.84</v>
      </c>
      <c r="AV18" s="141" t="n">
        <v>0.9399999999999999</v>
      </c>
      <c r="AW18" s="138" t="n"/>
      <c r="AX18" s="138" t="n"/>
      <c r="AZ18" s="153" t="n">
        <v>0.2</v>
      </c>
      <c r="BA18" s="197" t="n">
        <v>0.3</v>
      </c>
      <c r="BB18" s="197" t="n">
        <v>0.3</v>
      </c>
      <c r="BC18" s="198" t="n">
        <v>0.3</v>
      </c>
      <c r="BD18" s="196" t="n">
        <v>0.265</v>
      </c>
      <c r="BE18" s="196" t="n">
        <v>0.265</v>
      </c>
      <c r="BF18" s="195">
        <f>BE18*0.87</f>
        <v/>
      </c>
      <c r="BG18" s="197" t="n">
        <v>0.3</v>
      </c>
      <c r="BH18" s="197" t="n">
        <v>0.3</v>
      </c>
      <c r="BI18" s="195">
        <f>BG18*0.75</f>
        <v/>
      </c>
      <c r="BJ18" s="195">
        <f>BI18*0.9</f>
        <v/>
      </c>
      <c r="BK18" s="86" t="n">
        <v>0.3</v>
      </c>
      <c r="BL18" s="86">
        <f>BK18*0.95</f>
        <v/>
      </c>
      <c r="BM18" s="86" t="n">
        <v>0.24</v>
      </c>
      <c r="BN18" s="36">
        <f>BM18*0.5</f>
        <v/>
      </c>
      <c r="BO18" s="138" t="n"/>
      <c r="BP18" s="138" t="n"/>
      <c r="BQ18" s="109" t="n"/>
    </row>
    <row r="19" ht="15" customFormat="1" customHeight="1" s="109">
      <c r="A19" s="151" t="n"/>
      <c r="B19" s="151" t="n"/>
      <c r="C19" s="151" t="n"/>
      <c r="D19" s="151" t="n"/>
      <c r="E19" s="151" t="n"/>
      <c r="F19" s="90" t="inlineStr">
        <is>
          <t>Ftu =</t>
        </is>
      </c>
      <c r="G19" s="91" t="n">
        <v>71000</v>
      </c>
      <c r="H19" s="151" t="inlineStr">
        <is>
          <t>psi</t>
        </is>
      </c>
      <c r="I19" s="151" t="inlineStr">
        <is>
          <t>Material Ult strength</t>
        </is>
      </c>
      <c r="M19" s="36" t="n"/>
      <c r="N19" s="36" t="n"/>
      <c r="O19" s="36" t="n"/>
      <c r="P19" s="36" t="n"/>
      <c r="Q19" s="38" t="n"/>
      <c r="R19" s="27" t="n"/>
      <c r="S19" s="27" t="n"/>
      <c r="T19" s="27" t="n"/>
      <c r="V19" s="79" t="n"/>
      <c r="W19" s="80" t="n">
        <v>2</v>
      </c>
      <c r="X19" s="81" t="n">
        <v>3</v>
      </c>
      <c r="Y19" s="80" t="n">
        <v>4</v>
      </c>
      <c r="Z19" s="81" t="n">
        <v>5</v>
      </c>
      <c r="AA19" s="80" t="n">
        <v>6</v>
      </c>
      <c r="AB19" s="80" t="n">
        <v>7</v>
      </c>
      <c r="AC19" s="80" t="n">
        <v>8</v>
      </c>
      <c r="AD19" s="80" t="n">
        <v>9</v>
      </c>
      <c r="AE19" s="80" t="n">
        <v>10</v>
      </c>
      <c r="AF19" s="80" t="n">
        <v>15</v>
      </c>
      <c r="AG19" s="80" t="n">
        <v>20</v>
      </c>
      <c r="AH19" s="80" t="n">
        <v>30</v>
      </c>
      <c r="AJ19" s="80" t="inlineStr">
        <is>
          <t>Curve A</t>
        </is>
      </c>
      <c r="AK19" s="80" t="inlineStr">
        <is>
          <t>Curve B</t>
        </is>
      </c>
      <c r="AN19" s="126" t="n">
        <v>2.5</v>
      </c>
      <c r="AO19" s="126" t="n">
        <v>0.95</v>
      </c>
      <c r="AP19" s="141" t="n">
        <v>0.945</v>
      </c>
      <c r="AQ19" s="141" t="n">
        <v>0.9</v>
      </c>
      <c r="AR19" s="140" t="n">
        <v>0.85</v>
      </c>
      <c r="AS19" s="140" t="n">
        <v>0.835</v>
      </c>
      <c r="AT19" s="86" t="n">
        <v>0.5649999999999999</v>
      </c>
      <c r="AU19" s="138" t="n">
        <v>0.78</v>
      </c>
      <c r="AV19" s="141" t="n">
        <v>0.9</v>
      </c>
      <c r="AW19" s="138" t="n"/>
      <c r="AX19" s="138" t="n"/>
      <c r="AZ19" s="153" t="n">
        <v>0.3</v>
      </c>
      <c r="BA19" s="197" t="n">
        <v>0.44</v>
      </c>
      <c r="BB19" s="197" t="n">
        <v>0.44</v>
      </c>
      <c r="BC19" s="198" t="n">
        <v>0.42</v>
      </c>
      <c r="BD19" s="196" t="n">
        <v>0.375</v>
      </c>
      <c r="BE19" s="196" t="n">
        <v>0.375</v>
      </c>
      <c r="BF19" s="195">
        <f>BE19*0.87</f>
        <v/>
      </c>
      <c r="BG19" s="197" t="n">
        <v>0.43</v>
      </c>
      <c r="BH19" s="195" t="n">
        <v>0.4</v>
      </c>
      <c r="BI19" s="195">
        <f>BG19*0.75</f>
        <v/>
      </c>
      <c r="BJ19" s="195">
        <f>BI19*0.9</f>
        <v/>
      </c>
      <c r="BK19" s="86" t="n">
        <v>0.385</v>
      </c>
      <c r="BL19" s="86">
        <f>BK19*0.95</f>
        <v/>
      </c>
      <c r="BM19" s="86" t="n">
        <v>0.275</v>
      </c>
      <c r="BN19" s="36">
        <f>BM19*0.5</f>
        <v/>
      </c>
      <c r="BO19" s="138" t="n"/>
      <c r="BP19" s="138" t="n"/>
      <c r="BQ19" s="109" t="n"/>
    </row>
    <row r="20" ht="15" customFormat="1" customHeight="1" s="109">
      <c r="A20" s="151" t="n"/>
      <c r="B20" s="151" t="n"/>
      <c r="C20" s="151" t="n"/>
      <c r="D20" s="151" t="n"/>
      <c r="E20" s="151" t="n"/>
      <c r="F20" s="90" t="inlineStr">
        <is>
          <t>Ftu =</t>
        </is>
      </c>
      <c r="G20" s="91" t="n">
        <v>71000</v>
      </c>
      <c r="H20" s="151" t="inlineStr">
        <is>
          <t>psi</t>
        </is>
      </c>
      <c r="I20" s="151" t="inlineStr">
        <is>
          <t>Material transverse ult. strength</t>
        </is>
      </c>
      <c r="J20" s="151" t="n"/>
      <c r="K20" s="151" t="n"/>
      <c r="M20" s="36" t="n"/>
      <c r="N20" s="36" t="n"/>
      <c r="O20" s="36" t="n"/>
      <c r="P20" s="36" t="n"/>
      <c r="Q20" s="38" t="n"/>
      <c r="R20" s="27" t="n"/>
      <c r="S20" s="27" t="n"/>
      <c r="T20" s="27" t="n"/>
      <c r="V20" s="82" t="inlineStr">
        <is>
          <t>e/D</t>
        </is>
      </c>
      <c r="W20" s="82" t="inlineStr">
        <is>
          <t>Kbr</t>
        </is>
      </c>
      <c r="X20" s="82" t="inlineStr">
        <is>
          <t>Kbr</t>
        </is>
      </c>
      <c r="Y20" s="82" t="inlineStr">
        <is>
          <t>Kbr</t>
        </is>
      </c>
      <c r="Z20" s="82" t="inlineStr">
        <is>
          <t>Kbr</t>
        </is>
      </c>
      <c r="AA20" s="82" t="inlineStr">
        <is>
          <t>Kbr</t>
        </is>
      </c>
      <c r="AB20" s="82" t="inlineStr">
        <is>
          <t>Kbr</t>
        </is>
      </c>
      <c r="AC20" s="82" t="inlineStr">
        <is>
          <t>Kbr</t>
        </is>
      </c>
      <c r="AD20" s="82" t="inlineStr">
        <is>
          <t>Kbr</t>
        </is>
      </c>
      <c r="AE20" s="82" t="inlineStr">
        <is>
          <t>Kbr</t>
        </is>
      </c>
      <c r="AF20" s="82" t="inlineStr">
        <is>
          <t>Kbr</t>
        </is>
      </c>
      <c r="AG20" s="82" t="inlineStr">
        <is>
          <t>Kbr</t>
        </is>
      </c>
      <c r="AH20" s="82" t="inlineStr">
        <is>
          <t>Kbr</t>
        </is>
      </c>
      <c r="AJ20" s="82" t="inlineStr">
        <is>
          <t>Kbr</t>
        </is>
      </c>
      <c r="AK20" s="82" t="inlineStr">
        <is>
          <t>Kbr</t>
        </is>
      </c>
      <c r="AN20" s="126" t="n">
        <v>3</v>
      </c>
      <c r="AO20" s="126" t="n">
        <v>0.925</v>
      </c>
      <c r="AP20" s="141" t="n">
        <v>0.925</v>
      </c>
      <c r="AQ20" s="141" t="n">
        <v>0.87</v>
      </c>
      <c r="AR20" s="140" t="n">
        <v>0.8</v>
      </c>
      <c r="AS20" s="139" t="n">
        <v>0.745</v>
      </c>
      <c r="AT20" s="86" t="n">
        <v>0.46</v>
      </c>
      <c r="AU20" s="138" t="n">
        <v>0.72</v>
      </c>
      <c r="AV20" s="141" t="n">
        <v>0.84</v>
      </c>
      <c r="AW20" s="138" t="n"/>
      <c r="AX20" s="138" t="n"/>
      <c r="AZ20" s="153" t="n">
        <v>0.4</v>
      </c>
      <c r="BA20" s="197" t="n">
        <v>0.57</v>
      </c>
      <c r="BB20" s="197" t="n">
        <v>0.57</v>
      </c>
      <c r="BC20" s="198" t="n">
        <v>0.53</v>
      </c>
      <c r="BD20" s="196" t="n">
        <v>0.47</v>
      </c>
      <c r="BE20" s="196" t="n">
        <v>0.47</v>
      </c>
      <c r="BF20" s="195">
        <f>BE20*0.87</f>
        <v/>
      </c>
      <c r="BG20" s="197" t="n">
        <v>0.52</v>
      </c>
      <c r="BH20" s="195" t="n">
        <v>0.5</v>
      </c>
      <c r="BI20" s="195">
        <f>BG20*0.75</f>
        <v/>
      </c>
      <c r="BJ20" s="195">
        <f>BI20*0.9</f>
        <v/>
      </c>
      <c r="BK20" s="86" t="n">
        <v>0.435</v>
      </c>
      <c r="BL20" s="86">
        <f>BK20*0.95</f>
        <v/>
      </c>
      <c r="BM20" s="86" t="n">
        <v>0.29</v>
      </c>
      <c r="BN20" s="36">
        <f>BM20*0.5</f>
        <v/>
      </c>
      <c r="BO20" s="138" t="n"/>
      <c r="BP20" s="138" t="n"/>
      <c r="BQ20" s="109" t="n"/>
    </row>
    <row r="21" ht="13.8" customFormat="1" customHeight="1" s="109">
      <c r="A21" s="151" t="n"/>
      <c r="B21" s="151" t="n"/>
      <c r="C21" s="151" t="n"/>
      <c r="D21" s="151" t="n"/>
      <c r="E21" s="151" t="n"/>
      <c r="F21" s="115" t="inlineStr">
        <is>
          <t>A₁ =</t>
        </is>
      </c>
      <c r="G21" s="111" t="n">
        <v>3.75</v>
      </c>
      <c r="H21" s="109" t="inlineStr">
        <is>
          <t>in²</t>
        </is>
      </c>
      <c r="I21" s="151" t="n"/>
      <c r="J21" s="151" t="n"/>
      <c r="K21" s="151" t="n"/>
      <c r="M21" s="36" t="n"/>
      <c r="N21" s="36" t="n"/>
      <c r="O21" s="36" t="n"/>
      <c r="P21" s="36" t="n"/>
      <c r="Q21" s="38" t="n"/>
      <c r="R21" s="27" t="n"/>
      <c r="S21" s="27" t="n"/>
      <c r="T21" s="27" t="n"/>
      <c r="V21" s="86" t="n">
        <v>0.6</v>
      </c>
      <c r="W21" s="86" t="n">
        <v>0.2</v>
      </c>
      <c r="X21" s="87" t="n">
        <v>0.2</v>
      </c>
      <c r="Y21" s="87" t="n">
        <v>0.2</v>
      </c>
      <c r="Z21" s="87" t="n">
        <v>0.2</v>
      </c>
      <c r="AA21" s="87" t="n">
        <v>0.2</v>
      </c>
      <c r="AB21" s="87" t="n">
        <v>0.2</v>
      </c>
      <c r="AC21" s="87" t="n">
        <v>0.2</v>
      </c>
      <c r="AD21" s="87" t="n">
        <v>0.2</v>
      </c>
      <c r="AE21" s="87" t="n">
        <v>0.2</v>
      </c>
      <c r="AF21" s="87" t="n">
        <v>0.19</v>
      </c>
      <c r="AG21" s="87" t="n">
        <v>0.17</v>
      </c>
      <c r="AH21" s="87" t="n">
        <v>0.11</v>
      </c>
      <c r="AJ21" s="87" t="n">
        <v>0.2</v>
      </c>
      <c r="AK21" s="87" t="n">
        <v>0.2</v>
      </c>
      <c r="AN21" s="126" t="n">
        <v>3.5</v>
      </c>
      <c r="AO21" s="126" t="n">
        <v>0.91</v>
      </c>
      <c r="AP21" s="141" t="n">
        <v>0.905</v>
      </c>
      <c r="AQ21" s="141" t="n">
        <v>0.845</v>
      </c>
      <c r="AR21" s="140" t="n">
        <v>0.77</v>
      </c>
      <c r="AS21" s="139" t="n">
        <v>0.67</v>
      </c>
      <c r="AT21" s="86" t="n">
        <v>0.365</v>
      </c>
      <c r="AU21" s="138" t="n">
        <v>0.67</v>
      </c>
      <c r="AV21" s="86" t="n">
        <v>0.65</v>
      </c>
      <c r="AW21" s="138" t="n"/>
      <c r="AX21" s="138" t="n"/>
      <c r="AZ21" s="153" t="n">
        <v>0.5</v>
      </c>
      <c r="BA21" s="197" t="n">
        <v>0.7</v>
      </c>
      <c r="BB21" s="197" t="n">
        <v>0.7</v>
      </c>
      <c r="BC21" s="196" t="n">
        <v>0.63</v>
      </c>
      <c r="BD21" s="196" t="n">
        <v>0.5649999999999999</v>
      </c>
      <c r="BE21" s="196" t="n">
        <v>0.5649999999999999</v>
      </c>
      <c r="BF21" s="195">
        <f>BE21*0.87</f>
        <v/>
      </c>
      <c r="BG21" s="199" t="n">
        <v>0.6</v>
      </c>
      <c r="BH21" s="195" t="n">
        <v>0.57</v>
      </c>
      <c r="BI21" s="195">
        <f>BG21*0.75</f>
        <v/>
      </c>
      <c r="BJ21" s="195">
        <f>BI21*0.9</f>
        <v/>
      </c>
      <c r="BK21" s="86" t="n">
        <v>0.465</v>
      </c>
      <c r="BL21" s="86">
        <f>BK21*0.95</f>
        <v/>
      </c>
      <c r="BM21" s="86" t="n">
        <v>0.3</v>
      </c>
      <c r="BN21" s="36">
        <f>BM21*0.5</f>
        <v/>
      </c>
      <c r="BO21" s="109" t="n"/>
      <c r="BP21" s="109" t="n"/>
      <c r="BQ21" s="109" t="n"/>
    </row>
    <row r="22" ht="13.8" customFormat="1" customHeight="1" s="109">
      <c r="A22" s="151" t="n"/>
      <c r="B22" s="151" t="n"/>
      <c r="C22" s="151" t="n"/>
      <c r="D22" s="151" t="n"/>
      <c r="E22" s="151" t="n"/>
      <c r="F22" s="71" t="inlineStr">
        <is>
          <t>A₂ =</t>
        </is>
      </c>
      <c r="G22" s="200">
        <f>G23</f>
        <v/>
      </c>
      <c r="H22" s="109" t="inlineStr">
        <is>
          <t>in²</t>
        </is>
      </c>
      <c r="I22" s="151">
        <f>I23</f>
        <v/>
      </c>
      <c r="J22" s="151" t="n"/>
      <c r="K22" s="151" t="n"/>
      <c r="M22" s="36" t="n"/>
      <c r="N22" s="36" t="n"/>
      <c r="O22" s="36" t="n"/>
      <c r="P22" s="36" t="n"/>
      <c r="Q22" s="38" t="n"/>
      <c r="R22" s="27" t="n"/>
      <c r="S22" s="27" t="n"/>
      <c r="T22" s="27" t="n"/>
      <c r="V22" s="86" t="n">
        <v>1</v>
      </c>
      <c r="W22" s="86" t="n">
        <v>0.84</v>
      </c>
      <c r="X22" s="86" t="n">
        <v>0.84</v>
      </c>
      <c r="Y22" s="86" t="n">
        <v>0.84</v>
      </c>
      <c r="Z22" s="86" t="n">
        <v>0.84</v>
      </c>
      <c r="AA22" s="86" t="n">
        <v>0.84</v>
      </c>
      <c r="AB22" s="86" t="n">
        <v>0.835</v>
      </c>
      <c r="AC22" s="86" t="n">
        <v>0.835</v>
      </c>
      <c r="AD22" s="86" t="n">
        <v>0.835</v>
      </c>
      <c r="AE22" s="86" t="n">
        <v>0.83</v>
      </c>
      <c r="AF22" s="86" t="n">
        <v>0.585</v>
      </c>
      <c r="AG22" s="86" t="n">
        <v>0.43</v>
      </c>
      <c r="AH22" s="86" t="n">
        <v>0.28</v>
      </c>
      <c r="AJ22" s="86" t="n">
        <v>0.84</v>
      </c>
      <c r="AK22" s="86" t="n">
        <v>0.84</v>
      </c>
      <c r="AN22" s="126" t="n">
        <v>4</v>
      </c>
      <c r="AO22" s="126" t="n">
        <v>0.895</v>
      </c>
      <c r="AP22" s="141" t="n">
        <v>0.83</v>
      </c>
      <c r="AQ22" s="141" t="n">
        <v>0.8149999999999999</v>
      </c>
      <c r="AR22" s="140" t="n">
        <v>0.74</v>
      </c>
      <c r="AS22" s="139" t="n">
        <v>0.615</v>
      </c>
      <c r="AT22" s="86" t="n">
        <v>0.28</v>
      </c>
      <c r="AU22" s="138" t="n">
        <v>0.615</v>
      </c>
      <c r="AV22" s="86" t="n">
        <v>0.515</v>
      </c>
      <c r="AW22" s="138" t="n"/>
      <c r="AX22" s="138" t="n"/>
      <c r="AZ22" s="153" t="n">
        <v>0.6</v>
      </c>
      <c r="BA22" s="197" t="n">
        <v>0.83</v>
      </c>
      <c r="BB22" s="197" t="n">
        <v>0.83</v>
      </c>
      <c r="BC22" s="196" t="n">
        <v>0.73</v>
      </c>
      <c r="BD22" s="196" t="n">
        <v>0.66</v>
      </c>
      <c r="BE22" s="196" t="n">
        <v>0.66</v>
      </c>
      <c r="BF22" s="195">
        <f>BE22*0.87</f>
        <v/>
      </c>
      <c r="BG22" s="199" t="n">
        <v>0.67</v>
      </c>
      <c r="BH22" s="195" t="n">
        <v>0.62</v>
      </c>
      <c r="BI22" s="195">
        <f>BG22*0.75</f>
        <v/>
      </c>
      <c r="BJ22" s="195">
        <f>BI22*0.9</f>
        <v/>
      </c>
      <c r="BK22" s="86" t="n">
        <v>0.48</v>
      </c>
      <c r="BL22" s="86">
        <f>BK22*0.95</f>
        <v/>
      </c>
      <c r="BM22" s="86" t="n">
        <v>0.31</v>
      </c>
      <c r="BN22" s="36">
        <f>BM22*0.5</f>
        <v/>
      </c>
      <c r="BO22" s="109" t="n"/>
      <c r="BP22" s="109" t="n"/>
      <c r="BQ22" s="109" t="n"/>
    </row>
    <row r="23" ht="13.8" customFormat="1" customHeight="1" s="109">
      <c r="F23" s="71" t="inlineStr">
        <is>
          <t>A₃ =</t>
        </is>
      </c>
      <c r="G23" s="200">
        <f>(G18-G16/2)*G17</f>
        <v/>
      </c>
      <c r="H23" s="109" t="inlineStr">
        <is>
          <t>in²</t>
        </is>
      </c>
      <c r="I23" s="151">
        <f>[2]!xlv(G23)</f>
        <v/>
      </c>
      <c r="M23" s="36" t="n"/>
      <c r="N23" s="36" t="n"/>
      <c r="O23" s="36" t="n"/>
      <c r="P23" s="36" t="n"/>
      <c r="Q23" s="38" t="n"/>
      <c r="R23" s="27" t="n"/>
      <c r="S23" s="27" t="n"/>
      <c r="T23" s="27" t="n"/>
      <c r="V23" s="86" t="n">
        <v>1.4</v>
      </c>
      <c r="W23" s="86" t="n">
        <v>1.36</v>
      </c>
      <c r="X23" s="86" t="n">
        <v>1.36</v>
      </c>
      <c r="Y23" s="86" t="n">
        <v>1.34</v>
      </c>
      <c r="Z23" s="86" t="n">
        <v>1.33</v>
      </c>
      <c r="AA23" s="86" t="n">
        <v>1.32</v>
      </c>
      <c r="AB23" s="86" t="n">
        <v>1.285</v>
      </c>
      <c r="AC23" s="86" t="n">
        <v>1.24</v>
      </c>
      <c r="AD23" s="86" t="n">
        <v>1.19</v>
      </c>
      <c r="AE23" s="86" t="n">
        <v>1.09</v>
      </c>
      <c r="AF23" s="86" t="n">
        <v>0.75</v>
      </c>
      <c r="AG23" s="86" t="n">
        <v>0.5600000000000001</v>
      </c>
      <c r="AH23" s="86" t="n">
        <v>0.37</v>
      </c>
      <c r="AJ23" s="86" t="n">
        <v>1.25</v>
      </c>
      <c r="AK23" s="86" t="n">
        <v>1.07</v>
      </c>
      <c r="AN23" s="126" t="n">
        <v>4.5</v>
      </c>
      <c r="AO23" s="126" t="n">
        <v>0.855</v>
      </c>
      <c r="AP23" s="141" t="n">
        <v>0.7</v>
      </c>
      <c r="AQ23" s="141" t="n">
        <v>0.775</v>
      </c>
      <c r="AR23" s="140" t="n">
        <v>0.71</v>
      </c>
      <c r="AS23" s="139" t="n">
        <v>0.57</v>
      </c>
      <c r="AT23" s="86" t="n">
        <v>0.195</v>
      </c>
      <c r="AU23" s="138" t="n">
        <v>0.57</v>
      </c>
      <c r="AV23" s="86" t="n">
        <v>0.425</v>
      </c>
      <c r="AW23" s="138" t="n"/>
      <c r="AX23" s="92" t="n"/>
      <c r="AZ23" s="153" t="n">
        <v>0.8</v>
      </c>
      <c r="BA23" s="197" t="n">
        <v>1.06</v>
      </c>
      <c r="BB23" s="197" t="n">
        <v>1.06</v>
      </c>
      <c r="BC23" s="196" t="n">
        <v>0.91</v>
      </c>
      <c r="BD23" s="196" t="n">
        <v>0.83</v>
      </c>
      <c r="BE23" s="196" t="n">
        <v>0.83</v>
      </c>
      <c r="BF23" s="195" t="n">
        <v>0.73</v>
      </c>
      <c r="BG23" s="199" t="n">
        <v>0.755</v>
      </c>
      <c r="BH23" s="195" t="n">
        <v>0.675</v>
      </c>
      <c r="BI23" s="195">
        <f>BG23*0.75</f>
        <v/>
      </c>
      <c r="BJ23" s="195">
        <f>BI23*0.9</f>
        <v/>
      </c>
      <c r="BK23" s="86" t="n">
        <v>0.505</v>
      </c>
      <c r="BL23" s="86">
        <f>BK23*0.95</f>
        <v/>
      </c>
      <c r="BM23" s="86" t="n">
        <v>0.33</v>
      </c>
      <c r="BN23" s="36">
        <f>BM23*0.5</f>
        <v/>
      </c>
      <c r="BO23" s="109" t="n"/>
      <c r="BP23" s="109" t="n"/>
      <c r="BQ23" s="109" t="n"/>
    </row>
    <row r="24" ht="13.8" customFormat="1" customHeight="1" s="109">
      <c r="F24" s="71" t="inlineStr">
        <is>
          <t>A₃ =</t>
        </is>
      </c>
      <c r="G24" s="111" t="n">
        <v>3.75</v>
      </c>
      <c r="H24" s="109" t="inlineStr">
        <is>
          <t>in²</t>
        </is>
      </c>
      <c r="M24" s="36" t="n"/>
      <c r="N24" s="36" t="n"/>
      <c r="O24" s="36" t="n"/>
      <c r="P24" s="36" t="n"/>
      <c r="Q24" s="38" t="n"/>
      <c r="R24" s="27" t="n"/>
      <c r="S24" s="27" t="n"/>
      <c r="T24" s="27" t="n"/>
      <c r="V24" s="86" t="n">
        <v>1.8</v>
      </c>
      <c r="W24" s="86" t="n">
        <v>1.76</v>
      </c>
      <c r="X24" s="86" t="n">
        <v>1.74</v>
      </c>
      <c r="Y24" s="86" t="n">
        <v>1.72</v>
      </c>
      <c r="Z24" s="86" t="n">
        <v>1.68</v>
      </c>
      <c r="AA24" s="86" t="n">
        <v>1.62</v>
      </c>
      <c r="AB24" s="86" t="n">
        <v>1.52</v>
      </c>
      <c r="AC24" s="86" t="n">
        <v>1.43</v>
      </c>
      <c r="AD24" s="86" t="n">
        <v>1.34</v>
      </c>
      <c r="AE24" s="86" t="n">
        <v>1.22</v>
      </c>
      <c r="AF24" s="86" t="n">
        <v>0.825</v>
      </c>
      <c r="AG24" s="86" t="n">
        <v>0.61</v>
      </c>
      <c r="AH24" s="86" t="n">
        <v>0.4</v>
      </c>
      <c r="AJ24" s="86" t="n">
        <v>1.46</v>
      </c>
      <c r="AK24" s="86" t="n">
        <v>1.13</v>
      </c>
      <c r="AN24" s="126" t="n">
        <v>4.8</v>
      </c>
      <c r="AO24" s="126" t="n">
        <v>0.8100000000000001</v>
      </c>
      <c r="AP24" s="141" t="n">
        <v>0.65</v>
      </c>
      <c r="AQ24" s="136" t="n">
        <v>0.75</v>
      </c>
      <c r="AR24" s="135" t="n">
        <v>0.7</v>
      </c>
      <c r="AS24" s="139" t="n">
        <v>0.545</v>
      </c>
      <c r="AT24" s="86" t="n">
        <v>0.14</v>
      </c>
      <c r="AU24" s="138" t="n">
        <v>0.545</v>
      </c>
      <c r="AV24" s="86" t="n">
        <v>0.38</v>
      </c>
      <c r="AW24" s="109" t="n"/>
      <c r="AX24" s="109" t="n"/>
      <c r="AZ24" s="153" t="n">
        <v>1</v>
      </c>
      <c r="BA24" s="197" t="n">
        <v>1.27</v>
      </c>
      <c r="BB24" s="197" t="n">
        <v>1.27</v>
      </c>
      <c r="BC24" s="196" t="n">
        <v>1.05</v>
      </c>
      <c r="BD24" s="196" t="n">
        <v>0.965</v>
      </c>
      <c r="BE24" s="196" t="n">
        <v>0.965</v>
      </c>
      <c r="BF24" s="195" t="n">
        <v>0.875</v>
      </c>
      <c r="BG24" s="199" t="n">
        <v>0.8100000000000001</v>
      </c>
      <c r="BH24" s="195" t="n">
        <v>0.695</v>
      </c>
      <c r="BI24" s="195">
        <f>BG24*0.75</f>
        <v/>
      </c>
      <c r="BJ24" s="195">
        <f>BI24*0.9</f>
        <v/>
      </c>
      <c r="BK24" s="86" t="n">
        <v>0.516</v>
      </c>
      <c r="BL24" s="86">
        <f>BK24*0.95</f>
        <v/>
      </c>
      <c r="BM24" s="86" t="n">
        <v>0.34</v>
      </c>
      <c r="BN24" s="36">
        <f>BM24*0.5</f>
        <v/>
      </c>
      <c r="BO24" s="109" t="n"/>
      <c r="BP24" s="109" t="n"/>
      <c r="BQ24" s="109" t="n"/>
    </row>
    <row r="25" ht="13.8" customFormat="1" customHeight="1" s="109">
      <c r="M25" s="36" t="n"/>
      <c r="N25" s="36" t="n"/>
      <c r="O25" s="36" t="n"/>
      <c r="P25" s="36" t="n"/>
      <c r="Q25" s="38" t="n"/>
      <c r="R25" s="27" t="n"/>
      <c r="S25" s="27" t="n"/>
      <c r="T25" s="27" t="n"/>
      <c r="V25" s="86" t="n">
        <v>2.2</v>
      </c>
      <c r="W25" s="86" t="n">
        <v>2.08</v>
      </c>
      <c r="X25" s="86" t="n">
        <v>2.04</v>
      </c>
      <c r="Y25" s="86" t="n">
        <v>1.98</v>
      </c>
      <c r="Z25" s="86" t="n">
        <v>1.9</v>
      </c>
      <c r="AA25" s="86" t="n">
        <v>1.79</v>
      </c>
      <c r="AB25" s="86" t="n">
        <v>1.675</v>
      </c>
      <c r="AC25" s="86" t="n">
        <v>1.54</v>
      </c>
      <c r="AD25" s="86" t="n">
        <v>1.42</v>
      </c>
      <c r="AE25" s="86" t="n">
        <v>1.29</v>
      </c>
      <c r="AF25" s="86" t="n">
        <v>0.86</v>
      </c>
      <c r="AG25" s="86" t="n">
        <v>0.64</v>
      </c>
      <c r="AH25" s="86" t="n">
        <v>0.42</v>
      </c>
      <c r="AJ25" s="130" t="n">
        <v>1.6</v>
      </c>
      <c r="AK25" s="130" t="n">
        <v>1.15</v>
      </c>
      <c r="AN25" s="124" t="n">
        <v>5</v>
      </c>
      <c r="AO25" s="124" t="n">
        <v>0.76</v>
      </c>
      <c r="AP25" s="133" t="n">
        <v>0.62</v>
      </c>
      <c r="AQ25" s="133" t="n">
        <v>0.73</v>
      </c>
      <c r="AR25" s="132" t="n">
        <v>0.6899999999999999</v>
      </c>
      <c r="AS25" s="106" t="n">
        <v>0.525</v>
      </c>
      <c r="AT25" s="130" t="n">
        <v>0.105</v>
      </c>
      <c r="AU25" s="131" t="n">
        <v>0.525</v>
      </c>
      <c r="AV25" s="130" t="n">
        <v>0.355</v>
      </c>
      <c r="AW25" s="109" t="n"/>
      <c r="AX25" s="109" t="n"/>
      <c r="AZ25" s="153" t="n">
        <v>1.1</v>
      </c>
      <c r="BA25" s="197" t="n">
        <v>1.38</v>
      </c>
      <c r="BB25" s="197" t="n">
        <v>1.38</v>
      </c>
      <c r="BC25" s="196" t="n">
        <v>1.12</v>
      </c>
      <c r="BD25" s="196" t="n">
        <v>1.02</v>
      </c>
      <c r="BE25" s="196" t="n">
        <v>1.02</v>
      </c>
      <c r="BF25" s="195" t="n">
        <v>0.9399999999999999</v>
      </c>
      <c r="BG25" s="199" t="n">
        <v>0.832</v>
      </c>
      <c r="BH25" s="195" t="n">
        <v>0.702</v>
      </c>
      <c r="BI25" s="195">
        <f>BG25*0.75</f>
        <v/>
      </c>
      <c r="BJ25" s="195">
        <f>BI25*0.9</f>
        <v/>
      </c>
      <c r="BK25" s="86" t="n">
        <v>0.52</v>
      </c>
      <c r="BL25" s="86">
        <f>BK25*0.95</f>
        <v/>
      </c>
      <c r="BM25" s="86" t="n">
        <v>0.344</v>
      </c>
      <c r="BN25" s="36">
        <f>BM25*0.5</f>
        <v/>
      </c>
      <c r="BO25" s="109" t="n"/>
      <c r="BP25" s="109" t="n"/>
      <c r="BQ25" s="109" t="n"/>
    </row>
    <row r="26" ht="13.8" customFormat="1" customHeight="1" s="109">
      <c r="A26" s="151" t="n"/>
      <c r="B26" s="77" t="inlineStr">
        <is>
          <t>Shear Bearing Failure:</t>
        </is>
      </c>
      <c r="C26" s="151" t="n"/>
      <c r="D26" s="151" t="n"/>
      <c r="E26" s="151" t="n"/>
      <c r="M26" s="36" t="n"/>
      <c r="N26" s="36" t="n"/>
      <c r="O26" s="36" t="n"/>
      <c r="P26" s="36" t="n"/>
      <c r="Q26" s="38" t="n"/>
      <c r="R26" s="27" t="n"/>
      <c r="S26" s="27" t="n"/>
      <c r="T26" s="27" t="n"/>
      <c r="V26" s="86" t="n">
        <v>2.6</v>
      </c>
      <c r="W26" s="86" t="n">
        <v>2.32</v>
      </c>
      <c r="X26" s="86" t="n">
        <v>2.27</v>
      </c>
      <c r="Y26" s="86" t="n">
        <v>2.17</v>
      </c>
      <c r="Z26" s="86" t="n">
        <v>2.05</v>
      </c>
      <c r="AA26" s="86" t="n">
        <v>1.9</v>
      </c>
      <c r="AB26" s="86" t="n">
        <v>1.76</v>
      </c>
      <c r="AC26" s="86" t="n">
        <v>1.59</v>
      </c>
      <c r="AD26" s="86" t="n">
        <v>1.45</v>
      </c>
      <c r="AE26" s="86" t="n">
        <v>1.32</v>
      </c>
      <c r="AF26" s="86" t="n">
        <v>0.87</v>
      </c>
      <c r="AG26" s="86" t="n">
        <v>0.645</v>
      </c>
      <c r="AH26" s="86" t="n">
        <v>0.42</v>
      </c>
      <c r="AW26" s="109" t="n"/>
      <c r="AZ26" s="153" t="n">
        <v>1.2</v>
      </c>
      <c r="BA26" s="197" t="n">
        <v>1.48</v>
      </c>
      <c r="BB26" s="197" t="n">
        <v>1.48</v>
      </c>
      <c r="BC26" s="196" t="n">
        <v>1.18</v>
      </c>
      <c r="BD26" s="196" t="n">
        <v>1.075</v>
      </c>
      <c r="BE26" s="196" t="n">
        <v>1.075</v>
      </c>
      <c r="BF26" s="195" t="n">
        <v>0.99</v>
      </c>
      <c r="BG26" s="199" t="n">
        <v>0.845</v>
      </c>
      <c r="BH26" s="195" t="n">
        <v>0.705</v>
      </c>
      <c r="BI26" s="195">
        <f>BG26*0.75</f>
        <v/>
      </c>
      <c r="BJ26" s="195">
        <f>BI26*0.9</f>
        <v/>
      </c>
      <c r="BK26" s="86" t="n">
        <v>0.523</v>
      </c>
      <c r="BL26" s="86">
        <f>BK26*0.95</f>
        <v/>
      </c>
      <c r="BM26" s="86" t="n">
        <v>0.346</v>
      </c>
      <c r="BN26" s="36">
        <f>BM26*0.5</f>
        <v/>
      </c>
      <c r="BO26" s="109" t="n"/>
      <c r="BP26" s="109" t="n"/>
      <c r="BQ26" s="109" t="n"/>
    </row>
    <row r="27" ht="13.8" customFormat="1" customHeight="1" s="109">
      <c r="A27" s="71" t="inlineStr">
        <is>
          <t xml:space="preserve">e/D = </t>
        </is>
      </c>
      <c r="B27" s="109">
        <f>[2]!xln(B28)</f>
        <v/>
      </c>
      <c r="D27" s="71" t="inlineStr">
        <is>
          <t xml:space="preserve">D/t = </t>
        </is>
      </c>
      <c r="E27" s="109">
        <f>[2]!xln(E28)</f>
        <v/>
      </c>
      <c r="H27" s="110" t="inlineStr">
        <is>
          <t xml:space="preserve">Ultimate Shear-Bearing Efficiency Factor </t>
        </is>
      </c>
      <c r="K27" s="151" t="n"/>
      <c r="M27" s="36" t="n"/>
      <c r="N27" s="36" t="n"/>
      <c r="O27" s="36" t="n"/>
      <c r="P27" s="36" t="n"/>
      <c r="Q27" s="38" t="n"/>
      <c r="R27" s="27" t="n"/>
      <c r="S27" s="27" t="n"/>
      <c r="T27" s="27" t="n"/>
      <c r="V27" s="86" t="n">
        <v>3</v>
      </c>
      <c r="W27" s="86" t="n">
        <v>2.54</v>
      </c>
      <c r="X27" s="86" t="n">
        <v>2.45</v>
      </c>
      <c r="Y27" s="86" t="n">
        <v>2.3</v>
      </c>
      <c r="Z27" s="86" t="n">
        <v>2.15</v>
      </c>
      <c r="AA27" s="86" t="n">
        <v>1.98</v>
      </c>
      <c r="AB27" s="86" t="n">
        <v>1.81</v>
      </c>
      <c r="AC27" s="86" t="n">
        <v>1.6</v>
      </c>
      <c r="AD27" s="86" t="n">
        <v>1.45</v>
      </c>
      <c r="AE27" s="86" t="n">
        <v>1.32</v>
      </c>
      <c r="AF27" s="86" t="n">
        <v>0.87</v>
      </c>
      <c r="AG27" s="86" t="n">
        <v>0.645</v>
      </c>
      <c r="AH27" s="86" t="n">
        <v>0.42</v>
      </c>
      <c r="AX27" s="92" t="n"/>
      <c r="AZ27" s="152" t="n">
        <v>1.3</v>
      </c>
      <c r="BA27" s="201" t="n">
        <v>1.575</v>
      </c>
      <c r="BB27" s="201" t="n">
        <v>1.56</v>
      </c>
      <c r="BC27" s="196" t="n">
        <v>1.24</v>
      </c>
      <c r="BD27" s="196" t="n">
        <v>1.115</v>
      </c>
      <c r="BE27" s="196" t="n">
        <v>1.115</v>
      </c>
      <c r="BF27" s="195" t="n">
        <v>1.035</v>
      </c>
      <c r="BG27" s="199" t="n">
        <v>0.855</v>
      </c>
      <c r="BH27" s="195" t="n">
        <v>0.71</v>
      </c>
      <c r="BI27" s="195">
        <f>BG27*0.75</f>
        <v/>
      </c>
      <c r="BJ27" s="195">
        <f>BI27*0.9</f>
        <v/>
      </c>
      <c r="BK27" s="86" t="n">
        <v>0.525</v>
      </c>
      <c r="BL27" s="86">
        <f>BK27*0.95</f>
        <v/>
      </c>
      <c r="BM27" s="86" t="n">
        <v>0.347</v>
      </c>
      <c r="BN27" s="36">
        <f>BM27*0.5</f>
        <v/>
      </c>
      <c r="BO27" s="109" t="n"/>
      <c r="BP27" s="109" t="n"/>
      <c r="BQ27" s="109" t="n"/>
    </row>
    <row r="28" ht="13.8" customFormat="1" customHeight="1" s="109">
      <c r="A28" s="71" t="inlineStr">
        <is>
          <t>=</t>
        </is>
      </c>
      <c r="B28" s="85">
        <f>G18/G16</f>
        <v/>
      </c>
      <c r="D28" s="71" t="inlineStr">
        <is>
          <t>=</t>
        </is>
      </c>
      <c r="E28" s="85">
        <f>IF(G16/G17&lt;2,2,G16/G17)</f>
        <v/>
      </c>
      <c r="H28" s="109" t="inlineStr">
        <is>
          <t>(NASA TM X-73305, 1975 Fig B 2.1.0-3)</t>
        </is>
      </c>
      <c r="M28" s="36" t="n"/>
      <c r="N28" s="36" t="n"/>
      <c r="O28" s="36" t="n"/>
      <c r="P28" s="36" t="n"/>
      <c r="Q28" s="38" t="n"/>
      <c r="R28" s="27" t="n"/>
      <c r="S28" s="27" t="n"/>
      <c r="T28" s="27" t="n"/>
      <c r="V28" s="130" t="n">
        <v>3.4</v>
      </c>
      <c r="W28" s="130" t="n">
        <v>2.72</v>
      </c>
      <c r="X28" s="130" t="n">
        <v>2.61</v>
      </c>
      <c r="Y28" s="130" t="n">
        <v>2.4</v>
      </c>
      <c r="Z28" s="130" t="n">
        <v>2.22</v>
      </c>
      <c r="AA28" s="130" t="n">
        <v>2.04</v>
      </c>
      <c r="AB28" s="130" t="n">
        <v>1.83</v>
      </c>
      <c r="AC28" s="130" t="n">
        <v>1.6</v>
      </c>
      <c r="AD28" s="130" t="n">
        <v>1.45</v>
      </c>
      <c r="AE28" s="130" t="n">
        <v>1.32</v>
      </c>
      <c r="AF28" s="130" t="n">
        <v>0.87</v>
      </c>
      <c r="AG28" s="130" t="n">
        <v>0.645</v>
      </c>
      <c r="AH28" s="130" t="n">
        <v>0.42</v>
      </c>
      <c r="AX28" s="92" t="n"/>
      <c r="AZ28" s="152" t="n">
        <v>1.4</v>
      </c>
      <c r="BA28" s="201" t="n">
        <v>1.67</v>
      </c>
      <c r="BB28" s="201" t="n">
        <v>1.58</v>
      </c>
      <c r="BC28" s="202" t="n">
        <v>1.295</v>
      </c>
      <c r="BD28" s="202" t="n">
        <v>1.14</v>
      </c>
      <c r="BE28" s="202" t="n">
        <v>1.14</v>
      </c>
      <c r="BF28" s="203" t="n">
        <v>1.07</v>
      </c>
      <c r="BG28" s="204" t="n">
        <v>0.865</v>
      </c>
      <c r="BH28" s="203" t="n">
        <v>0.72</v>
      </c>
      <c r="BI28" s="203">
        <f>BG28*0.75</f>
        <v/>
      </c>
      <c r="BJ28" s="203">
        <f>BI28*0.9</f>
        <v/>
      </c>
      <c r="BK28" s="130" t="n">
        <v>0.53</v>
      </c>
      <c r="BL28" s="130">
        <f>BK28*0.95</f>
        <v/>
      </c>
      <c r="BM28" s="130" t="n">
        <v>0.348</v>
      </c>
      <c r="BN28" s="36">
        <f>BM28*0.5</f>
        <v/>
      </c>
      <c r="BO28" s="109" t="n"/>
      <c r="BP28" s="109" t="n"/>
      <c r="BQ28" s="109" t="n"/>
    </row>
    <row r="29" ht="15" customFormat="1" customHeight="1" s="109">
      <c r="H29" s="71" t="inlineStr">
        <is>
          <t>Kbr =</t>
        </is>
      </c>
      <c r="I29" s="85">
        <f>AC31*B28^4+AD31*B28^3+AE31*B28^2+AF31*B28+AG31</f>
        <v/>
      </c>
      <c r="M29" s="36" t="n"/>
      <c r="N29" s="36" t="n"/>
      <c r="O29" s="36" t="n"/>
      <c r="P29" s="36" t="n"/>
      <c r="Q29" s="38" t="n"/>
      <c r="R29" s="27" t="n"/>
      <c r="S29" s="27" t="n"/>
      <c r="T29" s="27" t="n"/>
      <c r="AF29" s="92" t="n"/>
      <c r="AG29" s="92" t="n"/>
      <c r="AN29" s="129" t="inlineStr">
        <is>
          <t>w/D</t>
        </is>
      </c>
      <c r="AR29" s="93" t="n"/>
      <c r="AS29" s="93">
        <f>J35</f>
        <v/>
      </c>
      <c r="AX29" s="92" t="n"/>
      <c r="AY29" s="94" t="n"/>
      <c r="BK29" s="92" t="n"/>
      <c r="BL29" s="92" t="n"/>
    </row>
    <row r="30" ht="15" customFormat="1" customHeight="1" s="109">
      <c r="A30" s="112" t="inlineStr">
        <is>
          <t>Abr =</t>
        </is>
      </c>
      <c r="B30" s="109">
        <f>[2]!xln(B31)</f>
        <v/>
      </c>
      <c r="C30" s="70" t="n"/>
      <c r="D30" s="115" t="inlineStr">
        <is>
          <t>P'bru =</t>
        </is>
      </c>
      <c r="E30" s="109">
        <f>[2]!xln(E31)</f>
        <v/>
      </c>
      <c r="F30" s="70" t="n"/>
      <c r="H30" s="67" t="n"/>
      <c r="J30" s="151" t="n"/>
      <c r="K30" s="151" t="n"/>
      <c r="M30" s="36" t="n"/>
      <c r="N30" s="36" t="n"/>
      <c r="O30" s="36" t="n"/>
      <c r="P30" s="36" t="n"/>
      <c r="Q30" s="38" t="n"/>
      <c r="R30" s="27" t="n"/>
      <c r="S30" s="27" t="n"/>
      <c r="T30" s="27" t="n"/>
      <c r="Z30" s="109">
        <f>(Z31-W31)/(X31-W31)</f>
        <v/>
      </c>
      <c r="AF30" s="92" t="n"/>
      <c r="AG30" s="92" t="n"/>
      <c r="AN30" s="128" t="n">
        <v>1</v>
      </c>
      <c r="AO30" s="109">
        <f>INDEX(AO15:AX15,AP30)</f>
        <v/>
      </c>
      <c r="AP30" s="109">
        <f>C37</f>
        <v/>
      </c>
      <c r="AR30" s="93">
        <f>MATCH(J35,AN30:AN39,1)</f>
        <v/>
      </c>
      <c r="AS30" s="92">
        <f>INDEX(AN30:AN39,AR30)</f>
        <v/>
      </c>
      <c r="AT30" s="109">
        <f>INDEX(AO30:AO39,AR30)</f>
        <v/>
      </c>
      <c r="AX30" s="92" t="n"/>
      <c r="AY30" s="94" t="n"/>
      <c r="AZ30" s="129" t="inlineStr">
        <is>
          <t>w/D</t>
        </is>
      </c>
      <c r="BE30" s="93" t="n"/>
      <c r="BF30" s="93">
        <f>B46</f>
        <v/>
      </c>
      <c r="BK30" s="92" t="n"/>
      <c r="BL30" s="92" t="n"/>
    </row>
    <row r="31" ht="13.8" customFormat="1" customHeight="1" s="109">
      <c r="A31" s="41" t="n"/>
      <c r="B31" s="113">
        <f>G16*G17</f>
        <v/>
      </c>
      <c r="C31" s="114" t="inlineStr">
        <is>
          <t>in²</t>
        </is>
      </c>
      <c r="D31" s="19" t="inlineStr">
        <is>
          <t>=</t>
        </is>
      </c>
      <c r="E31" s="179">
        <f>G19*I29*B31</f>
        <v/>
      </c>
      <c r="F31" s="114" t="inlineStr">
        <is>
          <t>lb</t>
        </is>
      </c>
      <c r="H31" s="205" t="n"/>
      <c r="I31" s="189" t="n"/>
      <c r="J31" s="66" t="n"/>
      <c r="K31" s="116" t="n"/>
      <c r="M31" s="36" t="n"/>
      <c r="N31" s="36" t="n"/>
      <c r="O31" s="36" t="n"/>
      <c r="P31" s="36" t="n"/>
      <c r="Q31" s="38" t="n"/>
      <c r="R31" s="27" t="n"/>
      <c r="S31" s="27" t="n"/>
      <c r="T31" s="27" t="n"/>
      <c r="V31" s="80" t="inlineStr">
        <is>
          <t>e/D</t>
        </is>
      </c>
      <c r="W31" s="109">
        <f>IF(INDEX(W19:AH19,MATCH(E28,W19:AH19,1))&gt;20,20,INDEX(W19:AH19,MATCH(E28,W19:AH19,1)))</f>
        <v/>
      </c>
      <c r="X31" s="109">
        <f>INDEX(W19:AH19,Y32+1)</f>
        <v/>
      </c>
      <c r="Z31" s="93">
        <f>E28</f>
        <v/>
      </c>
      <c r="AC31" s="109">
        <f t="array" ref="AC31:AG31">LINEST(Z32:Z39,V32:V39^{1,2,3,4})</f>
        <v/>
      </c>
      <c r="AD31" s="109" t="n">
        <v>0.05168876262626374</v>
      </c>
      <c r="AE31" s="109" t="n">
        <v>-0.5682410037878819</v>
      </c>
      <c r="AF31" s="92" t="n">
        <v>2.416980068542571</v>
      </c>
      <c r="AG31" s="92" t="n">
        <v>-1.057866781655844</v>
      </c>
      <c r="AN31" s="136" t="n">
        <v>1.5</v>
      </c>
      <c r="AO31" s="109">
        <f>INDEX(AO16:AX16,AP31)</f>
        <v/>
      </c>
      <c r="AP31" s="109">
        <f>C37</f>
        <v/>
      </c>
      <c r="AR31" s="93">
        <f>AR30+1</f>
        <v/>
      </c>
      <c r="AS31" s="92">
        <f>INDEX(AN30:AN39,AR31)</f>
        <v/>
      </c>
      <c r="AT31" s="109">
        <f>INDEX(AO30:AO39,AR31)</f>
        <v/>
      </c>
      <c r="AX31" s="92" t="n"/>
      <c r="AY31" s="94" t="n"/>
      <c r="AZ31" s="154" t="n">
        <v>0</v>
      </c>
      <c r="BA31" s="109">
        <f>INDEX(BA16:BN16,MATCH(BB31,BA14:BN14,0))</f>
        <v/>
      </c>
      <c r="BB31" s="109">
        <f>E46</f>
        <v/>
      </c>
      <c r="BE31" s="93">
        <f>MATCH(B46,AZ31:AZ40,1)</f>
        <v/>
      </c>
      <c r="BF31" s="92">
        <f>INDEX(AZ31:AZ43,BE31)</f>
        <v/>
      </c>
      <c r="BG31" s="109">
        <f>INDEX(BA31:BA43,BE31)</f>
        <v/>
      </c>
      <c r="BK31" s="92" t="n"/>
      <c r="BL31" s="92" t="n"/>
    </row>
    <row r="32" ht="13.8" customFormat="1" customHeight="1" s="109">
      <c r="M32" s="36" t="n"/>
      <c r="N32" s="36" t="n"/>
      <c r="O32" s="36" t="n"/>
      <c r="P32" s="36" t="n"/>
      <c r="Q32" s="38" t="n"/>
      <c r="R32" s="27" t="n"/>
      <c r="S32" s="27" t="n"/>
      <c r="T32" s="27" t="n"/>
      <c r="V32" s="86" t="n">
        <v>0.6</v>
      </c>
      <c r="W32" s="109">
        <f>INDEX(W21:AH21,Y32)</f>
        <v/>
      </c>
      <c r="X32" s="109">
        <f>INDEX(W21:AH21,Y32+1)</f>
        <v/>
      </c>
      <c r="Y32" s="109">
        <f>MATCH(W31,W19:AH19,1)</f>
        <v/>
      </c>
      <c r="Z32" s="93">
        <f>(X32-W32)*Z30+W32</f>
        <v/>
      </c>
      <c r="AA32" s="92">
        <f>AC31*V32^4+AD31*V32^3+AE31*V32^2+AF31*V32+AG31</f>
        <v/>
      </c>
      <c r="AF32" s="92" t="n"/>
      <c r="AG32" s="92" t="n"/>
      <c r="AN32" s="126" t="n">
        <v>2</v>
      </c>
      <c r="AO32" s="109">
        <f>INDEX(AO17:AX17,AP32)</f>
        <v/>
      </c>
      <c r="AP32" s="109">
        <f>C37</f>
        <v/>
      </c>
      <c r="AR32" s="93" t="n"/>
      <c r="AS32" s="92" t="n"/>
      <c r="AX32" s="92" t="n"/>
      <c r="AY32" s="94" t="n"/>
      <c r="AZ32" s="86" t="n">
        <v>0.1</v>
      </c>
      <c r="BA32" s="109">
        <f>INDEX(BA17:BN17,MATCH(BB32,BA14:BN14,0))</f>
        <v/>
      </c>
      <c r="BB32" s="109">
        <f>E46</f>
        <v/>
      </c>
      <c r="BE32" s="93">
        <f>BE31+1</f>
        <v/>
      </c>
      <c r="BF32" s="92">
        <f>INDEX(AZ31:AZ43,BE32)</f>
        <v/>
      </c>
      <c r="BG32" s="109">
        <f>INDEX(BA31:BA43,BE32)</f>
        <v/>
      </c>
      <c r="BK32" s="92" t="n"/>
      <c r="BL32" s="92" t="n"/>
    </row>
    <row r="33" ht="13.8" customFormat="1" customHeight="1" s="109">
      <c r="A33" s="151" t="n"/>
      <c r="B33" s="77" t="inlineStr">
        <is>
          <t>Axial Tension Failure:</t>
        </is>
      </c>
      <c r="C33" s="151" t="n"/>
      <c r="D33" s="151" t="n"/>
      <c r="E33" s="151" t="n"/>
      <c r="F33" s="151" t="n"/>
      <c r="G33" s="151" t="n"/>
      <c r="I33" s="189" t="n"/>
      <c r="J33" s="53" t="n"/>
      <c r="K33" s="53" t="n"/>
      <c r="M33" s="36" t="n"/>
      <c r="N33" s="36" t="n"/>
      <c r="O33" s="36" t="n"/>
      <c r="P33" s="36" t="n"/>
      <c r="Q33" s="38" t="n"/>
      <c r="R33" s="27" t="n"/>
      <c r="S33" s="27" t="n"/>
      <c r="T33" s="27" t="n"/>
      <c r="V33" s="86" t="n">
        <v>1</v>
      </c>
      <c r="W33" s="109">
        <f>INDEX(W22:AH22,Y33)</f>
        <v/>
      </c>
      <c r="X33" s="109">
        <f>INDEX(W22:AH22,Y33+1)</f>
        <v/>
      </c>
      <c r="Y33" s="109">
        <f>MATCH(W31,W19:AH19,1)</f>
        <v/>
      </c>
      <c r="Z33" s="93">
        <f>(X33-W33)*Z30+W33</f>
        <v/>
      </c>
      <c r="AA33" s="92">
        <f>AC31*V33^4+AD31*V33^3+AE31*V33^2+AF31*V33+AG31</f>
        <v/>
      </c>
      <c r="AF33" s="92" t="n"/>
      <c r="AG33" s="92" t="n"/>
      <c r="AN33" s="126" t="n">
        <v>2.5</v>
      </c>
      <c r="AO33" s="109">
        <f>INDEX(AO18:AX18,AP33)</f>
        <v/>
      </c>
      <c r="AP33" s="109">
        <f>C37</f>
        <v/>
      </c>
      <c r="AR33" s="93" t="n"/>
      <c r="AS33" s="92">
        <f>(AS29-AS30)/(AS31-AS30)*(AT31-AT30)+AT30</f>
        <v/>
      </c>
      <c r="AX33" s="92" t="n"/>
      <c r="AZ33" s="153" t="n">
        <v>0.2</v>
      </c>
      <c r="BA33" s="109">
        <f>INDEX(BA18:BN18,MATCH(BB33,BA14:BN14,0))</f>
        <v/>
      </c>
      <c r="BB33" s="109">
        <f>E46</f>
        <v/>
      </c>
      <c r="BE33" s="93" t="n"/>
      <c r="BF33" s="92" t="n"/>
      <c r="BK33" s="92" t="n"/>
      <c r="BL33" s="92" t="n"/>
    </row>
    <row r="34" ht="15" customFormat="1" customHeight="1" s="109">
      <c r="A34" s="115" t="inlineStr">
        <is>
          <t>w =</t>
        </is>
      </c>
      <c r="B34" s="109">
        <f>[2]!xln(B35)</f>
        <v/>
      </c>
      <c r="E34" s="71" t="inlineStr">
        <is>
          <t>At =</t>
        </is>
      </c>
      <c r="F34" s="109">
        <f>[2]!xln(F35)</f>
        <v/>
      </c>
      <c r="G34" s="151" t="n"/>
      <c r="H34" s="64" t="n"/>
      <c r="I34" s="71" t="inlineStr">
        <is>
          <t xml:space="preserve">w/D = </t>
        </is>
      </c>
      <c r="J34" s="109">
        <f>[2]!xln(J35)</f>
        <v/>
      </c>
      <c r="K34" s="64" t="n"/>
      <c r="M34" s="36" t="n"/>
      <c r="N34" s="36" t="n"/>
      <c r="O34" s="36" t="n"/>
      <c r="P34" s="36" t="n"/>
      <c r="Q34" s="38" t="n"/>
      <c r="R34" s="27" t="n"/>
      <c r="S34" s="27" t="n"/>
      <c r="T34" s="27" t="n"/>
      <c r="V34" s="86" t="n">
        <v>1.4</v>
      </c>
      <c r="W34" s="109">
        <f>INDEX(W23:AH23,Y34)</f>
        <v/>
      </c>
      <c r="X34" s="109">
        <f>INDEX(W23:AH23,Y34+1)</f>
        <v/>
      </c>
      <c r="Y34" s="109">
        <f>MATCH(W31,W19:AH19,1)</f>
        <v/>
      </c>
      <c r="Z34" s="93">
        <f>(X34-W34)*Z30+W34</f>
        <v/>
      </c>
      <c r="AA34" s="92">
        <f>AC31*V34^4+AD31*V34^3+AE31*V34^2+AF31*V34+AG31</f>
        <v/>
      </c>
      <c r="AC34" s="109">
        <f>AC31*B28^4+AD31*B28^3+AE31*B28^2+AF31*B28+AG31</f>
        <v/>
      </c>
      <c r="AF34" s="92" t="n"/>
      <c r="AG34" s="92" t="n"/>
      <c r="AN34" s="126" t="n">
        <v>3</v>
      </c>
      <c r="AO34" s="109">
        <f>INDEX(AO19:AX19,AP34)</f>
        <v/>
      </c>
      <c r="AP34" s="109">
        <f>C37</f>
        <v/>
      </c>
      <c r="AR34" s="93" t="n"/>
      <c r="AS34" s="92" t="n"/>
      <c r="AZ34" s="153" t="n">
        <v>0.3</v>
      </c>
      <c r="BA34" s="109">
        <f>INDEX(BA19:BN19,MATCH(BB34,BA14:BN14,0))</f>
        <v/>
      </c>
      <c r="BB34" s="109">
        <f>E46</f>
        <v/>
      </c>
      <c r="BE34" s="93" t="n"/>
      <c r="BF34" s="92">
        <f>(BF30-BF31)/(BF32-BF31)*(BG32-BG31)+BG31</f>
        <v/>
      </c>
      <c r="BK34" s="92" t="n"/>
      <c r="BL34" s="92" t="n"/>
    </row>
    <row r="35" ht="13.8" customFormat="1" customHeight="1" s="109">
      <c r="A35" s="71" t="inlineStr">
        <is>
          <t>=</t>
        </is>
      </c>
      <c r="B35" s="93">
        <f>G18*2</f>
        <v/>
      </c>
      <c r="C35" s="109" t="inlineStr">
        <is>
          <t>in</t>
        </is>
      </c>
      <c r="E35" s="71" t="inlineStr">
        <is>
          <t>=</t>
        </is>
      </c>
      <c r="F35" s="74">
        <f>(B35-G16)*G17</f>
        <v/>
      </c>
      <c r="G35" s="109" t="inlineStr">
        <is>
          <t>in²</t>
        </is>
      </c>
      <c r="H35" s="94" t="n"/>
      <c r="I35" s="71" t="inlineStr">
        <is>
          <t>=</t>
        </is>
      </c>
      <c r="J35" s="85">
        <f>B35/G16</f>
        <v/>
      </c>
      <c r="L35" s="109" t="n"/>
      <c r="M35" s="36" t="n"/>
      <c r="N35" s="36" t="n"/>
      <c r="O35" s="36" t="n"/>
      <c r="P35" s="36" t="n"/>
      <c r="Q35" s="38" t="n"/>
      <c r="R35" s="27" t="n"/>
      <c r="S35" s="27" t="n"/>
      <c r="T35" s="27" t="n"/>
      <c r="V35" s="86" t="n">
        <v>1.8</v>
      </c>
      <c r="W35" s="109">
        <f>INDEX(W24:AH24,Y35)</f>
        <v/>
      </c>
      <c r="X35" s="109">
        <f>INDEX(W24:AH24,Y35+1)</f>
        <v/>
      </c>
      <c r="Y35" s="109">
        <f>MATCH(W31,W19:AH19,1)</f>
        <v/>
      </c>
      <c r="Z35" s="93">
        <f>(X35-W35)*Z30+W35</f>
        <v/>
      </c>
      <c r="AA35" s="92">
        <f>AC31*V35^4+AD31*V35^3+AE31*V35^2+AF31*V35+AG31</f>
        <v/>
      </c>
      <c r="AF35" s="92" t="n"/>
      <c r="AG35" s="92" t="n"/>
      <c r="AN35" s="126" t="n">
        <v>3.5</v>
      </c>
      <c r="AO35" s="109">
        <f>INDEX(AO20:AX20,AP35)</f>
        <v/>
      </c>
      <c r="AP35" s="109">
        <f>C37</f>
        <v/>
      </c>
      <c r="AR35" s="93" t="n"/>
      <c r="AS35" s="92" t="n"/>
      <c r="AZ35" s="153" t="n">
        <v>0.4</v>
      </c>
      <c r="BA35" s="109">
        <f>INDEX(BA20:BN20,MATCH(BB35,BA14:BN14,0))</f>
        <v/>
      </c>
      <c r="BB35" s="109">
        <f>E46</f>
        <v/>
      </c>
      <c r="BE35" s="93" t="n"/>
      <c r="BF35" s="92" t="n"/>
      <c r="BK35" s="92" t="n"/>
      <c r="BL35" s="92" t="n"/>
    </row>
    <row r="36" ht="13.8" customFormat="1" customHeight="1" s="109">
      <c r="A36" s="151" t="n"/>
      <c r="L36" s="109" t="n"/>
      <c r="M36" s="36" t="n"/>
      <c r="N36" s="36" t="n"/>
      <c r="O36" s="36" t="n"/>
      <c r="P36" s="36" t="n"/>
      <c r="Q36" s="38" t="n"/>
      <c r="R36" s="27" t="n"/>
      <c r="S36" s="27" t="n"/>
      <c r="T36" s="27" t="n"/>
      <c r="V36" s="86" t="n">
        <v>2.2</v>
      </c>
      <c r="W36" s="109">
        <f>INDEX(W25:AH25,Y36)</f>
        <v/>
      </c>
      <c r="X36" s="109">
        <f>INDEX(W25:AH25,Y36+1)</f>
        <v/>
      </c>
      <c r="Y36" s="109">
        <f>MATCH(W31,W19:AH19,1)</f>
        <v/>
      </c>
      <c r="Z36" s="93">
        <f>(X36-W36)*Z30+W36</f>
        <v/>
      </c>
      <c r="AA36" s="92">
        <f>AC31*V36^4+AD31*V36^3+AE31*V36^2+AF31*V36+AG31</f>
        <v/>
      </c>
      <c r="AF36" s="92" t="n"/>
      <c r="AG36" s="92" t="n"/>
      <c r="AN36" s="126" t="n">
        <v>4</v>
      </c>
      <c r="AO36" s="109">
        <f>INDEX(AO21:AX21,AP36)</f>
        <v/>
      </c>
      <c r="AP36" s="109">
        <f>C37</f>
        <v/>
      </c>
      <c r="AR36" s="93" t="n"/>
      <c r="AS36" s="92" t="n"/>
      <c r="AZ36" s="153" t="n">
        <v>0.5</v>
      </c>
      <c r="BA36" s="109">
        <f>INDEX(BA21:BN21,MATCH(BB36,BA14:BN14,0))</f>
        <v/>
      </c>
      <c r="BB36" s="109">
        <f>E46</f>
        <v/>
      </c>
      <c r="BE36" s="93" t="n"/>
      <c r="BF36" s="92" t="n"/>
    </row>
    <row r="37" ht="15" customFormat="1" customHeight="1" s="109">
      <c r="A37" s="151" t="n"/>
      <c r="B37" s="115" t="inlineStr">
        <is>
          <t>Curve:</t>
        </is>
      </c>
      <c r="C37" s="142" t="n">
        <v>5</v>
      </c>
      <c r="D37" s="71" t="inlineStr">
        <is>
          <t>Kt =</t>
        </is>
      </c>
      <c r="E37" s="74">
        <f>AS33</f>
        <v/>
      </c>
      <c r="F37" s="110" t="inlineStr">
        <is>
          <t>Ultimate Axial Efficiency Factor</t>
        </is>
      </c>
      <c r="G37" s="190" t="n"/>
      <c r="H37" s="94" t="n"/>
      <c r="I37" s="94" t="n"/>
      <c r="L37" s="109" t="n"/>
      <c r="M37" s="36" t="n"/>
      <c r="N37" s="36" t="n"/>
      <c r="O37" s="36" t="n"/>
      <c r="P37" s="36" t="n"/>
      <c r="Q37" s="38" t="n"/>
      <c r="R37" s="27" t="n"/>
      <c r="S37" s="27" t="n"/>
      <c r="T37" s="27" t="n"/>
      <c r="V37" s="86" t="n">
        <v>2.6</v>
      </c>
      <c r="W37" s="109">
        <f>INDEX(W26:AH26,Y37)</f>
        <v/>
      </c>
      <c r="X37" s="109">
        <f>INDEX(W26:AH26,Y37+1)</f>
        <v/>
      </c>
      <c r="Y37" s="109">
        <f>MATCH(W31,W19:AH19,1)</f>
        <v/>
      </c>
      <c r="Z37" s="93">
        <f>(X37-W37)*Z30+W37</f>
        <v/>
      </c>
      <c r="AA37" s="92">
        <f>AC31*V37^4+AD31*V37^3+AE31*V37^2+AF31*V37+AG31</f>
        <v/>
      </c>
      <c r="AN37" s="126" t="n">
        <v>4.5</v>
      </c>
      <c r="AO37" s="109">
        <f>INDEX(AO22:AX22,AP37)</f>
        <v/>
      </c>
      <c r="AP37" s="109">
        <f>C37</f>
        <v/>
      </c>
      <c r="AR37" s="93" t="n"/>
      <c r="AS37" s="92" t="n"/>
      <c r="AZ37" s="153" t="n">
        <v>0.6</v>
      </c>
      <c r="BA37" s="109">
        <f>INDEX(BA22:BN22,MATCH(BB37,BA14:BN14,0))</f>
        <v/>
      </c>
      <c r="BB37" s="109">
        <f>E46</f>
        <v/>
      </c>
      <c r="BE37" s="93" t="n"/>
      <c r="BF37" s="92" t="n"/>
    </row>
    <row r="38" ht="13.8" customFormat="1" customHeight="1" s="109">
      <c r="A38" s="151" t="n"/>
      <c r="B38" s="151" t="n"/>
      <c r="C38" s="151" t="n"/>
      <c r="D38" s="151" t="n"/>
      <c r="F38" s="94" t="inlineStr">
        <is>
          <t>(NASA TM X-73305, 1975 Fig B 2.1.0-4)</t>
        </is>
      </c>
      <c r="G38" s="190" t="n"/>
      <c r="H38" s="94" t="n"/>
      <c r="I38" s="94" t="n"/>
      <c r="L38" s="109" t="n"/>
      <c r="M38" s="36" t="n"/>
      <c r="N38" s="36" t="n"/>
      <c r="O38" s="36" t="n"/>
      <c r="P38" s="36" t="n"/>
      <c r="Q38" s="38" t="n"/>
      <c r="R38" s="27" t="n"/>
      <c r="S38" s="27" t="n"/>
      <c r="T38" s="27" t="n"/>
      <c r="V38" s="86" t="n">
        <v>3</v>
      </c>
      <c r="W38" s="109">
        <f>INDEX(W27:AH27,Y38)</f>
        <v/>
      </c>
      <c r="X38" s="109">
        <f>INDEX(W27:AH27,Y38+1)</f>
        <v/>
      </c>
      <c r="Y38" s="109">
        <f>MATCH(W31,W19:AH19,1)</f>
        <v/>
      </c>
      <c r="Z38" s="93">
        <f>(X38-W38)*Z30+W38</f>
        <v/>
      </c>
      <c r="AA38" s="92">
        <f>AC31*V38^4+AD31*V38^3+AE31*V38^2+AF31*V38+AG31</f>
        <v/>
      </c>
      <c r="AM38" s="94" t="inlineStr">
        <is>
          <t>Lug Width</t>
        </is>
      </c>
      <c r="AN38" s="126" t="n">
        <v>4.8</v>
      </c>
      <c r="AO38" s="109">
        <f>INDEX(AO23:AX23,AP38)</f>
        <v/>
      </c>
      <c r="AP38" s="109">
        <f>C37</f>
        <v/>
      </c>
      <c r="AR38" s="102" t="n"/>
      <c r="AS38" s="102" t="n"/>
      <c r="AT38" s="102" t="n"/>
      <c r="AZ38" s="153" t="n">
        <v>0.8</v>
      </c>
      <c r="BA38" s="109">
        <f>INDEX(BA23:BN23,MATCH(BB38,BA14:BN14,0))</f>
        <v/>
      </c>
      <c r="BB38" s="109">
        <f>E46</f>
        <v/>
      </c>
      <c r="BE38" s="93" t="n"/>
      <c r="BF38" s="92" t="n"/>
    </row>
    <row r="39" ht="15" customFormat="1" customHeight="1" s="109">
      <c r="A39" s="151" t="n"/>
      <c r="B39" s="115" t="inlineStr">
        <is>
          <t>P'tu =</t>
        </is>
      </c>
      <c r="C39" s="109">
        <f>[2]!xln(C40)</f>
        <v/>
      </c>
      <c r="D39" s="70" t="n"/>
      <c r="E39" s="205" t="n"/>
      <c r="H39" s="67" t="n"/>
      <c r="I39" s="189" t="n"/>
      <c r="J39" s="53" t="n"/>
      <c r="K39" s="53" t="n"/>
      <c r="L39" s="109" t="n"/>
      <c r="M39" s="36" t="n"/>
      <c r="N39" s="36" t="n"/>
      <c r="O39" s="36" t="n"/>
      <c r="P39" s="36" t="n"/>
      <c r="Q39" s="38" t="n"/>
      <c r="R39" s="27" t="n"/>
      <c r="S39" s="27" t="n"/>
      <c r="T39" s="27" t="n"/>
      <c r="V39" s="130" t="n">
        <v>3.4</v>
      </c>
      <c r="W39" s="109">
        <f>INDEX(W28:AH28,Y39)</f>
        <v/>
      </c>
      <c r="X39" s="109">
        <f>INDEX(W28:AH28,Y39+1)</f>
        <v/>
      </c>
      <c r="Y39" s="109">
        <f>MATCH(W31,W19:AH19,1)</f>
        <v/>
      </c>
      <c r="Z39" s="93">
        <f>(X39-W39)*Z30+W39</f>
        <v/>
      </c>
      <c r="AA39" s="92">
        <f>AC31*V39^4+AD31*V39^3+AE31*V39^2+AF31*V39+AG31</f>
        <v/>
      </c>
      <c r="AN39" s="124" t="n">
        <v>5</v>
      </c>
      <c r="AO39" s="109">
        <f>INDEX(AO24:AX24,AP39)</f>
        <v/>
      </c>
      <c r="AP39" s="109">
        <f>C37</f>
        <v/>
      </c>
      <c r="AR39" s="102" t="n"/>
      <c r="AS39" s="102" t="n"/>
      <c r="AT39" s="102" t="n"/>
      <c r="AZ39" s="153" t="n">
        <v>1</v>
      </c>
      <c r="BA39" s="109">
        <f>INDEX(BA24:BN24,MATCH(BB39,BA14:BN14,0))</f>
        <v/>
      </c>
      <c r="BB39" s="109">
        <f>E46</f>
        <v/>
      </c>
      <c r="BE39" s="102" t="n"/>
      <c r="BF39" s="102" t="n"/>
      <c r="BG39" s="102" t="n"/>
    </row>
    <row r="40" ht="13.8" customFormat="1" customHeight="1" s="109">
      <c r="A40" s="151" t="n"/>
      <c r="B40" s="19" t="inlineStr">
        <is>
          <t>=</t>
        </is>
      </c>
      <c r="C40" s="179">
        <f>G19*E37*F35</f>
        <v/>
      </c>
      <c r="D40" s="114" t="inlineStr">
        <is>
          <t>lb</t>
        </is>
      </c>
      <c r="E40" s="205" t="n"/>
      <c r="H40" s="205" t="n"/>
      <c r="I40" s="189" t="n"/>
      <c r="J40" s="66" t="n"/>
      <c r="K40" s="116" t="n"/>
      <c r="L40" s="109" t="n"/>
      <c r="M40" s="36" t="n"/>
      <c r="N40" s="36" t="n"/>
      <c r="O40" s="36" t="n"/>
      <c r="P40" s="36" t="n"/>
      <c r="Q40" s="38" t="n"/>
      <c r="R40" s="27" t="n"/>
      <c r="S40" s="27" t="n"/>
      <c r="T40" s="27" t="n"/>
      <c r="V40" s="95" t="n"/>
      <c r="W40" s="96" t="n"/>
      <c r="X40" s="96" t="n"/>
      <c r="Y40" s="102" t="n"/>
      <c r="Z40" s="102" t="n"/>
      <c r="AA40" s="102" t="n"/>
      <c r="AB40" s="102" t="n"/>
      <c r="AN40" s="95" t="n"/>
      <c r="AR40" s="102" t="n"/>
      <c r="AS40" s="102" t="n"/>
      <c r="AT40" s="102" t="n"/>
      <c r="AZ40" s="153" t="n">
        <v>1.1</v>
      </c>
      <c r="BA40" s="109">
        <f>INDEX(BA25:BN25,MATCH(BB40,BA14:BN14,0))</f>
        <v/>
      </c>
      <c r="BB40" s="109">
        <f>E46</f>
        <v/>
      </c>
      <c r="BE40" s="102" t="n"/>
      <c r="BF40" s="102" t="n"/>
      <c r="BG40" s="102" t="n"/>
    </row>
    <row r="41" ht="13.8" customFormat="1" customHeight="1" s="109">
      <c r="L41" s="109" t="n"/>
      <c r="M41" s="36" t="n"/>
      <c r="N41" s="36" t="n"/>
      <c r="O41" s="36" t="n"/>
      <c r="P41" s="36" t="n"/>
      <c r="Q41" s="38" t="n"/>
      <c r="R41" s="27" t="n"/>
      <c r="S41" s="27" t="n"/>
      <c r="T41" s="27" t="n"/>
      <c r="V41" s="95" t="n"/>
      <c r="W41" s="98" t="n"/>
      <c r="X41" s="99" t="inlineStr">
        <is>
          <t>x</t>
        </is>
      </c>
      <c r="Y41" s="100" t="inlineStr">
        <is>
          <t>y</t>
        </is>
      </c>
      <c r="Z41" s="102" t="n"/>
      <c r="AA41" s="102" t="n"/>
      <c r="AB41" s="102" t="n"/>
      <c r="AN41" s="95" t="n"/>
      <c r="AO41" s="98" t="n"/>
      <c r="AP41" s="99" t="inlineStr">
        <is>
          <t>x</t>
        </is>
      </c>
      <c r="AQ41" s="100" t="inlineStr">
        <is>
          <t>y</t>
        </is>
      </c>
      <c r="AR41" s="102" t="n"/>
      <c r="AS41" s="102" t="n"/>
      <c r="AT41" s="102" t="n"/>
      <c r="AZ41" s="153" t="n">
        <v>1.2</v>
      </c>
      <c r="BA41" s="109">
        <f>INDEX(BA26:BN26,MATCH(BB41,BA14:BN14,0))</f>
        <v/>
      </c>
      <c r="BB41" s="109">
        <f>E46</f>
        <v/>
      </c>
      <c r="BE41" s="102" t="n"/>
      <c r="BF41" s="102" t="n"/>
      <c r="BG41" s="102" t="n"/>
    </row>
    <row r="42" ht="13.8" customFormat="1" customHeight="1" s="109">
      <c r="B42" s="175" t="inlineStr">
        <is>
          <t>Transverse Failure:</t>
        </is>
      </c>
      <c r="L42" s="109" t="n"/>
      <c r="M42" s="36" t="n"/>
      <c r="N42" s="36" t="n"/>
      <c r="O42" s="36" t="n"/>
      <c r="P42" s="36" t="n"/>
      <c r="Q42" s="38" t="n"/>
      <c r="R42" s="27" t="n"/>
      <c r="S42" s="27" t="n"/>
      <c r="T42" s="27" t="n"/>
      <c r="V42" s="95" t="n"/>
      <c r="W42" s="148" t="inlineStr">
        <is>
          <t>hor line</t>
        </is>
      </c>
      <c r="X42" s="102" t="n">
        <v>0.6</v>
      </c>
      <c r="Y42" s="103">
        <f>I29</f>
        <v/>
      </c>
      <c r="Z42" s="102" t="n"/>
      <c r="AA42" s="102" t="n"/>
      <c r="AB42" s="102" t="n"/>
      <c r="AN42" s="95" t="n"/>
      <c r="AO42" s="148" t="inlineStr">
        <is>
          <t>hor line</t>
        </is>
      </c>
      <c r="AP42" s="102" t="n">
        <v>1</v>
      </c>
      <c r="AQ42" s="103">
        <f>AS33</f>
        <v/>
      </c>
      <c r="AR42" s="102" t="n"/>
      <c r="AS42" s="102" t="n"/>
      <c r="AT42" s="102" t="n"/>
      <c r="AZ42" s="152" t="n">
        <v>1.3</v>
      </c>
      <c r="BA42" s="109">
        <f>INDEX(BA27:BN27,MATCH(BB42,BA14:BN14,0))</f>
        <v/>
      </c>
      <c r="BB42" s="109">
        <f>E46</f>
        <v/>
      </c>
      <c r="BE42" s="102" t="n"/>
      <c r="BF42" s="102" t="n"/>
      <c r="BG42" s="102" t="n"/>
    </row>
    <row r="43" ht="15" customFormat="1" customHeight="1" s="109">
      <c r="A43" s="71" t="inlineStr">
        <is>
          <t>Aav =</t>
        </is>
      </c>
      <c r="B43" s="109">
        <f>[2]!xln(B44)</f>
        <v/>
      </c>
      <c r="D43" s="151" t="n"/>
      <c r="G43" s="71" t="inlineStr">
        <is>
          <t>Abr =</t>
        </is>
      </c>
      <c r="H43" s="109">
        <f>[2]!xln(H44)</f>
        <v/>
      </c>
      <c r="I43" s="151" t="n"/>
      <c r="L43" s="109" t="n"/>
      <c r="M43" s="36" t="n"/>
      <c r="N43" s="36" t="n"/>
      <c r="O43" s="36" t="n"/>
      <c r="P43" s="36" t="n"/>
      <c r="Q43" s="38" t="n"/>
      <c r="R43" s="27" t="n"/>
      <c r="S43" s="27" t="n"/>
      <c r="T43" s="27" t="n"/>
      <c r="V43" s="95" t="n"/>
      <c r="W43" s="148" t="n"/>
      <c r="X43" s="104">
        <f>B28</f>
        <v/>
      </c>
      <c r="Y43" s="103">
        <f>I29</f>
        <v/>
      </c>
      <c r="Z43" s="102" t="n"/>
      <c r="AA43" s="102" t="n"/>
      <c r="AB43" s="102" t="n"/>
      <c r="AN43" s="95" t="n"/>
      <c r="AO43" s="148" t="n"/>
      <c r="AP43" s="104">
        <f>J35</f>
        <v/>
      </c>
      <c r="AQ43" s="103">
        <f>AS33</f>
        <v/>
      </c>
      <c r="AU43" s="109" t="n"/>
      <c r="AZ43" s="152" t="n">
        <v>1.4</v>
      </c>
      <c r="BA43" s="109">
        <f>INDEX(BA28:BN28,MATCH(BB43,BA14:BN14,0))</f>
        <v/>
      </c>
      <c r="BB43" s="109">
        <f>E46</f>
        <v/>
      </c>
      <c r="BE43" s="102" t="n"/>
      <c r="BF43" s="102" t="n"/>
      <c r="BG43" s="102" t="n"/>
    </row>
    <row r="44" ht="13.8" customFormat="1" customHeight="1" s="109">
      <c r="B44" s="206">
        <f>6/((3/G21)+(1/G22)+(1/G23)+(1/G24))</f>
        <v/>
      </c>
      <c r="C44" s="109" t="inlineStr">
        <is>
          <t>in²</t>
        </is>
      </c>
      <c r="D44" s="151" t="n"/>
      <c r="E44" s="151" t="n"/>
      <c r="G44" s="71" t="inlineStr">
        <is>
          <t>=</t>
        </is>
      </c>
      <c r="H44" s="207">
        <f>G16*G17</f>
        <v/>
      </c>
      <c r="I44" s="109" t="inlineStr">
        <is>
          <t>in²</t>
        </is>
      </c>
      <c r="L44" s="70" t="n"/>
      <c r="M44" s="36" t="n"/>
      <c r="N44" s="36" t="n"/>
      <c r="O44" s="36" t="n"/>
      <c r="P44" s="36" t="n"/>
      <c r="Q44" s="38" t="n"/>
      <c r="R44" s="27" t="n"/>
      <c r="S44" s="27" t="n"/>
      <c r="T44" s="27" t="n"/>
      <c r="V44" s="95" t="n"/>
      <c r="W44" s="148" t="inlineStr">
        <is>
          <t>vert line</t>
        </is>
      </c>
      <c r="X44" s="104">
        <f>B28</f>
        <v/>
      </c>
      <c r="Y44" s="105" t="n">
        <v>0</v>
      </c>
      <c r="Z44" s="102" t="n"/>
      <c r="AA44" s="102" t="n"/>
      <c r="AB44" s="102" t="n"/>
      <c r="AO44" s="148" t="inlineStr">
        <is>
          <t>vert line</t>
        </is>
      </c>
      <c r="AP44" s="104">
        <f>J35</f>
        <v/>
      </c>
      <c r="AQ44" s="103">
        <f>AS33</f>
        <v/>
      </c>
      <c r="AU44" s="109" t="n"/>
      <c r="AZ44" s="95" t="n"/>
      <c r="BH44" s="109" t="n"/>
    </row>
    <row r="45" ht="13.8" customFormat="1" customHeight="1" s="109">
      <c r="A45" s="151" t="n"/>
      <c r="B45" s="151" t="n"/>
      <c r="C45" s="151" t="n"/>
      <c r="D45" s="151" t="n"/>
      <c r="E45" s="151" t="n"/>
      <c r="I45" s="151" t="n"/>
      <c r="J45" s="151" t="n"/>
      <c r="K45" s="151" t="n"/>
      <c r="L45" s="70" t="n"/>
      <c r="M45" s="36" t="n"/>
      <c r="N45" s="36" t="n"/>
      <c r="O45" s="36" t="n"/>
      <c r="P45" s="36" t="n"/>
      <c r="Q45" s="38" t="n"/>
      <c r="R45" s="27" t="n"/>
      <c r="S45" s="27" t="n"/>
      <c r="T45" s="27" t="n"/>
      <c r="V45" s="95" t="n"/>
      <c r="W45" s="106" t="n"/>
      <c r="X45" s="107">
        <f>B28</f>
        <v/>
      </c>
      <c r="Y45" s="108">
        <f>I29</f>
        <v/>
      </c>
      <c r="AC45" s="109" t="n"/>
      <c r="AO45" s="106" t="n"/>
      <c r="AP45" s="107">
        <f>J35</f>
        <v/>
      </c>
      <c r="AQ45" s="108" t="n">
        <v>0</v>
      </c>
      <c r="AU45" s="109" t="n"/>
      <c r="AY45" s="70" t="n"/>
      <c r="AZ45" s="98" t="n"/>
      <c r="BA45" s="99" t="inlineStr">
        <is>
          <t>x</t>
        </is>
      </c>
      <c r="BB45" s="100" t="inlineStr">
        <is>
          <t>y</t>
        </is>
      </c>
      <c r="BH45" s="109" t="n"/>
    </row>
    <row r="46" ht="15" customFormat="1" customHeight="1" s="109">
      <c r="A46" s="71" t="inlineStr">
        <is>
          <t>Aav/Abr =</t>
        </is>
      </c>
      <c r="B46" s="206">
        <f>B44/H44</f>
        <v/>
      </c>
      <c r="D46" s="115" t="inlineStr">
        <is>
          <t>Curve:</t>
        </is>
      </c>
      <c r="E46" s="142" t="n">
        <v>5</v>
      </c>
      <c r="F46" s="71" t="inlineStr">
        <is>
          <t>Ktru =</t>
        </is>
      </c>
      <c r="G46" s="74">
        <f>BF34</f>
        <v/>
      </c>
      <c r="H46" s="110" t="inlineStr">
        <is>
          <t xml:space="preserve">Ultimate Transverse Efficiency Factor </t>
        </is>
      </c>
      <c r="I46" s="151" t="n"/>
      <c r="J46" s="151" t="n"/>
      <c r="K46" s="151" t="n"/>
      <c r="M46" s="36" t="n"/>
      <c r="N46" s="36" t="n"/>
      <c r="O46" s="36" t="n"/>
      <c r="P46" s="36" t="n"/>
      <c r="Q46" s="38" t="n"/>
      <c r="R46" s="27" t="n"/>
      <c r="S46" s="27" t="n"/>
      <c r="T46" s="27" t="n"/>
      <c r="AC46" s="109" t="n"/>
      <c r="AY46" s="70" t="n"/>
      <c r="AZ46" s="148" t="inlineStr">
        <is>
          <t>hor line</t>
        </is>
      </c>
      <c r="BA46" s="102" t="n">
        <v>0</v>
      </c>
      <c r="BB46" s="103">
        <f>BF34</f>
        <v/>
      </c>
      <c r="BH46" s="109" t="n"/>
    </row>
    <row r="47" ht="13.8" customFormat="1" customHeight="1" s="109">
      <c r="A47" s="151" t="n"/>
      <c r="B47" s="151" t="n"/>
      <c r="C47" s="151" t="n"/>
      <c r="D47" s="151" t="n"/>
      <c r="E47" s="151" t="n"/>
      <c r="F47" s="70" t="n"/>
      <c r="G47" s="70" t="n"/>
      <c r="H47" s="94" t="inlineStr">
        <is>
          <t>(NASA TM X-73305, 1975 Fig B 2.2.0-4)</t>
        </is>
      </c>
      <c r="M47" s="36" t="n"/>
      <c r="N47" s="36" t="n"/>
      <c r="O47" s="36" t="n"/>
      <c r="P47" s="36" t="n"/>
      <c r="Q47" s="38" t="n"/>
      <c r="R47" s="27" t="n"/>
      <c r="S47" s="27" t="n"/>
      <c r="T47" s="27" t="n"/>
      <c r="AC47" s="109" t="n"/>
      <c r="AY47" s="70" t="n"/>
      <c r="AZ47" s="148" t="n"/>
      <c r="BA47" s="104">
        <f>B46</f>
        <v/>
      </c>
      <c r="BB47" s="103">
        <f>BF34</f>
        <v/>
      </c>
      <c r="BO47" s="70" t="n"/>
      <c r="BP47" s="70" t="n"/>
      <c r="BQ47" s="70" t="n"/>
    </row>
    <row r="48" ht="15" customFormat="1" customHeight="1" s="109">
      <c r="A48" s="151" t="n"/>
      <c r="B48" s="115" t="inlineStr">
        <is>
          <t>P'tru =</t>
        </is>
      </c>
      <c r="C48" s="109">
        <f>[2]!xln(C49)</f>
        <v/>
      </c>
      <c r="D48" s="70" t="n"/>
      <c r="E48" s="205" t="n"/>
      <c r="F48" s="189" t="n"/>
      <c r="G48" s="53" t="n"/>
      <c r="H48" s="67" t="n"/>
      <c r="I48" s="189" t="n"/>
      <c r="J48" s="53" t="n"/>
      <c r="K48" s="53" t="n"/>
      <c r="M48" s="36" t="n"/>
      <c r="N48" s="36" t="n"/>
      <c r="O48" s="36" t="n"/>
      <c r="P48" s="36" t="n"/>
      <c r="Q48" s="38" t="n"/>
      <c r="R48" s="27" t="n"/>
      <c r="S48" s="27" t="n"/>
      <c r="T48" s="27" t="n"/>
      <c r="AN48" s="120" t="n"/>
      <c r="AO48" s="120" t="n"/>
      <c r="AP48" s="119" t="n"/>
      <c r="AQ48" s="119" t="n"/>
      <c r="AR48" s="117" t="n"/>
      <c r="AS48" s="117" t="n"/>
      <c r="AT48" s="117" t="n"/>
      <c r="AU48" s="117" t="n"/>
      <c r="AV48" s="53" t="n"/>
      <c r="AW48" s="53" t="n"/>
      <c r="AX48" s="53" t="n"/>
      <c r="AY48" s="70" t="n"/>
      <c r="AZ48" s="148" t="inlineStr">
        <is>
          <t>vert line</t>
        </is>
      </c>
      <c r="BA48" s="104">
        <f>B46</f>
        <v/>
      </c>
      <c r="BB48" s="103">
        <f>BF34</f>
        <v/>
      </c>
      <c r="BO48" s="70" t="n"/>
      <c r="BP48" s="70" t="n"/>
      <c r="BQ48" s="70" t="n"/>
    </row>
    <row r="49" ht="13.8" customFormat="1" customHeight="1" s="109">
      <c r="A49" s="151" t="n"/>
      <c r="B49" s="19" t="inlineStr">
        <is>
          <t>=</t>
        </is>
      </c>
      <c r="C49" s="179">
        <f>G20*G46*H44</f>
        <v/>
      </c>
      <c r="D49" s="114" t="inlineStr">
        <is>
          <t>lb</t>
        </is>
      </c>
      <c r="E49" s="205" t="n"/>
      <c r="F49" s="189" t="n"/>
      <c r="G49" s="53" t="n"/>
      <c r="H49" s="205" t="n"/>
      <c r="I49" s="189" t="n"/>
      <c r="J49" s="66" t="n"/>
      <c r="K49" s="116" t="n"/>
      <c r="M49" s="36" t="n"/>
      <c r="N49" s="36" t="n"/>
      <c r="O49" s="36" t="n"/>
      <c r="P49" s="36" t="n"/>
      <c r="Q49" s="38" t="n"/>
      <c r="R49" s="27" t="n"/>
      <c r="S49" s="27" t="n"/>
      <c r="T49" s="27" t="n"/>
      <c r="AN49" s="122" t="n"/>
      <c r="AO49" s="122" t="n"/>
      <c r="AP49" s="122" t="n"/>
      <c r="AQ49" s="122" t="n"/>
      <c r="AR49" s="117" t="n"/>
      <c r="AS49" s="122" t="n"/>
      <c r="AT49" s="122" t="n"/>
      <c r="AU49" s="117" t="n"/>
      <c r="AV49" s="53" t="n"/>
      <c r="AW49" s="53" t="n"/>
      <c r="AX49" s="53" t="n"/>
      <c r="AY49" s="70" t="n"/>
      <c r="AZ49" s="106" t="n"/>
      <c r="BA49" s="107">
        <f>B46</f>
        <v/>
      </c>
      <c r="BB49" s="108" t="n">
        <v>0</v>
      </c>
      <c r="BC49" s="123" t="n"/>
      <c r="BD49" s="123" t="n"/>
      <c r="BE49" s="117" t="n"/>
      <c r="BF49" s="117" t="n"/>
      <c r="BG49" s="117" t="n"/>
      <c r="BH49" s="117" t="n"/>
      <c r="BO49" s="70" t="n"/>
      <c r="BP49" s="70" t="n"/>
      <c r="BQ49" s="70" t="n"/>
    </row>
    <row r="50" ht="13.8" customFormat="1" customHeight="1" s="109">
      <c r="A50" s="70" t="n"/>
      <c r="B50" s="70" t="n"/>
      <c r="C50" s="70" t="n"/>
      <c r="D50" s="70" t="n"/>
      <c r="E50" s="70" t="n"/>
      <c r="F50" s="70" t="n"/>
      <c r="G50" s="70" t="n"/>
      <c r="H50" s="70" t="n"/>
      <c r="I50" s="70" t="n"/>
      <c r="J50" s="70" t="n"/>
      <c r="K50" s="70" t="n"/>
      <c r="M50" s="36" t="n"/>
      <c r="N50" s="36" t="n"/>
      <c r="O50" s="36" t="n"/>
      <c r="P50" s="36" t="n"/>
      <c r="Q50" s="38" t="n"/>
      <c r="R50" s="27" t="n"/>
      <c r="S50" s="27" t="n"/>
      <c r="T50" s="27" t="n"/>
      <c r="Z50" s="64" t="n"/>
      <c r="AN50" s="120" t="n"/>
      <c r="AO50" s="120" t="n"/>
      <c r="AP50" s="119" t="n"/>
      <c r="AQ50" s="119" t="n"/>
      <c r="AR50" s="117" t="n"/>
      <c r="AS50" s="122" t="n"/>
      <c r="AT50" s="121" t="n"/>
      <c r="AU50" s="117" t="n"/>
      <c r="AY50" s="70" t="n"/>
      <c r="AZ50" s="70" t="n"/>
      <c r="BA50" s="70" t="n"/>
    </row>
    <row r="51" ht="13.8" customFormat="1" customHeight="1" s="70">
      <c r="B51" s="178" t="inlineStr">
        <is>
          <t>Oblique Load Interaction (NASA TM X-73305, 1975 Section B 2.3.0)</t>
        </is>
      </c>
      <c r="L51" s="109" t="n"/>
      <c r="M51" s="27" t="n"/>
      <c r="N51" s="27" t="n"/>
      <c r="O51" s="27" t="n"/>
      <c r="P51" s="27" t="n"/>
      <c r="Q51" s="27" t="n"/>
      <c r="R51" s="27" t="n"/>
      <c r="S51" s="27" t="n"/>
      <c r="T51" s="27" t="n"/>
      <c r="U51" s="109" t="n"/>
      <c r="V51" s="71" t="n"/>
      <c r="W51" s="190" t="n"/>
      <c r="X51" s="94" t="n"/>
      <c r="Y51" s="94" t="n"/>
      <c r="Z51" s="74" t="n"/>
      <c r="AA51" s="69" t="n"/>
      <c r="AB51" s="53" t="n"/>
      <c r="AC51" s="53" t="n"/>
      <c r="AD51" s="53" t="n"/>
      <c r="AE51" s="53" t="n"/>
      <c r="AF51" s="53" t="n"/>
      <c r="AG51" s="53" t="n"/>
      <c r="AH51" s="53" t="n"/>
      <c r="AI51" s="53" t="n"/>
      <c r="AQ51" s="70" t="n"/>
      <c r="AR51" s="70" t="n"/>
      <c r="BB51" s="109" t="n"/>
      <c r="BC51" s="109" t="n"/>
      <c r="BD51" s="109" t="n"/>
      <c r="BE51" s="109" t="n"/>
      <c r="BF51" s="109" t="n"/>
      <c r="BG51" s="109" t="n"/>
      <c r="BH51" s="109" t="n"/>
      <c r="BI51" s="109" t="n"/>
      <c r="BJ51" s="109" t="n"/>
      <c r="BK51" s="109" t="n"/>
      <c r="BL51" s="109" t="n"/>
      <c r="BM51" s="109" t="n"/>
      <c r="BN51" s="109" t="n"/>
      <c r="BO51" s="109" t="n"/>
      <c r="BP51" s="109" t="n"/>
      <c r="BQ51" s="109" t="n"/>
    </row>
    <row r="52" ht="13.8" customFormat="1" customHeight="1" s="70">
      <c r="B52" s="70" t="inlineStr">
        <is>
          <t>1.15 Fitting Factor Included.</t>
        </is>
      </c>
      <c r="L52" s="109" t="n"/>
      <c r="M52" s="27" t="n"/>
      <c r="N52" s="27" t="n"/>
      <c r="O52" s="27" t="n"/>
      <c r="P52" s="27" t="n"/>
      <c r="Q52" s="27" t="n"/>
      <c r="R52" s="27" t="n"/>
      <c r="S52" s="27" t="n"/>
      <c r="T52" s="27" t="n"/>
      <c r="U52" s="109" t="n"/>
      <c r="V52" s="71" t="n"/>
      <c r="W52" s="190" t="n"/>
      <c r="X52" s="94" t="n"/>
      <c r="Y52" s="94" t="n"/>
      <c r="Z52" s="109" t="n"/>
      <c r="AA52" s="53" t="n"/>
      <c r="AB52" s="53" t="n"/>
      <c r="AC52" s="53" t="n"/>
      <c r="AD52" s="53" t="n"/>
      <c r="AE52" s="53" t="n"/>
      <c r="AF52" s="53" t="n"/>
      <c r="AG52" s="53" t="n"/>
      <c r="AH52" s="53" t="n"/>
      <c r="AI52" s="53" t="n"/>
      <c r="BB52" s="109" t="n"/>
      <c r="BC52" s="109" t="n"/>
      <c r="BD52" s="109" t="n"/>
      <c r="BE52" s="109" t="n"/>
      <c r="BF52" s="109" t="n"/>
      <c r="BG52" s="109" t="n"/>
      <c r="BH52" s="109" t="n"/>
      <c r="BI52" s="109" t="n"/>
      <c r="BJ52" s="109" t="n"/>
      <c r="BK52" s="109" t="n"/>
      <c r="BL52" s="109" t="n"/>
      <c r="BM52" s="109" t="n"/>
      <c r="BN52" s="109" t="n"/>
      <c r="BO52" s="109" t="n"/>
      <c r="BP52" s="109" t="n"/>
      <c r="BQ52" s="109" t="n"/>
    </row>
    <row r="53" ht="15" customFormat="1" customHeight="1" s="70">
      <c r="B53" s="71" t="inlineStr">
        <is>
          <t>Ra =</t>
        </is>
      </c>
      <c r="F53" s="112">
        <f>[2]!xln(G53)&amp;" ="</f>
        <v/>
      </c>
      <c r="G53" s="208">
        <f>(G14*1.15)/MIN(E31,C40)</f>
        <v/>
      </c>
      <c r="L53" s="109" t="n"/>
      <c r="M53" s="27" t="n"/>
      <c r="N53" s="27" t="n"/>
      <c r="O53" s="27" t="n"/>
      <c r="P53" s="27" t="n"/>
      <c r="Q53" s="27" t="n"/>
      <c r="R53" s="27" t="n"/>
      <c r="S53" s="27" t="n"/>
      <c r="T53" s="27" t="n"/>
      <c r="U53" s="109" t="n"/>
      <c r="V53" s="189" t="n"/>
      <c r="W53" s="189" t="n"/>
      <c r="X53" s="109" t="n"/>
      <c r="Y53" s="109" t="n"/>
      <c r="Z53" s="109" t="n"/>
      <c r="AA53" s="109" t="n"/>
      <c r="AB53" s="109" t="n"/>
      <c r="AC53" s="109" t="n"/>
      <c r="AD53" s="109" t="n"/>
      <c r="AE53" s="109" t="n"/>
      <c r="AF53" s="109" t="n"/>
      <c r="AG53" s="109" t="n"/>
      <c r="AH53" s="109" t="n"/>
      <c r="AI53" s="109" t="n"/>
      <c r="BB53" s="109" t="n"/>
      <c r="BC53" s="109" t="n"/>
      <c r="BD53" s="109" t="n"/>
      <c r="BE53" s="109" t="n"/>
      <c r="BF53" s="109" t="n"/>
      <c r="BG53" s="109" t="n"/>
      <c r="BH53" s="109" t="n"/>
      <c r="BI53" s="109" t="n"/>
      <c r="BJ53" s="109" t="n"/>
      <c r="BK53" s="109" t="n"/>
      <c r="BL53" s="109" t="n"/>
      <c r="BM53" s="109" t="n"/>
      <c r="BN53" s="109" t="n"/>
      <c r="BO53" s="109" t="n"/>
      <c r="BP53" s="109" t="n"/>
      <c r="BQ53" s="109" t="n"/>
    </row>
    <row r="54" ht="15" customFormat="1" customHeight="1" s="70">
      <c r="B54" s="112" t="inlineStr">
        <is>
          <t>Rtr =</t>
        </is>
      </c>
      <c r="F54" s="112">
        <f>[2]!xln(G54)&amp;" ="</f>
        <v/>
      </c>
      <c r="G54" s="208">
        <f>(G15*1.15)/C49</f>
        <v/>
      </c>
      <c r="L54" s="109" t="n"/>
      <c r="M54" s="27" t="n"/>
      <c r="N54" s="27" t="n"/>
      <c r="O54" s="27" t="n"/>
      <c r="P54" s="27" t="n"/>
      <c r="Q54" s="27" t="n"/>
      <c r="R54" s="27" t="n"/>
      <c r="S54" s="27" t="n"/>
      <c r="T54" s="27" t="n"/>
      <c r="U54" s="109" t="n"/>
      <c r="V54" s="189" t="n"/>
      <c r="W54" s="189" t="n"/>
      <c r="X54" s="109" t="n"/>
      <c r="Y54" s="109" t="n"/>
      <c r="Z54" s="109" t="n"/>
      <c r="AA54" s="109" t="n"/>
      <c r="AB54" s="109" t="n"/>
      <c r="AC54" s="109" t="n"/>
      <c r="AD54" s="109" t="n"/>
      <c r="AE54" s="109" t="n"/>
      <c r="AF54" s="109" t="n"/>
      <c r="AG54" s="109" t="n"/>
      <c r="AH54" s="109" t="n"/>
      <c r="AI54" s="109" t="n"/>
    </row>
    <row r="55" ht="13.8" customFormat="1" customHeight="1" s="70">
      <c r="A55" s="151" t="n"/>
      <c r="J55" s="66">
        <f>"M.S. = "&amp;[2]!xln(K55)&amp;" = "</f>
        <v/>
      </c>
      <c r="K55" s="116">
        <f>(1/(G53^1.6+G54^1.6)^0.625)-1</f>
        <v/>
      </c>
      <c r="L55" s="109" t="n"/>
      <c r="M55" s="27" t="n"/>
      <c r="N55" s="27" t="n"/>
      <c r="O55" s="27" t="n"/>
      <c r="P55" s="27" t="n"/>
      <c r="Q55" s="27" t="n"/>
      <c r="R55" s="27" t="n"/>
      <c r="S55" s="27" t="n"/>
      <c r="T55" s="27" t="n"/>
      <c r="U55" s="109" t="n"/>
      <c r="V55" s="209" t="n"/>
      <c r="W55" s="189" t="n"/>
      <c r="X55" s="109" t="n"/>
      <c r="Y55" s="109" t="n"/>
      <c r="Z55" s="109" t="n"/>
      <c r="AA55" s="109" t="n"/>
      <c r="AB55" s="109" t="n"/>
      <c r="AC55" s="109" t="n"/>
      <c r="AD55" s="109" t="n"/>
      <c r="AE55" s="109" t="n"/>
      <c r="AF55" s="109" t="n"/>
      <c r="AG55" s="109" t="n"/>
      <c r="AH55" s="109" t="n"/>
      <c r="AI55" s="109" t="n"/>
    </row>
    <row r="56" ht="13.8" customFormat="1" customHeight="1" s="70">
      <c r="A56" s="53" t="n"/>
      <c r="E56" s="109" t="n"/>
      <c r="F56" s="189" t="n"/>
      <c r="L56" s="109" t="n"/>
      <c r="M56" s="27" t="n"/>
      <c r="N56" s="27" t="n"/>
      <c r="O56" s="27" t="n"/>
      <c r="P56" s="27" t="n"/>
      <c r="Q56" s="27" t="n"/>
      <c r="R56" s="27" t="n"/>
      <c r="S56" s="27" t="n"/>
      <c r="T56" s="27" t="n"/>
      <c r="U56" s="109" t="n"/>
      <c r="V56" s="209" t="n"/>
      <c r="W56" s="189" t="n"/>
      <c r="X56" s="109" t="n"/>
      <c r="Y56" s="109" t="n"/>
      <c r="Z56" s="109" t="n"/>
      <c r="AA56" s="109" t="n"/>
      <c r="AB56" s="109" t="n"/>
      <c r="AC56" s="109" t="n"/>
      <c r="AD56" s="109" t="n"/>
      <c r="AE56" s="109" t="n"/>
      <c r="AF56" s="109" t="n"/>
      <c r="AG56" s="109" t="n"/>
      <c r="AH56" s="109" t="n"/>
      <c r="AI56" s="109" t="n"/>
    </row>
    <row r="57" ht="13.8" customFormat="1" customHeight="1" s="70">
      <c r="A57" s="53" t="n"/>
      <c r="B57" s="41" t="n"/>
      <c r="C57" s="44" t="n"/>
      <c r="D57" s="40" t="n"/>
      <c r="E57" s="205" t="n"/>
      <c r="F57" s="189" t="n"/>
      <c r="G57" s="53" t="n"/>
      <c r="H57" s="205" t="n"/>
      <c r="I57" s="189" t="n"/>
      <c r="J57" s="53" t="n"/>
      <c r="K57" s="53" t="n"/>
      <c r="L57" s="109" t="n"/>
      <c r="M57" s="27" t="n"/>
      <c r="N57" s="27" t="n"/>
      <c r="O57" s="27" t="n"/>
      <c r="P57" s="27" t="n"/>
      <c r="Q57" s="27" t="n"/>
      <c r="R57" s="27" t="n"/>
      <c r="S57" s="27" t="n"/>
      <c r="T57" s="27" t="n"/>
      <c r="U57" s="109" t="n"/>
      <c r="V57" s="53" t="n"/>
      <c r="W57" s="53" t="n"/>
      <c r="X57" s="109" t="n"/>
      <c r="Y57" s="109" t="n"/>
      <c r="Z57" s="109" t="n"/>
      <c r="AA57" s="109" t="n"/>
      <c r="AB57" s="109" t="n"/>
      <c r="AC57" s="109" t="n"/>
      <c r="AD57" s="109" t="n"/>
      <c r="AE57" s="109" t="n"/>
      <c r="AF57" s="109" t="n"/>
      <c r="AG57" s="109" t="n"/>
      <c r="AH57" s="109" t="n"/>
      <c r="AI57" s="109" t="n"/>
    </row>
    <row r="58" ht="13.8" customFormat="1" customHeight="1" s="70">
      <c r="A58" s="151" t="n"/>
      <c r="B58" s="146" t="n"/>
      <c r="C58" s="48" t="n"/>
      <c r="D58" s="77" t="n"/>
      <c r="E58" s="77" t="n"/>
      <c r="F58" s="51" t="inlineStr">
        <is>
          <t>If you see errors on this spreadsheet it is because you do not have the XL-Viking Plugin, to find out more:</t>
        </is>
      </c>
      <c r="G58" s="48" t="n"/>
      <c r="H58" s="77" t="n"/>
      <c r="I58" s="77" t="n"/>
      <c r="J58" s="77" t="n"/>
      <c r="K58" s="151" t="n"/>
      <c r="L58" s="109" t="n"/>
      <c r="M58" s="27" t="n"/>
      <c r="N58" s="27" t="n"/>
      <c r="O58" s="27" t="n"/>
      <c r="P58" s="27" t="n"/>
      <c r="Q58" s="27" t="n"/>
      <c r="R58" s="27" t="n"/>
      <c r="S58" s="27" t="n"/>
      <c r="T58" s="27" t="n"/>
      <c r="U58" s="109" t="n"/>
      <c r="V58" s="109" t="n"/>
      <c r="W58" s="109" t="n"/>
      <c r="X58" s="109" t="n"/>
      <c r="Y58" s="109" t="n"/>
      <c r="Z58" s="109" t="n"/>
      <c r="AA58" s="109" t="n"/>
      <c r="AB58" s="109" t="n"/>
      <c r="AC58" s="109" t="n"/>
      <c r="AD58" s="109" t="n"/>
      <c r="AE58" s="109" t="n"/>
      <c r="AF58" s="109" t="n"/>
      <c r="AG58" s="109" t="n"/>
      <c r="AH58" s="109" t="n"/>
      <c r="AI58" s="109" t="n"/>
    </row>
    <row r="59" ht="13.8" customFormat="1" customHeight="1" s="70">
      <c r="A59" s="151" t="n"/>
      <c r="B59" s="77" t="n"/>
      <c r="C59" s="77" t="n"/>
      <c r="D59" s="77" t="n"/>
      <c r="E59" s="77" t="n"/>
      <c r="F59" s="68" t="inlineStr">
        <is>
          <t>www.xl-viking.com</t>
        </is>
      </c>
      <c r="G59" s="77" t="n"/>
      <c r="H59" s="77" t="n"/>
      <c r="I59" s="77" t="n"/>
      <c r="J59" s="77" t="n"/>
      <c r="K59" s="151" t="n"/>
      <c r="L59" s="109" t="n"/>
      <c r="M59" s="27" t="n"/>
      <c r="N59" s="27" t="n"/>
      <c r="O59" s="27" t="n"/>
      <c r="P59" s="27" t="n"/>
      <c r="Q59" s="27" t="n"/>
      <c r="R59" s="27" t="n"/>
      <c r="S59" s="27" t="n"/>
      <c r="T59" s="27" t="n"/>
      <c r="U59" s="109" t="n"/>
      <c r="V59" s="109" t="n"/>
      <c r="W59" s="109" t="n"/>
      <c r="X59" s="109" t="n"/>
      <c r="Y59" s="109" t="n"/>
      <c r="Z59" s="109" t="n"/>
      <c r="AA59" s="109" t="n"/>
      <c r="AB59" s="109" t="n"/>
      <c r="AC59" s="109" t="n"/>
      <c r="AD59" s="109" t="n"/>
      <c r="AE59" s="109" t="n"/>
      <c r="AF59" s="109" t="n"/>
      <c r="AG59" s="109" t="n"/>
      <c r="AH59" s="109" t="n"/>
      <c r="AI59" s="109" t="n"/>
    </row>
    <row r="60" ht="13.8" customFormat="1" customHeight="1" s="70">
      <c r="M60" s="27" t="n"/>
      <c r="N60" s="27" t="n"/>
      <c r="O60" s="27" t="n"/>
      <c r="P60" s="27" t="n"/>
      <c r="Q60" s="27" t="n"/>
      <c r="R60" s="27" t="n"/>
      <c r="S60" s="27" t="n"/>
      <c r="T60" s="27" t="n"/>
    </row>
    <row r="61" ht="13.8" customFormat="1" customHeight="1" s="70">
      <c r="M61" s="27" t="n"/>
      <c r="N61" s="27" t="n"/>
      <c r="O61" s="27" t="n"/>
      <c r="P61" s="27" t="n"/>
      <c r="Q61" s="27" t="n"/>
      <c r="R61" s="27" t="n"/>
      <c r="S61" s="27" t="n"/>
      <c r="T61" s="27" t="n"/>
    </row>
    <row r="62" ht="13.8" customFormat="1" customHeight="1" s="70">
      <c r="M62" s="27" t="n"/>
      <c r="N62" s="27" t="n"/>
      <c r="O62" s="27" t="n"/>
      <c r="P62" s="27" t="n"/>
      <c r="Q62" s="27" t="n"/>
      <c r="R62" s="27" t="n"/>
      <c r="S62" s="27" t="n"/>
      <c r="T62" s="27" t="n"/>
    </row>
    <row r="63" ht="13.8" customFormat="1" customHeight="1" s="70">
      <c r="M63" s="27" t="n"/>
      <c r="N63" s="27" t="n"/>
      <c r="O63" s="27" t="n"/>
      <c r="P63" s="27" t="n"/>
      <c r="Q63" s="27" t="n"/>
      <c r="R63" s="27" t="n"/>
      <c r="S63" s="27" t="n"/>
      <c r="T63" s="27" t="n"/>
    </row>
    <row r="64" ht="13.8" customFormat="1" customHeight="1" s="70">
      <c r="M64" s="27" t="n"/>
      <c r="N64" s="27" t="n"/>
      <c r="O64" s="27" t="n"/>
      <c r="P64" s="27" t="n"/>
      <c r="Q64" s="27" t="n"/>
      <c r="R64" s="27" t="n"/>
      <c r="S64" s="27" t="n"/>
      <c r="T64" s="27" t="n"/>
    </row>
    <row r="65" ht="13.8" customFormat="1" customHeight="1" s="70">
      <c r="M65" s="27" t="n"/>
      <c r="N65" s="27" t="n"/>
      <c r="O65" s="27" t="n"/>
      <c r="P65" s="27" t="n"/>
      <c r="Q65" s="27" t="n"/>
      <c r="R65" s="27" t="n"/>
      <c r="S65" s="27" t="n"/>
      <c r="T65" s="27" t="n"/>
    </row>
    <row r="66" ht="13.8" customFormat="1" customHeight="1" s="70">
      <c r="M66" s="27" t="n"/>
      <c r="N66" s="27" t="n"/>
      <c r="O66" s="27" t="n"/>
      <c r="P66" s="27" t="n"/>
      <c r="Q66" s="27" t="n"/>
      <c r="R66" s="27" t="n"/>
      <c r="S66" s="27" t="n"/>
      <c r="T66" s="27" t="n"/>
    </row>
    <row r="67" ht="13.8" customFormat="1" customHeight="1" s="70">
      <c r="M67" s="27" t="n"/>
      <c r="N67" s="27" t="n"/>
      <c r="O67" s="27" t="n"/>
      <c r="P67" s="27" t="n"/>
      <c r="Q67" s="27" t="n"/>
      <c r="R67" s="27" t="n"/>
      <c r="S67" s="27" t="n"/>
      <c r="T67" s="27" t="n"/>
    </row>
    <row r="68" ht="13.8" customFormat="1" customHeight="1" s="70">
      <c r="M68" s="27" t="n"/>
      <c r="N68" s="27" t="n"/>
      <c r="O68" s="27" t="n"/>
      <c r="P68" s="27" t="n"/>
      <c r="Q68" s="27" t="n"/>
      <c r="R68" s="27" t="n"/>
      <c r="S68" s="27" t="n"/>
      <c r="T68" s="27" t="n"/>
    </row>
    <row r="69" ht="13.8" customFormat="1" customHeight="1" s="70">
      <c r="M69" s="27" t="n"/>
      <c r="N69" s="27" t="n"/>
      <c r="O69" s="27" t="n"/>
      <c r="P69" s="27" t="n"/>
      <c r="Q69" s="27" t="n"/>
      <c r="R69" s="27" t="n"/>
      <c r="S69" s="27" t="n"/>
      <c r="T69" s="27" t="n"/>
    </row>
    <row r="70" ht="13.8" customFormat="1" customHeight="1" s="70">
      <c r="M70" s="27" t="n"/>
      <c r="N70" s="27" t="n"/>
      <c r="O70" s="27" t="n"/>
      <c r="P70" s="27" t="n"/>
      <c r="Q70" s="27" t="n"/>
      <c r="R70" s="27" t="n"/>
      <c r="S70" s="27" t="n"/>
      <c r="T70" s="27" t="n"/>
    </row>
    <row r="71" ht="13.8" customFormat="1" customHeight="1" s="70">
      <c r="M71" s="27" t="n"/>
      <c r="N71" s="27" t="n"/>
      <c r="O71" s="27" t="n"/>
      <c r="P71" s="27" t="n"/>
      <c r="Q71" s="27" t="n"/>
      <c r="R71" s="27" t="n"/>
      <c r="S71" s="27" t="n"/>
      <c r="T71" s="27" t="n"/>
    </row>
    <row r="72" ht="13.8" customFormat="1" customHeight="1" s="70">
      <c r="M72" s="27" t="n"/>
      <c r="N72" s="27" t="n"/>
      <c r="O72" s="27" t="n"/>
      <c r="P72" s="27" t="n"/>
      <c r="Q72" s="27" t="n"/>
      <c r="R72" s="27" t="n"/>
      <c r="S72" s="27" t="n"/>
      <c r="T72" s="27" t="n"/>
    </row>
    <row r="73" ht="13.8" customFormat="1" customHeight="1" s="70">
      <c r="M73" s="27" t="n"/>
      <c r="N73" s="27" t="n"/>
      <c r="O73" s="27" t="n"/>
      <c r="P73" s="27" t="n"/>
      <c r="Q73" s="27" t="n"/>
      <c r="R73" s="27" t="n"/>
      <c r="S73" s="27" t="n"/>
      <c r="T73" s="27" t="n"/>
    </row>
    <row r="74" ht="13.8" customFormat="1" customHeight="1" s="70">
      <c r="M74" s="27" t="n"/>
      <c r="N74" s="27" t="n"/>
      <c r="O74" s="27" t="n"/>
      <c r="P74" s="27" t="n"/>
      <c r="Q74" s="27" t="n"/>
      <c r="R74" s="27" t="n"/>
      <c r="S74" s="27" t="n"/>
      <c r="T74" s="27" t="n"/>
    </row>
    <row r="75" ht="13.8" customFormat="1" customHeight="1" s="70">
      <c r="M75" s="27" t="n"/>
      <c r="N75" s="27" t="n"/>
      <c r="O75" s="27" t="n"/>
      <c r="P75" s="27" t="n"/>
      <c r="Q75" s="27" t="n"/>
      <c r="R75" s="27" t="n"/>
      <c r="S75" s="27" t="n"/>
      <c r="T75" s="27" t="n"/>
    </row>
    <row r="76" ht="13.8" customFormat="1" customHeight="1" s="70">
      <c r="M76" s="27" t="n"/>
      <c r="N76" s="27" t="n"/>
      <c r="O76" s="27" t="n"/>
      <c r="P76" s="27" t="n"/>
      <c r="Q76" s="27" t="n"/>
      <c r="R76" s="27" t="n"/>
      <c r="S76" s="27" t="n"/>
      <c r="T76" s="27" t="n"/>
    </row>
    <row r="77" ht="13.8" customFormat="1" customHeight="1" s="70">
      <c r="M77" s="27" t="n"/>
      <c r="N77" s="27" t="n"/>
      <c r="O77" s="27" t="n"/>
      <c r="P77" s="27" t="n"/>
      <c r="Q77" s="27" t="n"/>
      <c r="R77" s="27" t="n"/>
      <c r="S77" s="27" t="n"/>
      <c r="T77" s="27" t="n"/>
    </row>
    <row r="78" ht="13.8" customFormat="1" customHeight="1" s="70">
      <c r="M78" s="27" t="n"/>
      <c r="N78" s="27" t="n"/>
      <c r="O78" s="27" t="n"/>
      <c r="P78" s="27" t="n"/>
      <c r="Q78" s="27" t="n"/>
      <c r="R78" s="27" t="n"/>
      <c r="S78" s="27" t="n"/>
      <c r="T78" s="27" t="n"/>
    </row>
    <row r="79" ht="13.8" customFormat="1" customHeight="1" s="70">
      <c r="M79" s="27" t="n"/>
      <c r="N79" s="27" t="n"/>
      <c r="O79" s="27" t="n"/>
      <c r="P79" s="27" t="n"/>
      <c r="Q79" s="27" t="n"/>
      <c r="R79" s="27" t="n"/>
      <c r="S79" s="27" t="n"/>
      <c r="T79" s="27" t="n"/>
    </row>
    <row r="80" ht="13.8" customFormat="1" customHeight="1" s="70">
      <c r="M80" s="27" t="n"/>
      <c r="N80" s="27" t="n"/>
      <c r="O80" s="27" t="n"/>
      <c r="P80" s="27" t="n"/>
      <c r="Q80" s="27" t="n"/>
      <c r="R80" s="27" t="n"/>
      <c r="S80" s="27" t="n"/>
      <c r="T80" s="27" t="n"/>
    </row>
    <row r="81" ht="13.8" customFormat="1" customHeight="1" s="70">
      <c r="M81" s="27" t="n"/>
      <c r="N81" s="27" t="n"/>
      <c r="O81" s="27" t="n"/>
      <c r="P81" s="27" t="n"/>
      <c r="Q81" s="27" t="n"/>
      <c r="R81" s="27" t="n"/>
      <c r="S81" s="27" t="n"/>
      <c r="T81" s="27" t="n"/>
    </row>
    <row r="82" ht="13.8" customFormat="1" customHeight="1" s="70">
      <c r="M82" s="27" t="n"/>
      <c r="N82" s="27" t="n"/>
      <c r="O82" s="27" t="n"/>
      <c r="P82" s="27" t="n"/>
      <c r="Q82" s="27" t="n"/>
      <c r="R82" s="27" t="n"/>
      <c r="S82" s="27" t="n"/>
      <c r="T82" s="27" t="n"/>
    </row>
    <row r="83" ht="13.8" customFormat="1" customHeight="1" s="70">
      <c r="M83" s="27" t="n"/>
      <c r="N83" s="27" t="n"/>
      <c r="O83" s="27" t="n"/>
      <c r="P83" s="27" t="n"/>
      <c r="Q83" s="27" t="n"/>
      <c r="R83" s="27" t="n"/>
      <c r="S83" s="27" t="n"/>
      <c r="T83" s="27" t="n"/>
    </row>
    <row r="84" ht="13.8" customFormat="1" customHeight="1" s="70">
      <c r="M84" s="27" t="n"/>
      <c r="N84" s="27" t="n"/>
      <c r="O84" s="27" t="n"/>
      <c r="P84" s="27" t="n"/>
      <c r="Q84" s="27" t="n"/>
      <c r="R84" s="27" t="n"/>
      <c r="S84" s="27" t="n"/>
      <c r="T84" s="27" t="n"/>
    </row>
    <row r="85" ht="13.8" customFormat="1" customHeight="1" s="70">
      <c r="M85" s="27" t="n"/>
      <c r="N85" s="27" t="n"/>
      <c r="O85" s="27" t="n"/>
      <c r="P85" s="27" t="n"/>
      <c r="Q85" s="27" t="n"/>
      <c r="R85" s="27" t="n"/>
      <c r="S85" s="27" t="n"/>
      <c r="T85" s="27" t="n"/>
    </row>
    <row r="86" ht="13.8" customFormat="1" customHeight="1" s="70">
      <c r="M86" s="27" t="n"/>
      <c r="N86" s="27" t="n"/>
      <c r="O86" s="27" t="n"/>
      <c r="P86" s="27" t="n"/>
      <c r="Q86" s="27" t="n"/>
      <c r="R86" s="27" t="n"/>
      <c r="S86" s="27" t="n"/>
      <c r="T86" s="27" t="n"/>
    </row>
    <row r="87" ht="13.8" customFormat="1" customHeight="1" s="70">
      <c r="M87" s="27" t="n"/>
      <c r="N87" s="27" t="n"/>
      <c r="O87" s="27" t="n"/>
      <c r="P87" s="27" t="n"/>
      <c r="Q87" s="27" t="n"/>
      <c r="R87" s="27" t="n"/>
      <c r="S87" s="27" t="n"/>
      <c r="T87" s="27" t="n"/>
    </row>
    <row r="88" ht="13.8" customFormat="1" customHeight="1" s="70">
      <c r="M88" s="27" t="n"/>
      <c r="N88" s="27" t="n"/>
      <c r="O88" s="27" t="n"/>
      <c r="P88" s="27" t="n"/>
      <c r="Q88" s="27" t="n"/>
      <c r="R88" s="27" t="n"/>
      <c r="S88" s="27" t="n"/>
      <c r="T88" s="27" t="n"/>
    </row>
    <row r="89" ht="13.8" customFormat="1" customHeight="1" s="70">
      <c r="M89" s="27" t="n"/>
      <c r="N89" s="27" t="n"/>
      <c r="O89" s="27" t="n"/>
      <c r="P89" s="27" t="n"/>
      <c r="Q89" s="27" t="n"/>
      <c r="R89" s="27" t="n"/>
      <c r="S89" s="27" t="n"/>
      <c r="T89" s="27" t="n"/>
    </row>
    <row r="90" ht="13.8" customFormat="1" customHeight="1" s="70">
      <c r="M90" s="27" t="n"/>
      <c r="N90" s="27" t="n"/>
      <c r="O90" s="27" t="n"/>
      <c r="P90" s="27" t="n"/>
      <c r="Q90" s="27" t="n"/>
      <c r="R90" s="27" t="n"/>
      <c r="S90" s="27" t="n"/>
      <c r="T90" s="27" t="n"/>
    </row>
    <row r="91" ht="13.8" customFormat="1" customHeight="1" s="70">
      <c r="M91" s="27" t="n"/>
      <c r="N91" s="27" t="n"/>
      <c r="O91" s="27" t="n"/>
      <c r="P91" s="27" t="n"/>
      <c r="Q91" s="27" t="n"/>
      <c r="R91" s="27" t="n"/>
      <c r="S91" s="27" t="n"/>
      <c r="T91" s="27" t="n"/>
    </row>
    <row r="92" ht="13.8" customFormat="1" customHeight="1" s="70">
      <c r="M92" s="27" t="n"/>
      <c r="N92" s="27" t="n"/>
      <c r="O92" s="27" t="n"/>
      <c r="P92" s="27" t="n"/>
      <c r="Q92" s="27" t="n"/>
      <c r="R92" s="27" t="n"/>
      <c r="S92" s="27" t="n"/>
      <c r="T92" s="27" t="n"/>
    </row>
    <row r="93" ht="13.8" customFormat="1" customHeight="1" s="70">
      <c r="M93" s="27" t="n"/>
      <c r="N93" s="27" t="n"/>
      <c r="O93" s="27" t="n"/>
      <c r="P93" s="27" t="n"/>
      <c r="Q93" s="27" t="n"/>
      <c r="R93" s="27" t="n"/>
      <c r="S93" s="27" t="n"/>
      <c r="T93" s="27" t="n"/>
    </row>
    <row r="94" ht="13.8" customFormat="1" customHeight="1" s="70">
      <c r="M94" s="27" t="n"/>
      <c r="N94" s="27" t="n"/>
      <c r="O94" s="27" t="n"/>
      <c r="P94" s="27" t="n"/>
      <c r="Q94" s="27" t="n"/>
      <c r="R94" s="27" t="n"/>
      <c r="S94" s="27" t="n"/>
      <c r="T94" s="27" t="n"/>
    </row>
    <row r="95" ht="13.8" customFormat="1" customHeight="1" s="70">
      <c r="M95" s="27" t="n"/>
      <c r="N95" s="27" t="n"/>
      <c r="O95" s="27" t="n"/>
      <c r="P95" s="27" t="n"/>
      <c r="Q95" s="27" t="n"/>
      <c r="R95" s="27" t="n"/>
      <c r="S95" s="27" t="n"/>
      <c r="T95" s="27" t="n"/>
    </row>
    <row r="96" ht="13.8" customFormat="1" customHeight="1" s="70">
      <c r="M96" s="27" t="n"/>
      <c r="N96" s="27" t="n"/>
      <c r="O96" s="27" t="n"/>
      <c r="P96" s="27" t="n"/>
      <c r="Q96" s="27" t="n"/>
      <c r="R96" s="27" t="n"/>
      <c r="S96" s="27" t="n"/>
      <c r="T96" s="27" t="n"/>
    </row>
    <row r="97" ht="13.8" customFormat="1" customHeight="1" s="70">
      <c r="M97" s="27" t="n"/>
      <c r="N97" s="27" t="n"/>
      <c r="O97" s="27" t="n"/>
      <c r="P97" s="27" t="n"/>
      <c r="Q97" s="27" t="n"/>
      <c r="R97" s="27" t="n"/>
      <c r="S97" s="27" t="n"/>
      <c r="T97" s="27" t="n"/>
    </row>
    <row r="98" ht="13.8" customFormat="1" customHeight="1" s="70">
      <c r="M98" s="27" t="n"/>
      <c r="N98" s="27" t="n"/>
      <c r="O98" s="27" t="n"/>
      <c r="P98" s="27" t="n"/>
      <c r="Q98" s="27" t="n"/>
      <c r="R98" s="27" t="n"/>
      <c r="S98" s="27" t="n"/>
      <c r="T98" s="27" t="n"/>
    </row>
    <row r="99" ht="13.8" customFormat="1" customHeight="1" s="70">
      <c r="M99" s="27" t="n"/>
      <c r="N99" s="27" t="n"/>
      <c r="O99" s="27" t="n"/>
      <c r="P99" s="27" t="n"/>
      <c r="Q99" s="27" t="n"/>
      <c r="R99" s="27" t="n"/>
      <c r="S99" s="27" t="n"/>
      <c r="T99" s="27" t="n"/>
    </row>
    <row r="100" ht="13.8" customFormat="1" customHeight="1" s="70">
      <c r="M100" s="27" t="n"/>
      <c r="N100" s="27" t="n"/>
      <c r="O100" s="27" t="n"/>
      <c r="P100" s="27" t="n"/>
      <c r="Q100" s="27" t="n"/>
      <c r="R100" s="27" t="n"/>
      <c r="S100" s="27" t="n"/>
      <c r="T100" s="27" t="n"/>
    </row>
    <row r="101" ht="13.8" customFormat="1" customHeight="1" s="70">
      <c r="M101" s="27" t="n"/>
      <c r="N101" s="27" t="n"/>
      <c r="O101" s="27" t="n"/>
      <c r="P101" s="27" t="n"/>
      <c r="Q101" s="27" t="n"/>
      <c r="R101" s="27" t="n"/>
      <c r="S101" s="27" t="n"/>
      <c r="T101" s="27" t="n"/>
    </row>
    <row r="102" ht="13.8" customFormat="1" customHeight="1" s="70">
      <c r="M102" s="27" t="n"/>
      <c r="N102" s="27" t="n"/>
      <c r="O102" s="27" t="n"/>
      <c r="P102" s="27" t="n"/>
      <c r="Q102" s="27" t="n"/>
      <c r="R102" s="27" t="n"/>
      <c r="S102" s="27" t="n"/>
      <c r="T102" s="27" t="n"/>
    </row>
    <row r="103" ht="13.8" customFormat="1" customHeight="1" s="70">
      <c r="M103" s="27" t="n"/>
      <c r="N103" s="27" t="n"/>
      <c r="O103" s="27" t="n"/>
      <c r="P103" s="27" t="n"/>
      <c r="Q103" s="27" t="n"/>
      <c r="R103" s="27" t="n"/>
      <c r="S103" s="27" t="n"/>
      <c r="T103" s="27" t="n"/>
    </row>
    <row r="104" ht="13.8" customFormat="1" customHeight="1" s="70">
      <c r="M104" s="27" t="n"/>
      <c r="N104" s="27" t="n"/>
      <c r="O104" s="27" t="n"/>
      <c r="P104" s="27" t="n"/>
      <c r="Q104" s="27" t="n"/>
      <c r="R104" s="27" t="n"/>
      <c r="S104" s="27" t="n"/>
      <c r="T104" s="27" t="n"/>
    </row>
    <row r="105" ht="13.8" customFormat="1" customHeight="1" s="70">
      <c r="M105" s="27" t="n"/>
      <c r="N105" s="27" t="n"/>
      <c r="O105" s="27" t="n"/>
      <c r="P105" s="27" t="n"/>
      <c r="Q105" s="27" t="n"/>
      <c r="R105" s="27" t="n"/>
      <c r="S105" s="27" t="n"/>
      <c r="T105" s="27" t="n"/>
    </row>
    <row r="106" ht="13.8" customFormat="1" customHeight="1" s="70">
      <c r="M106" s="27" t="n"/>
      <c r="N106" s="27" t="n"/>
      <c r="O106" s="27" t="n"/>
      <c r="P106" s="27" t="n"/>
      <c r="Q106" s="27" t="n"/>
      <c r="R106" s="27" t="n"/>
      <c r="S106" s="27" t="n"/>
      <c r="T106" s="27" t="n"/>
    </row>
    <row r="107" ht="13.8" customFormat="1" customHeight="1" s="70">
      <c r="M107" s="27" t="n"/>
      <c r="N107" s="27" t="n"/>
      <c r="O107" s="27" t="n"/>
      <c r="P107" s="27" t="n"/>
      <c r="Q107" s="27" t="n"/>
      <c r="R107" s="27" t="n"/>
      <c r="S107" s="27" t="n"/>
      <c r="T107" s="27" t="n"/>
    </row>
    <row r="108" ht="13.8" customFormat="1" customHeight="1" s="70">
      <c r="M108" s="27" t="n"/>
      <c r="N108" s="27" t="n"/>
      <c r="O108" s="27" t="n"/>
      <c r="P108" s="27" t="n"/>
      <c r="Q108" s="27" t="n"/>
      <c r="R108" s="27" t="n"/>
      <c r="S108" s="27" t="n"/>
      <c r="T108" s="27" t="n"/>
    </row>
    <row r="109" ht="13.8" customFormat="1" customHeight="1" s="70">
      <c r="M109" s="27" t="n"/>
      <c r="N109" s="27" t="n"/>
      <c r="O109" s="27" t="n"/>
      <c r="P109" s="27" t="n"/>
      <c r="Q109" s="27" t="n"/>
      <c r="R109" s="27" t="n"/>
      <c r="S109" s="27" t="n"/>
      <c r="T109" s="27" t="n"/>
    </row>
    <row r="110" ht="13.8" customFormat="1" customHeight="1" s="70">
      <c r="M110" s="27" t="n"/>
      <c r="N110" s="27" t="n"/>
      <c r="O110" s="27" t="n"/>
      <c r="P110" s="27" t="n"/>
      <c r="Q110" s="27" t="n"/>
      <c r="R110" s="27" t="n"/>
      <c r="S110" s="27" t="n"/>
      <c r="T110" s="27" t="n"/>
    </row>
    <row r="111" ht="13.8" customFormat="1" customHeight="1" s="70">
      <c r="M111" s="27" t="n"/>
      <c r="N111" s="27" t="n"/>
      <c r="O111" s="27" t="n"/>
      <c r="P111" s="27" t="n"/>
      <c r="Q111" s="27" t="n"/>
      <c r="R111" s="27" t="n"/>
      <c r="S111" s="27" t="n"/>
      <c r="T111" s="27" t="n"/>
    </row>
    <row r="112" ht="13.8" customFormat="1" customHeight="1" s="70">
      <c r="M112" s="27" t="n"/>
      <c r="N112" s="27" t="n"/>
      <c r="O112" s="27" t="n"/>
      <c r="P112" s="27" t="n"/>
      <c r="Q112" s="27" t="n"/>
      <c r="R112" s="27" t="n"/>
      <c r="S112" s="27" t="n"/>
      <c r="T112" s="27" t="n"/>
    </row>
    <row r="113" ht="13.8" customFormat="1" customHeight="1" s="70">
      <c r="M113" s="27" t="n"/>
      <c r="N113" s="27" t="n"/>
      <c r="O113" s="27" t="n"/>
      <c r="P113" s="27" t="n"/>
      <c r="Q113" s="27" t="n"/>
      <c r="R113" s="27" t="n"/>
      <c r="S113" s="27" t="n"/>
      <c r="T113" s="27" t="n"/>
    </row>
    <row r="114" ht="13.8" customFormat="1" customHeight="1" s="70">
      <c r="M114" s="27" t="n"/>
      <c r="N114" s="27" t="n"/>
      <c r="O114" s="27" t="n"/>
      <c r="P114" s="27" t="n"/>
      <c r="Q114" s="27" t="n"/>
      <c r="R114" s="27" t="n"/>
      <c r="S114" s="27" t="n"/>
      <c r="T114" s="27" t="n"/>
    </row>
    <row r="115" ht="13.8" customFormat="1" customHeight="1" s="70">
      <c r="M115" s="27" t="n"/>
      <c r="N115" s="27" t="n"/>
      <c r="O115" s="27" t="n"/>
      <c r="P115" s="27" t="n"/>
      <c r="Q115" s="27" t="n"/>
      <c r="R115" s="27" t="n"/>
      <c r="S115" s="27" t="n"/>
      <c r="T115" s="27" t="n"/>
    </row>
    <row r="116" ht="13.8" customFormat="1" customHeight="1" s="70">
      <c r="M116" s="27" t="n"/>
      <c r="N116" s="27" t="n"/>
      <c r="O116" s="27" t="n"/>
      <c r="P116" s="27" t="n"/>
      <c r="Q116" s="27" t="n"/>
      <c r="R116" s="27" t="n"/>
      <c r="S116" s="27" t="n"/>
      <c r="T116" s="27" t="n"/>
    </row>
    <row r="117" ht="13.8" customFormat="1" customHeight="1" s="70">
      <c r="M117" s="27" t="n"/>
      <c r="N117" s="27" t="n"/>
      <c r="O117" s="27" t="n"/>
      <c r="P117" s="27" t="n"/>
      <c r="Q117" s="27" t="n"/>
      <c r="R117" s="27" t="n"/>
      <c r="S117" s="27" t="n"/>
      <c r="T117" s="27" t="n"/>
    </row>
    <row r="118" ht="13.8" customFormat="1" customHeight="1" s="70">
      <c r="M118" s="27" t="n"/>
      <c r="N118" s="27" t="n"/>
      <c r="O118" s="27" t="n"/>
      <c r="P118" s="27" t="n"/>
      <c r="Q118" s="27" t="n"/>
      <c r="R118" s="27" t="n"/>
      <c r="S118" s="27" t="n"/>
      <c r="T118" s="27" t="n"/>
    </row>
    <row r="119" ht="13.8" customFormat="1" customHeight="1" s="70">
      <c r="M119" s="27" t="n"/>
      <c r="N119" s="27" t="n"/>
      <c r="O119" s="27" t="n"/>
      <c r="P119" s="27" t="n"/>
      <c r="Q119" s="27" t="n"/>
      <c r="R119" s="27" t="n"/>
      <c r="S119" s="27" t="n"/>
      <c r="T119" s="27" t="n"/>
    </row>
    <row r="120" ht="13.8" customFormat="1" customHeight="1" s="70">
      <c r="M120" s="27" t="n"/>
      <c r="N120" s="27" t="n"/>
      <c r="O120" s="27" t="n"/>
      <c r="P120" s="27" t="n"/>
      <c r="Q120" s="27" t="n"/>
      <c r="R120" s="27" t="n"/>
      <c r="S120" s="27" t="n"/>
      <c r="T120" s="27" t="n"/>
    </row>
    <row r="121" ht="13.8" customFormat="1" customHeight="1" s="70">
      <c r="M121" s="27" t="n"/>
      <c r="N121" s="27" t="n"/>
      <c r="O121" s="27" t="n"/>
      <c r="P121" s="27" t="n"/>
      <c r="Q121" s="27" t="n"/>
      <c r="R121" s="27" t="n"/>
      <c r="S121" s="27" t="n"/>
      <c r="T121" s="27" t="n"/>
    </row>
    <row r="122" ht="13.8" customFormat="1" customHeight="1" s="70">
      <c r="M122" s="27" t="n"/>
      <c r="N122" s="27" t="n"/>
      <c r="O122" s="27" t="n"/>
      <c r="P122" s="27" t="n"/>
      <c r="Q122" s="27" t="n"/>
      <c r="R122" s="27" t="n"/>
      <c r="S122" s="27" t="n"/>
      <c r="T122" s="27" t="n"/>
    </row>
    <row r="123" ht="13.8" customFormat="1" customHeight="1" s="70">
      <c r="M123" s="27" t="n"/>
      <c r="N123" s="27" t="n"/>
      <c r="O123" s="27" t="n"/>
      <c r="P123" s="27" t="n"/>
      <c r="Q123" s="27" t="n"/>
      <c r="R123" s="27" t="n"/>
      <c r="S123" s="27" t="n"/>
      <c r="T123" s="27" t="n"/>
    </row>
    <row r="124" ht="13.8" customFormat="1" customHeight="1" s="70">
      <c r="M124" s="27" t="n"/>
      <c r="N124" s="27" t="n"/>
      <c r="O124" s="27" t="n"/>
      <c r="P124" s="27" t="n"/>
      <c r="Q124" s="27" t="n"/>
      <c r="R124" s="27" t="n"/>
      <c r="S124" s="27" t="n"/>
      <c r="T124" s="27" t="n"/>
    </row>
    <row r="125" ht="13.8" customFormat="1" customHeight="1" s="70">
      <c r="M125" s="27" t="n"/>
      <c r="N125" s="27" t="n"/>
      <c r="O125" s="27" t="n"/>
      <c r="P125" s="27" t="n"/>
      <c r="Q125" s="27" t="n"/>
      <c r="R125" s="27" t="n"/>
      <c r="S125" s="27" t="n"/>
      <c r="T125" s="27" t="n"/>
    </row>
    <row r="126" ht="13.8" customFormat="1" customHeight="1" s="70">
      <c r="M126" s="27" t="n"/>
      <c r="N126" s="27" t="n"/>
      <c r="O126" s="27" t="n"/>
      <c r="P126" s="27" t="n"/>
      <c r="Q126" s="27" t="n"/>
      <c r="R126" s="27" t="n"/>
      <c r="S126" s="27" t="n"/>
      <c r="T126" s="27" t="n"/>
    </row>
    <row r="127" ht="13.8" customFormat="1" customHeight="1" s="70">
      <c r="M127" s="27" t="n"/>
      <c r="N127" s="27" t="n"/>
      <c r="O127" s="27" t="n"/>
      <c r="P127" s="27" t="n"/>
      <c r="Q127" s="27" t="n"/>
      <c r="R127" s="27" t="n"/>
      <c r="S127" s="27" t="n"/>
      <c r="T127" s="27" t="n"/>
    </row>
    <row r="128" ht="13.8" customFormat="1" customHeight="1" s="70">
      <c r="M128" s="27" t="n"/>
      <c r="N128" s="27" t="n"/>
      <c r="O128" s="27" t="n"/>
      <c r="P128" s="27" t="n"/>
      <c r="Q128" s="27" t="n"/>
      <c r="R128" s="27" t="n"/>
      <c r="S128" s="27" t="n"/>
      <c r="T128" s="27" t="n"/>
    </row>
    <row r="129" ht="13.8" customFormat="1" customHeight="1" s="70">
      <c r="M129" s="27" t="n"/>
      <c r="N129" s="27" t="n"/>
      <c r="O129" s="27" t="n"/>
      <c r="P129" s="27" t="n"/>
      <c r="Q129" s="27" t="n"/>
      <c r="R129" s="27" t="n"/>
      <c r="S129" s="27" t="n"/>
      <c r="T129" s="27" t="n"/>
    </row>
    <row r="130" ht="13.8" customFormat="1" customHeight="1" s="70">
      <c r="M130" s="27" t="n"/>
      <c r="N130" s="27" t="n"/>
      <c r="O130" s="27" t="n"/>
      <c r="P130" s="27" t="n"/>
      <c r="Q130" s="27" t="n"/>
      <c r="R130" s="27" t="n"/>
      <c r="S130" s="27" t="n"/>
      <c r="T130" s="27" t="n"/>
    </row>
    <row r="131" ht="13.8" customFormat="1" customHeight="1" s="70">
      <c r="M131" s="27" t="n"/>
      <c r="N131" s="27" t="n"/>
      <c r="O131" s="27" t="n"/>
      <c r="P131" s="27" t="n"/>
      <c r="Q131" s="27" t="n"/>
      <c r="R131" s="27" t="n"/>
      <c r="S131" s="27" t="n"/>
      <c r="T131" s="27" t="n"/>
    </row>
    <row r="132" ht="13.8" customFormat="1" customHeight="1" s="70">
      <c r="M132" s="27" t="n"/>
      <c r="N132" s="27" t="n"/>
      <c r="O132" s="27" t="n"/>
      <c r="P132" s="27" t="n"/>
      <c r="Q132" s="27" t="n"/>
      <c r="R132" s="27" t="n"/>
      <c r="S132" s="27" t="n"/>
      <c r="T132" s="27" t="n"/>
    </row>
    <row r="133" ht="13.8" customFormat="1" customHeight="1" s="70">
      <c r="M133" s="27" t="n"/>
      <c r="N133" s="27" t="n"/>
      <c r="O133" s="27" t="n"/>
      <c r="P133" s="27" t="n"/>
      <c r="Q133" s="27" t="n"/>
      <c r="R133" s="27" t="n"/>
      <c r="S133" s="27" t="n"/>
      <c r="T133" s="27" t="n"/>
    </row>
    <row r="134" ht="13.8" customFormat="1" customHeight="1" s="70">
      <c r="M134" s="27" t="n"/>
      <c r="N134" s="27" t="n"/>
      <c r="O134" s="27" t="n"/>
      <c r="P134" s="27" t="n"/>
      <c r="Q134" s="27" t="n"/>
      <c r="R134" s="27" t="n"/>
      <c r="S134" s="27" t="n"/>
      <c r="T134" s="27" t="n"/>
    </row>
    <row r="135" ht="13.8" customFormat="1" customHeight="1" s="70">
      <c r="M135" s="27" t="n"/>
      <c r="N135" s="27" t="n"/>
      <c r="O135" s="27" t="n"/>
      <c r="P135" s="27" t="n"/>
      <c r="Q135" s="27" t="n"/>
      <c r="R135" s="27" t="n"/>
      <c r="S135" s="27" t="n"/>
      <c r="T135" s="27" t="n"/>
    </row>
    <row r="136" ht="13.8" customFormat="1" customHeight="1" s="70">
      <c r="M136" s="27" t="n"/>
      <c r="N136" s="27" t="n"/>
      <c r="O136" s="27" t="n"/>
      <c r="P136" s="27" t="n"/>
      <c r="Q136" s="27" t="n"/>
      <c r="R136" s="27" t="n"/>
      <c r="S136" s="27" t="n"/>
      <c r="T136" s="27" t="n"/>
    </row>
    <row r="137" ht="13.8" customFormat="1" customHeight="1" s="70">
      <c r="M137" s="27" t="n"/>
      <c r="N137" s="27" t="n"/>
      <c r="O137" s="27" t="n"/>
      <c r="P137" s="27" t="n"/>
      <c r="Q137" s="27" t="n"/>
      <c r="R137" s="27" t="n"/>
      <c r="S137" s="27" t="n"/>
      <c r="T137" s="27" t="n"/>
    </row>
    <row r="138" ht="13.8" customFormat="1" customHeight="1" s="70">
      <c r="M138" s="27" t="n"/>
      <c r="N138" s="27" t="n"/>
      <c r="O138" s="27" t="n"/>
      <c r="P138" s="27" t="n"/>
      <c r="Q138" s="27" t="n"/>
      <c r="R138" s="27" t="n"/>
      <c r="S138" s="27" t="n"/>
      <c r="T138" s="27" t="n"/>
    </row>
    <row r="139" ht="13.8" customFormat="1" customHeight="1" s="70">
      <c r="M139" s="27" t="n"/>
      <c r="N139" s="27" t="n"/>
      <c r="O139" s="27" t="n"/>
      <c r="P139" s="27" t="n"/>
      <c r="Q139" s="27" t="n"/>
      <c r="R139" s="27" t="n"/>
      <c r="S139" s="27" t="n"/>
      <c r="T139" s="27" t="n"/>
    </row>
    <row r="140" ht="13.8" customFormat="1" customHeight="1" s="70">
      <c r="M140" s="27" t="n"/>
      <c r="N140" s="27" t="n"/>
      <c r="O140" s="27" t="n"/>
      <c r="P140" s="27" t="n"/>
      <c r="Q140" s="27" t="n"/>
      <c r="R140" s="27" t="n"/>
      <c r="S140" s="27" t="n"/>
      <c r="T140" s="27" t="n"/>
    </row>
    <row r="141" ht="13.8" customFormat="1" customHeight="1" s="70">
      <c r="M141" s="27" t="n"/>
      <c r="N141" s="27" t="n"/>
      <c r="O141" s="27" t="n"/>
      <c r="P141" s="27" t="n"/>
      <c r="Q141" s="27" t="n"/>
      <c r="R141" s="27" t="n"/>
      <c r="S141" s="27" t="n"/>
      <c r="T141" s="27" t="n"/>
    </row>
    <row r="142" ht="13.8" customFormat="1" customHeight="1" s="70">
      <c r="M142" s="27" t="n"/>
      <c r="N142" s="27" t="n"/>
      <c r="O142" s="27" t="n"/>
      <c r="P142" s="27" t="n"/>
      <c r="Q142" s="27" t="n"/>
      <c r="R142" s="27" t="n"/>
      <c r="S142" s="27" t="n"/>
      <c r="T142" s="27" t="n"/>
    </row>
    <row r="143" ht="13.8" customFormat="1" customHeight="1" s="70">
      <c r="M143" s="27" t="n"/>
      <c r="N143" s="27" t="n"/>
      <c r="O143" s="27" t="n"/>
      <c r="P143" s="27" t="n"/>
      <c r="Q143" s="27" t="n"/>
      <c r="R143" s="27" t="n"/>
      <c r="S143" s="27" t="n"/>
      <c r="T143" s="27" t="n"/>
    </row>
    <row r="144" ht="13.8" customFormat="1" customHeight="1" s="70">
      <c r="M144" s="27" t="n"/>
      <c r="N144" s="27" t="n"/>
      <c r="O144" s="27" t="n"/>
      <c r="P144" s="27" t="n"/>
      <c r="Q144" s="27" t="n"/>
      <c r="R144" s="27" t="n"/>
      <c r="S144" s="27" t="n"/>
      <c r="T144" s="27" t="n"/>
    </row>
    <row r="145" ht="13.8" customFormat="1" customHeight="1" s="70">
      <c r="M145" s="27" t="n"/>
      <c r="N145" s="27" t="n"/>
      <c r="O145" s="27" t="n"/>
      <c r="P145" s="27" t="n"/>
      <c r="Q145" s="27" t="n"/>
      <c r="R145" s="27" t="n"/>
      <c r="S145" s="27" t="n"/>
      <c r="T145" s="27" t="n"/>
    </row>
    <row r="146" ht="13.8" customFormat="1" customHeight="1" s="70">
      <c r="M146" s="27" t="n"/>
      <c r="N146" s="27" t="n"/>
      <c r="O146" s="27" t="n"/>
      <c r="P146" s="27" t="n"/>
      <c r="Q146" s="27" t="n"/>
      <c r="R146" s="27" t="n"/>
      <c r="S146" s="27" t="n"/>
      <c r="T146" s="27" t="n"/>
    </row>
    <row r="147" ht="13.8" customFormat="1" customHeight="1" s="70">
      <c r="M147" s="27" t="n"/>
      <c r="N147" s="27" t="n"/>
      <c r="O147" s="27" t="n"/>
      <c r="P147" s="27" t="n"/>
      <c r="Q147" s="27" t="n"/>
      <c r="R147" s="27" t="n"/>
      <c r="S147" s="27" t="n"/>
      <c r="T147" s="27" t="n"/>
    </row>
    <row r="148" ht="13.8" customFormat="1" customHeight="1" s="70">
      <c r="M148" s="27" t="n"/>
      <c r="N148" s="27" t="n"/>
      <c r="O148" s="27" t="n"/>
      <c r="P148" s="27" t="n"/>
      <c r="Q148" s="27" t="n"/>
      <c r="R148" s="27" t="n"/>
      <c r="S148" s="27" t="n"/>
      <c r="T148" s="27" t="n"/>
    </row>
    <row r="149" ht="13.8" customFormat="1" customHeight="1" s="70">
      <c r="M149" s="27" t="n"/>
      <c r="N149" s="27" t="n"/>
      <c r="O149" s="27" t="n"/>
      <c r="P149" s="27" t="n"/>
      <c r="Q149" s="27" t="n"/>
      <c r="R149" s="27" t="n"/>
      <c r="S149" s="27" t="n"/>
      <c r="T149" s="27" t="n"/>
    </row>
    <row r="150" ht="13.8" customFormat="1" customHeight="1" s="70">
      <c r="M150" s="27" t="n"/>
      <c r="N150" s="27" t="n"/>
      <c r="O150" s="27" t="n"/>
      <c r="P150" s="27" t="n"/>
      <c r="Q150" s="27" t="n"/>
      <c r="R150" s="27" t="n"/>
      <c r="S150" s="27" t="n"/>
      <c r="T150" s="27" t="n"/>
    </row>
    <row r="151" ht="13.8" customFormat="1" customHeight="1" s="70">
      <c r="M151" s="27" t="n"/>
      <c r="N151" s="27" t="n"/>
      <c r="O151" s="27" t="n"/>
      <c r="P151" s="27" t="n"/>
      <c r="Q151" s="27" t="n"/>
      <c r="R151" s="27" t="n"/>
      <c r="S151" s="27" t="n"/>
      <c r="T151" s="27" t="n"/>
    </row>
    <row r="152" ht="13.8" customFormat="1" customHeight="1" s="70">
      <c r="M152" s="27" t="n"/>
      <c r="N152" s="27" t="n"/>
      <c r="O152" s="27" t="n"/>
      <c r="P152" s="27" t="n"/>
      <c r="Q152" s="27" t="n"/>
      <c r="R152" s="27" t="n"/>
      <c r="S152" s="27" t="n"/>
      <c r="T152" s="27" t="n"/>
    </row>
    <row r="153" ht="13.8" customFormat="1" customHeight="1" s="70">
      <c r="M153" s="27" t="n"/>
      <c r="N153" s="27" t="n"/>
      <c r="O153" s="27" t="n"/>
      <c r="P153" s="27" t="n"/>
      <c r="Q153" s="27" t="n"/>
      <c r="R153" s="27" t="n"/>
      <c r="S153" s="27" t="n"/>
      <c r="T153" s="27" t="n"/>
    </row>
    <row r="154" ht="13.8" customFormat="1" customHeight="1" s="70">
      <c r="M154" s="27" t="n"/>
      <c r="N154" s="27" t="n"/>
      <c r="O154" s="27" t="n"/>
      <c r="P154" s="27" t="n"/>
      <c r="Q154" s="27" t="n"/>
      <c r="R154" s="27" t="n"/>
      <c r="S154" s="27" t="n"/>
      <c r="T154" s="27" t="n"/>
    </row>
    <row r="155" ht="13.8" customFormat="1" customHeight="1" s="70">
      <c r="M155" s="27" t="n"/>
      <c r="N155" s="27" t="n"/>
      <c r="O155" s="27" t="n"/>
      <c r="P155" s="27" t="n"/>
      <c r="Q155" s="27" t="n"/>
      <c r="R155" s="27" t="n"/>
      <c r="S155" s="27" t="n"/>
      <c r="T155" s="27" t="n"/>
    </row>
    <row r="156" ht="13.8" customFormat="1" customHeight="1" s="70">
      <c r="M156" s="27" t="n"/>
      <c r="N156" s="27" t="n"/>
      <c r="O156" s="27" t="n"/>
      <c r="P156" s="27" t="n"/>
      <c r="Q156" s="27" t="n"/>
      <c r="R156" s="27" t="n"/>
      <c r="S156" s="27" t="n"/>
      <c r="T156" s="27" t="n"/>
    </row>
    <row r="157" ht="13.8" customFormat="1" customHeight="1" s="70">
      <c r="M157" s="27" t="n"/>
      <c r="N157" s="27" t="n"/>
      <c r="O157" s="27" t="n"/>
      <c r="P157" s="27" t="n"/>
      <c r="Q157" s="27" t="n"/>
      <c r="R157" s="27" t="n"/>
      <c r="S157" s="27" t="n"/>
      <c r="T157" s="27" t="n"/>
    </row>
    <row r="158" ht="13.8" customFormat="1" customHeight="1" s="70">
      <c r="M158" s="27" t="n"/>
      <c r="N158" s="27" t="n"/>
      <c r="O158" s="27" t="n"/>
      <c r="P158" s="27" t="n"/>
      <c r="Q158" s="27" t="n"/>
      <c r="R158" s="27" t="n"/>
      <c r="S158" s="27" t="n"/>
      <c r="T158" s="27" t="n"/>
    </row>
    <row r="159" ht="13.8" customFormat="1" customHeight="1" s="70">
      <c r="M159" s="27" t="n"/>
      <c r="N159" s="27" t="n"/>
      <c r="O159" s="27" t="n"/>
      <c r="P159" s="27" t="n"/>
      <c r="Q159" s="27" t="n"/>
      <c r="R159" s="27" t="n"/>
      <c r="S159" s="27" t="n"/>
      <c r="T159" s="27" t="n"/>
    </row>
    <row r="160" ht="13.8" customFormat="1" customHeight="1" s="70">
      <c r="M160" s="27" t="n"/>
      <c r="N160" s="27" t="n"/>
      <c r="O160" s="27" t="n"/>
      <c r="P160" s="27" t="n"/>
      <c r="Q160" s="27" t="n"/>
      <c r="R160" s="27" t="n"/>
      <c r="S160" s="27" t="n"/>
      <c r="T160" s="27" t="n"/>
    </row>
    <row r="161" ht="13.8" customFormat="1" customHeight="1" s="70">
      <c r="M161" s="27" t="n"/>
      <c r="N161" s="27" t="n"/>
      <c r="O161" s="27" t="n"/>
      <c r="P161" s="27" t="n"/>
      <c r="Q161" s="27" t="n"/>
      <c r="R161" s="27" t="n"/>
      <c r="S161" s="27" t="n"/>
      <c r="T161" s="27" t="n"/>
    </row>
    <row r="162" ht="13.8" customFormat="1" customHeight="1" s="70">
      <c r="M162" s="27" t="n"/>
      <c r="N162" s="27" t="n"/>
      <c r="O162" s="27" t="n"/>
      <c r="P162" s="27" t="n"/>
      <c r="Q162" s="27" t="n"/>
      <c r="R162" s="27" t="n"/>
      <c r="S162" s="27" t="n"/>
      <c r="T162" s="27" t="n"/>
    </row>
    <row r="163" ht="13.8" customFormat="1" customHeight="1" s="70">
      <c r="M163" s="27" t="n"/>
      <c r="N163" s="27" t="n"/>
      <c r="O163" s="27" t="n"/>
      <c r="P163" s="27" t="n"/>
      <c r="Q163" s="27" t="n"/>
      <c r="R163" s="27" t="n"/>
      <c r="S163" s="27" t="n"/>
      <c r="T163" s="27" t="n"/>
    </row>
    <row r="164" ht="13.8" customFormat="1" customHeight="1" s="70">
      <c r="M164" s="27" t="n"/>
      <c r="N164" s="27" t="n"/>
      <c r="O164" s="27" t="n"/>
      <c r="P164" s="27" t="n"/>
      <c r="Q164" s="27" t="n"/>
      <c r="R164" s="27" t="n"/>
      <c r="S164" s="27" t="n"/>
      <c r="T164" s="27" t="n"/>
    </row>
    <row r="165" ht="13.8" customFormat="1" customHeight="1" s="70">
      <c r="M165" s="27" t="n"/>
      <c r="N165" s="27" t="n"/>
      <c r="O165" s="27" t="n"/>
      <c r="P165" s="27" t="n"/>
      <c r="Q165" s="27" t="n"/>
      <c r="R165" s="27" t="n"/>
      <c r="S165" s="27" t="n"/>
      <c r="T165" s="27" t="n"/>
    </row>
    <row r="166" ht="13.8" customFormat="1" customHeight="1" s="70">
      <c r="M166" s="27" t="n"/>
      <c r="N166" s="27" t="n"/>
      <c r="O166" s="27" t="n"/>
      <c r="P166" s="27" t="n"/>
      <c r="Q166" s="27" t="n"/>
      <c r="R166" s="27" t="n"/>
      <c r="S166" s="27" t="n"/>
      <c r="T166" s="27" t="n"/>
    </row>
    <row r="167" ht="13.8" customFormat="1" customHeight="1" s="70">
      <c r="M167" s="27" t="n"/>
      <c r="N167" s="27" t="n"/>
      <c r="O167" s="27" t="n"/>
      <c r="P167" s="27" t="n"/>
      <c r="Q167" s="27" t="n"/>
      <c r="R167" s="27" t="n"/>
      <c r="S167" s="27" t="n"/>
      <c r="T167" s="27" t="n"/>
    </row>
    <row r="168" ht="13.8" customFormat="1" customHeight="1" s="70">
      <c r="M168" s="27" t="n"/>
      <c r="N168" s="27" t="n"/>
      <c r="O168" s="27" t="n"/>
      <c r="P168" s="27" t="n"/>
      <c r="Q168" s="27" t="n"/>
      <c r="R168" s="27" t="n"/>
      <c r="S168" s="27" t="n"/>
      <c r="T168" s="27" t="n"/>
    </row>
    <row r="169" ht="13.8" customFormat="1" customHeight="1" s="70">
      <c r="M169" s="27" t="n"/>
      <c r="N169" s="27" t="n"/>
      <c r="O169" s="27" t="n"/>
      <c r="P169" s="27" t="n"/>
      <c r="Q169" s="27" t="n"/>
      <c r="R169" s="27" t="n"/>
      <c r="S169" s="27" t="n"/>
      <c r="T169" s="27" t="n"/>
    </row>
    <row r="170" ht="13.8" customFormat="1" customHeight="1" s="70">
      <c r="M170" s="27" t="n"/>
      <c r="N170" s="27" t="n"/>
      <c r="O170" s="27" t="n"/>
      <c r="P170" s="27" t="n"/>
      <c r="Q170" s="27" t="n"/>
      <c r="R170" s="27" t="n"/>
      <c r="S170" s="27" t="n"/>
      <c r="T170" s="27" t="n"/>
    </row>
    <row r="171" ht="13.8" customFormat="1" customHeight="1" s="70">
      <c r="M171" s="27" t="n"/>
      <c r="N171" s="27" t="n"/>
      <c r="O171" s="27" t="n"/>
      <c r="P171" s="27" t="n"/>
      <c r="Q171" s="27" t="n"/>
      <c r="R171" s="27" t="n"/>
      <c r="S171" s="27" t="n"/>
      <c r="T171" s="27" t="n"/>
    </row>
    <row r="172" ht="13.8" customFormat="1" customHeight="1" s="70">
      <c r="M172" s="27" t="n"/>
      <c r="N172" s="27" t="n"/>
      <c r="O172" s="27" t="n"/>
      <c r="P172" s="27" t="n"/>
      <c r="Q172" s="27" t="n"/>
      <c r="R172" s="27" t="n"/>
      <c r="S172" s="27" t="n"/>
      <c r="T172" s="27" t="n"/>
    </row>
    <row r="173" ht="13.8" customFormat="1" customHeight="1" s="70">
      <c r="M173" s="27" t="n"/>
      <c r="N173" s="27" t="n"/>
      <c r="O173" s="27" t="n"/>
      <c r="P173" s="27" t="n"/>
      <c r="Q173" s="27" t="n"/>
      <c r="R173" s="27" t="n"/>
      <c r="S173" s="27" t="n"/>
      <c r="T173" s="27" t="n"/>
    </row>
    <row r="174" ht="13.8" customFormat="1" customHeight="1" s="70">
      <c r="M174" s="27" t="n"/>
      <c r="N174" s="27" t="n"/>
      <c r="O174" s="27" t="n"/>
      <c r="P174" s="27" t="n"/>
      <c r="Q174" s="27" t="n"/>
      <c r="R174" s="27" t="n"/>
      <c r="S174" s="27" t="n"/>
      <c r="T174" s="27" t="n"/>
    </row>
    <row r="175" ht="13.8" customFormat="1" customHeight="1" s="70">
      <c r="M175" s="27" t="n"/>
      <c r="N175" s="27" t="n"/>
      <c r="O175" s="27" t="n"/>
      <c r="P175" s="27" t="n"/>
      <c r="Q175" s="27" t="n"/>
      <c r="R175" s="27" t="n"/>
      <c r="S175" s="27" t="n"/>
      <c r="T175" s="27" t="n"/>
    </row>
    <row r="176" ht="13.8" customFormat="1" customHeight="1" s="70">
      <c r="M176" s="27" t="n"/>
      <c r="N176" s="27" t="n"/>
      <c r="O176" s="27" t="n"/>
      <c r="P176" s="27" t="n"/>
      <c r="Q176" s="27" t="n"/>
      <c r="R176" s="27" t="n"/>
      <c r="S176" s="27" t="n"/>
      <c r="T176" s="27" t="n"/>
    </row>
    <row r="177" ht="13.8" customFormat="1" customHeight="1" s="70">
      <c r="M177" s="27" t="n"/>
      <c r="N177" s="27" t="n"/>
      <c r="O177" s="27" t="n"/>
      <c r="P177" s="27" t="n"/>
      <c r="Q177" s="27" t="n"/>
      <c r="R177" s="27" t="n"/>
      <c r="S177" s="27" t="n"/>
      <c r="T177" s="27" t="n"/>
    </row>
    <row r="178" ht="13.8" customFormat="1" customHeight="1" s="70">
      <c r="M178" s="27" t="n"/>
      <c r="N178" s="27" t="n"/>
      <c r="O178" s="27" t="n"/>
      <c r="P178" s="27" t="n"/>
      <c r="Q178" s="27" t="n"/>
      <c r="R178" s="27" t="n"/>
      <c r="S178" s="27" t="n"/>
      <c r="T178" s="27" t="n"/>
    </row>
    <row r="179" ht="13.8" customFormat="1" customHeight="1" s="70">
      <c r="M179" s="27" t="n"/>
      <c r="N179" s="27" t="n"/>
      <c r="O179" s="27" t="n"/>
      <c r="P179" s="27" t="n"/>
      <c r="Q179" s="27" t="n"/>
      <c r="R179" s="27" t="n"/>
      <c r="S179" s="27" t="n"/>
      <c r="T179" s="27" t="n"/>
    </row>
    <row r="180" ht="13.8" customFormat="1" customHeight="1" s="70">
      <c r="M180" s="27" t="n"/>
      <c r="N180" s="27" t="n"/>
      <c r="O180" s="27" t="n"/>
      <c r="P180" s="27" t="n"/>
      <c r="Q180" s="27" t="n"/>
      <c r="R180" s="27" t="n"/>
      <c r="S180" s="27" t="n"/>
      <c r="T180" s="27" t="n"/>
    </row>
    <row r="181" ht="13.8" customFormat="1" customHeight="1" s="70">
      <c r="M181" s="27" t="n"/>
      <c r="N181" s="27" t="n"/>
      <c r="O181" s="27" t="n"/>
      <c r="P181" s="27" t="n"/>
      <c r="Q181" s="27" t="n"/>
      <c r="R181" s="27" t="n"/>
      <c r="S181" s="27" t="n"/>
      <c r="T181" s="27" t="n"/>
    </row>
    <row r="182" ht="13.8" customFormat="1" customHeight="1" s="70">
      <c r="M182" s="27" t="n"/>
      <c r="N182" s="27" t="n"/>
      <c r="O182" s="27" t="n"/>
      <c r="P182" s="27" t="n"/>
      <c r="Q182" s="27" t="n"/>
      <c r="R182" s="27" t="n"/>
      <c r="S182" s="27" t="n"/>
      <c r="T182" s="27" t="n"/>
    </row>
    <row r="183" ht="13.8" customFormat="1" customHeight="1" s="70">
      <c r="M183" s="27" t="n"/>
      <c r="N183" s="27" t="n"/>
      <c r="O183" s="27" t="n"/>
      <c r="P183" s="27" t="n"/>
      <c r="Q183" s="27" t="n"/>
      <c r="R183" s="27" t="n"/>
      <c r="S183" s="27" t="n"/>
      <c r="T183" s="27" t="n"/>
    </row>
    <row r="184" ht="13.8" customFormat="1" customHeight="1" s="70">
      <c r="M184" s="27" t="n"/>
      <c r="N184" s="27" t="n"/>
      <c r="O184" s="27" t="n"/>
      <c r="P184" s="27" t="n"/>
      <c r="Q184" s="27" t="n"/>
      <c r="R184" s="27" t="n"/>
      <c r="S184" s="27" t="n"/>
      <c r="T184" s="27" t="n"/>
    </row>
    <row r="185" ht="13.8" customFormat="1" customHeight="1" s="70">
      <c r="M185" s="27" t="n"/>
      <c r="N185" s="27" t="n"/>
      <c r="O185" s="27" t="n"/>
      <c r="P185" s="27" t="n"/>
      <c r="Q185" s="27" t="n"/>
      <c r="R185" s="27" t="n"/>
      <c r="S185" s="27" t="n"/>
      <c r="T185" s="27" t="n"/>
    </row>
    <row r="186" ht="13.8" customFormat="1" customHeight="1" s="70">
      <c r="M186" s="27" t="n"/>
      <c r="N186" s="27" t="n"/>
      <c r="O186" s="27" t="n"/>
      <c r="P186" s="27" t="n"/>
      <c r="Q186" s="27" t="n"/>
      <c r="R186" s="27" t="n"/>
      <c r="S186" s="27" t="n"/>
      <c r="T186" s="27" t="n"/>
    </row>
    <row r="187" ht="13.8" customFormat="1" customHeight="1" s="70">
      <c r="M187" s="27" t="n"/>
      <c r="N187" s="27" t="n"/>
      <c r="O187" s="27" t="n"/>
      <c r="P187" s="27" t="n"/>
      <c r="Q187" s="27" t="n"/>
      <c r="R187" s="27" t="n"/>
      <c r="S187" s="27" t="n"/>
      <c r="T187" s="27" t="n"/>
    </row>
    <row r="188" ht="13.8" customFormat="1" customHeight="1" s="70">
      <c r="M188" s="27" t="n"/>
      <c r="N188" s="27" t="n"/>
      <c r="O188" s="27" t="n"/>
      <c r="P188" s="27" t="n"/>
      <c r="Q188" s="27" t="n"/>
      <c r="R188" s="27" t="n"/>
      <c r="S188" s="27" t="n"/>
      <c r="T188" s="27" t="n"/>
    </row>
    <row r="189" ht="13.8" customFormat="1" customHeight="1" s="70">
      <c r="M189" s="27" t="n"/>
      <c r="N189" s="27" t="n"/>
      <c r="O189" s="27" t="n"/>
      <c r="P189" s="27" t="n"/>
      <c r="Q189" s="27" t="n"/>
      <c r="R189" s="27" t="n"/>
      <c r="S189" s="27" t="n"/>
      <c r="T189" s="27" t="n"/>
    </row>
    <row r="190" ht="13.8" customFormat="1" customHeight="1" s="70">
      <c r="M190" s="27" t="n"/>
      <c r="N190" s="27" t="n"/>
      <c r="O190" s="27" t="n"/>
      <c r="P190" s="27" t="n"/>
      <c r="Q190" s="27" t="n"/>
      <c r="R190" s="27" t="n"/>
      <c r="S190" s="27" t="n"/>
      <c r="T190" s="27" t="n"/>
    </row>
    <row r="191" ht="13.8" customFormat="1" customHeight="1" s="70">
      <c r="M191" s="27" t="n"/>
      <c r="N191" s="27" t="n"/>
      <c r="O191" s="27" t="n"/>
      <c r="P191" s="27" t="n"/>
      <c r="Q191" s="27" t="n"/>
      <c r="R191" s="27" t="n"/>
      <c r="S191" s="27" t="n"/>
      <c r="T191" s="27" t="n"/>
    </row>
    <row r="192" ht="13.8" customFormat="1" customHeight="1" s="70">
      <c r="M192" s="27" t="n"/>
      <c r="N192" s="27" t="n"/>
      <c r="O192" s="27" t="n"/>
      <c r="P192" s="27" t="n"/>
      <c r="Q192" s="27" t="n"/>
      <c r="R192" s="27" t="n"/>
      <c r="S192" s="27" t="n"/>
      <c r="T192" s="27" t="n"/>
    </row>
    <row r="193" ht="13.8" customFormat="1" customHeight="1" s="70">
      <c r="M193" s="27" t="n"/>
      <c r="N193" s="27" t="n"/>
      <c r="O193" s="27" t="n"/>
      <c r="P193" s="27" t="n"/>
      <c r="Q193" s="27" t="n"/>
      <c r="R193" s="27" t="n"/>
      <c r="S193" s="27" t="n"/>
      <c r="T193" s="27" t="n"/>
    </row>
    <row r="194" ht="13.8" customFormat="1" customHeight="1" s="70">
      <c r="M194" s="27" t="n"/>
      <c r="N194" s="27" t="n"/>
      <c r="O194" s="27" t="n"/>
      <c r="P194" s="27" t="n"/>
      <c r="Q194" s="27" t="n"/>
      <c r="R194" s="27" t="n"/>
      <c r="S194" s="27" t="n"/>
      <c r="T194" s="27" t="n"/>
    </row>
    <row r="195" ht="13.8" customFormat="1" customHeight="1" s="70">
      <c r="M195" s="27" t="n"/>
      <c r="N195" s="27" t="n"/>
      <c r="O195" s="27" t="n"/>
      <c r="P195" s="27" t="n"/>
      <c r="Q195" s="27" t="n"/>
      <c r="R195" s="27" t="n"/>
      <c r="S195" s="27" t="n"/>
      <c r="T195" s="27" t="n"/>
    </row>
    <row r="196" ht="13.8" customFormat="1" customHeight="1" s="70">
      <c r="M196" s="27" t="n"/>
      <c r="N196" s="27" t="n"/>
      <c r="O196" s="27" t="n"/>
      <c r="P196" s="27" t="n"/>
      <c r="Q196" s="27" t="n"/>
      <c r="R196" s="27" t="n"/>
      <c r="S196" s="27" t="n"/>
      <c r="T196" s="27" t="n"/>
    </row>
    <row r="197" ht="13.8" customFormat="1" customHeight="1" s="70">
      <c r="M197" s="27" t="n"/>
      <c r="N197" s="27" t="n"/>
      <c r="O197" s="27" t="n"/>
      <c r="P197" s="27" t="n"/>
      <c r="Q197" s="27" t="n"/>
      <c r="R197" s="27" t="n"/>
      <c r="S197" s="27" t="n"/>
      <c r="T197" s="27" t="n"/>
    </row>
    <row r="198" ht="13.8" customFormat="1" customHeight="1" s="70">
      <c r="M198" s="27" t="n"/>
      <c r="N198" s="27" t="n"/>
      <c r="O198" s="27" t="n"/>
      <c r="P198" s="27" t="n"/>
      <c r="Q198" s="27" t="n"/>
      <c r="R198" s="27" t="n"/>
      <c r="S198" s="27" t="n"/>
      <c r="T198" s="27" t="n"/>
    </row>
    <row r="199" ht="13.8" customFormat="1" customHeight="1" s="70">
      <c r="M199" s="27" t="n"/>
      <c r="N199" s="27" t="n"/>
      <c r="O199" s="27" t="n"/>
      <c r="P199" s="27" t="n"/>
      <c r="Q199" s="27" t="n"/>
      <c r="R199" s="27" t="n"/>
      <c r="S199" s="27" t="n"/>
      <c r="T199" s="27" t="n"/>
    </row>
    <row r="200" ht="13.8" customFormat="1" customHeight="1" s="70">
      <c r="M200" s="27" t="n"/>
      <c r="N200" s="27" t="n"/>
      <c r="O200" s="27" t="n"/>
      <c r="P200" s="27" t="n"/>
      <c r="Q200" s="27" t="n"/>
      <c r="R200" s="27" t="n"/>
      <c r="S200" s="27" t="n"/>
      <c r="T200" s="27" t="n"/>
    </row>
    <row r="201" ht="13.8" customFormat="1" customHeight="1" s="70">
      <c r="M201" s="27" t="n"/>
      <c r="N201" s="27" t="n"/>
      <c r="O201" s="27" t="n"/>
      <c r="P201" s="27" t="n"/>
      <c r="Q201" s="27" t="n"/>
      <c r="R201" s="27" t="n"/>
      <c r="S201" s="27" t="n"/>
      <c r="T201" s="27" t="n"/>
    </row>
    <row r="202" ht="13.8" customFormat="1" customHeight="1" s="70">
      <c r="M202" s="27" t="n"/>
      <c r="N202" s="27" t="n"/>
      <c r="O202" s="27" t="n"/>
      <c r="P202" s="27" t="n"/>
      <c r="Q202" s="27" t="n"/>
      <c r="R202" s="27" t="n"/>
      <c r="S202" s="27" t="n"/>
      <c r="T202" s="27" t="n"/>
    </row>
    <row r="203" ht="13.8" customFormat="1" customHeight="1" s="70">
      <c r="M203" s="27" t="n"/>
      <c r="N203" s="27" t="n"/>
      <c r="O203" s="27" t="n"/>
      <c r="P203" s="27" t="n"/>
      <c r="Q203" s="27" t="n"/>
      <c r="R203" s="27" t="n"/>
      <c r="S203" s="27" t="n"/>
      <c r="T203" s="27" t="n"/>
    </row>
    <row r="204" ht="13.8" customFormat="1" customHeight="1" s="70">
      <c r="M204" s="27" t="n"/>
      <c r="N204" s="27" t="n"/>
      <c r="O204" s="27" t="n"/>
      <c r="P204" s="27" t="n"/>
      <c r="Q204" s="27" t="n"/>
      <c r="R204" s="27" t="n"/>
      <c r="S204" s="27" t="n"/>
      <c r="T204" s="27" t="n"/>
    </row>
    <row r="205" ht="13.8" customFormat="1" customHeight="1" s="70">
      <c r="M205" s="27" t="n"/>
      <c r="N205" s="27" t="n"/>
      <c r="O205" s="27" t="n"/>
      <c r="P205" s="27" t="n"/>
      <c r="Q205" s="27" t="n"/>
      <c r="R205" s="27" t="n"/>
      <c r="S205" s="27" t="n"/>
      <c r="T205" s="27" t="n"/>
    </row>
    <row r="206" ht="13.8" customFormat="1" customHeight="1" s="70">
      <c r="M206" s="27" t="n"/>
      <c r="N206" s="27" t="n"/>
      <c r="O206" s="27" t="n"/>
      <c r="P206" s="27" t="n"/>
      <c r="Q206" s="27" t="n"/>
      <c r="R206" s="27" t="n"/>
      <c r="S206" s="27" t="n"/>
      <c r="T206" s="27" t="n"/>
    </row>
    <row r="207" ht="13.8" customFormat="1" customHeight="1" s="70">
      <c r="M207" s="27" t="n"/>
      <c r="N207" s="27" t="n"/>
      <c r="O207" s="27" t="n"/>
      <c r="P207" s="27" t="n"/>
      <c r="Q207" s="27" t="n"/>
      <c r="R207" s="27" t="n"/>
      <c r="S207" s="27" t="n"/>
      <c r="T207" s="27" t="n"/>
    </row>
    <row r="208" ht="13.8" customFormat="1" customHeight="1" s="70">
      <c r="M208" s="27" t="n"/>
      <c r="N208" s="27" t="n"/>
      <c r="O208" s="27" t="n"/>
      <c r="P208" s="27" t="n"/>
      <c r="Q208" s="27" t="n"/>
      <c r="R208" s="27" t="n"/>
      <c r="S208" s="27" t="n"/>
      <c r="T208" s="27" t="n"/>
    </row>
    <row r="209" ht="13.8" customFormat="1" customHeight="1" s="70">
      <c r="M209" s="27" t="n"/>
      <c r="N209" s="27" t="n"/>
      <c r="O209" s="27" t="n"/>
      <c r="P209" s="27" t="n"/>
      <c r="Q209" s="27" t="n"/>
      <c r="R209" s="27" t="n"/>
      <c r="S209" s="27" t="n"/>
      <c r="T209" s="27" t="n"/>
    </row>
    <row r="210" ht="13.8" customFormat="1" customHeight="1" s="70">
      <c r="M210" s="27" t="n"/>
      <c r="N210" s="27" t="n"/>
      <c r="O210" s="27" t="n"/>
      <c r="P210" s="27" t="n"/>
      <c r="Q210" s="27" t="n"/>
      <c r="R210" s="27" t="n"/>
      <c r="S210" s="27" t="n"/>
      <c r="T210" s="27" t="n"/>
    </row>
    <row r="211" ht="13.8" customFormat="1" customHeight="1" s="70">
      <c r="M211" s="27" t="n"/>
      <c r="N211" s="27" t="n"/>
      <c r="O211" s="27" t="n"/>
      <c r="P211" s="27" t="n"/>
      <c r="Q211" s="27" t="n"/>
      <c r="R211" s="27" t="n"/>
      <c r="S211" s="27" t="n"/>
      <c r="T211" s="27" t="n"/>
    </row>
    <row r="212" ht="13.8" customFormat="1" customHeight="1" s="70">
      <c r="M212" s="27" t="n"/>
      <c r="N212" s="27" t="n"/>
      <c r="O212" s="27" t="n"/>
      <c r="P212" s="27" t="n"/>
      <c r="Q212" s="27" t="n"/>
      <c r="R212" s="27" t="n"/>
      <c r="S212" s="27" t="n"/>
      <c r="T212" s="27" t="n"/>
    </row>
    <row r="213" ht="13.8" customFormat="1" customHeight="1" s="70">
      <c r="M213" s="27" t="n"/>
      <c r="N213" s="27" t="n"/>
      <c r="O213" s="27" t="n"/>
      <c r="P213" s="27" t="n"/>
      <c r="Q213" s="27" t="n"/>
      <c r="R213" s="27" t="n"/>
      <c r="S213" s="27" t="n"/>
      <c r="T213" s="27" t="n"/>
    </row>
    <row r="214" ht="13.8" customFormat="1" customHeight="1" s="70">
      <c r="M214" s="27" t="n"/>
      <c r="N214" s="27" t="n"/>
      <c r="O214" s="27" t="n"/>
      <c r="P214" s="27" t="n"/>
      <c r="Q214" s="27" t="n"/>
      <c r="R214" s="27" t="n"/>
      <c r="S214" s="27" t="n"/>
      <c r="T214" s="27" t="n"/>
    </row>
    <row r="215" ht="13.8" customFormat="1" customHeight="1" s="70">
      <c r="M215" s="27" t="n"/>
      <c r="N215" s="27" t="n"/>
      <c r="O215" s="27" t="n"/>
      <c r="P215" s="27" t="n"/>
      <c r="Q215" s="27" t="n"/>
      <c r="R215" s="27" t="n"/>
      <c r="S215" s="27" t="n"/>
      <c r="T215" s="27" t="n"/>
    </row>
    <row r="216" ht="13.8" customFormat="1" customHeight="1" s="70">
      <c r="M216" s="27" t="n"/>
      <c r="N216" s="27" t="n"/>
      <c r="O216" s="27" t="n"/>
      <c r="P216" s="27" t="n"/>
      <c r="Q216" s="27" t="n"/>
      <c r="R216" s="27" t="n"/>
      <c r="S216" s="27" t="n"/>
      <c r="T216" s="27" t="n"/>
    </row>
    <row r="217" ht="13.8" customFormat="1" customHeight="1" s="70">
      <c r="M217" s="27" t="n"/>
      <c r="N217" s="27" t="n"/>
      <c r="O217" s="27" t="n"/>
      <c r="P217" s="27" t="n"/>
      <c r="Q217" s="27" t="n"/>
      <c r="R217" s="27" t="n"/>
      <c r="S217" s="27" t="n"/>
      <c r="T217" s="27" t="n"/>
    </row>
    <row r="218" ht="13.8" customFormat="1" customHeight="1" s="70">
      <c r="M218" s="27" t="n"/>
      <c r="N218" s="27" t="n"/>
      <c r="O218" s="27" t="n"/>
      <c r="P218" s="27" t="n"/>
      <c r="Q218" s="27" t="n"/>
      <c r="R218" s="27" t="n"/>
      <c r="S218" s="27" t="n"/>
      <c r="T218" s="27" t="n"/>
    </row>
    <row r="219" ht="13.8" customFormat="1" customHeight="1" s="70">
      <c r="M219" s="27" t="n"/>
      <c r="N219" s="27" t="n"/>
      <c r="O219" s="27" t="n"/>
      <c r="P219" s="27" t="n"/>
      <c r="Q219" s="27" t="n"/>
      <c r="R219" s="27" t="n"/>
      <c r="S219" s="27" t="n"/>
      <c r="T219" s="27" t="n"/>
    </row>
    <row r="220" ht="13.8" customFormat="1" customHeight="1" s="70">
      <c r="M220" s="27" t="n"/>
      <c r="N220" s="27" t="n"/>
      <c r="O220" s="27" t="n"/>
      <c r="P220" s="27" t="n"/>
      <c r="Q220" s="27" t="n"/>
      <c r="R220" s="27" t="n"/>
      <c r="S220" s="27" t="n"/>
      <c r="T220" s="27" t="n"/>
    </row>
    <row r="221" ht="13.8" customFormat="1" customHeight="1" s="70">
      <c r="M221" s="27" t="n"/>
      <c r="N221" s="27" t="n"/>
      <c r="O221" s="27" t="n"/>
      <c r="P221" s="27" t="n"/>
      <c r="Q221" s="27" t="n"/>
      <c r="R221" s="27" t="n"/>
      <c r="S221" s="27" t="n"/>
      <c r="T221" s="27" t="n"/>
    </row>
    <row r="222" ht="13.8" customFormat="1" customHeight="1" s="70">
      <c r="M222" s="27" t="n"/>
      <c r="N222" s="27" t="n"/>
      <c r="O222" s="27" t="n"/>
      <c r="P222" s="27" t="n"/>
      <c r="Q222" s="27" t="n"/>
      <c r="R222" s="27" t="n"/>
      <c r="S222" s="27" t="n"/>
      <c r="T222" s="27" t="n"/>
    </row>
    <row r="223" ht="13.8" customFormat="1" customHeight="1" s="70">
      <c r="M223" s="27" t="n"/>
      <c r="N223" s="27" t="n"/>
      <c r="O223" s="27" t="n"/>
      <c r="P223" s="27" t="n"/>
      <c r="Q223" s="27" t="n"/>
      <c r="R223" s="27" t="n"/>
      <c r="S223" s="27" t="n"/>
      <c r="T223" s="27" t="n"/>
    </row>
    <row r="224" ht="13.8" customFormat="1" customHeight="1" s="70">
      <c r="M224" s="27" t="n"/>
      <c r="N224" s="27" t="n"/>
      <c r="O224" s="27" t="n"/>
      <c r="P224" s="27" t="n"/>
      <c r="Q224" s="27" t="n"/>
      <c r="R224" s="27" t="n"/>
      <c r="S224" s="27" t="n"/>
      <c r="T224" s="27" t="n"/>
    </row>
    <row r="225" ht="13.8" customFormat="1" customHeight="1" s="70">
      <c r="M225" s="27" t="n"/>
      <c r="N225" s="27" t="n"/>
      <c r="O225" s="27" t="n"/>
      <c r="P225" s="27" t="n"/>
      <c r="Q225" s="27" t="n"/>
      <c r="R225" s="27" t="n"/>
      <c r="S225" s="27" t="n"/>
      <c r="T225" s="27" t="n"/>
    </row>
    <row r="226" ht="13.8" customFormat="1" customHeight="1" s="70">
      <c r="M226" s="27" t="n"/>
      <c r="N226" s="27" t="n"/>
      <c r="O226" s="27" t="n"/>
      <c r="P226" s="27" t="n"/>
      <c r="Q226" s="27" t="n"/>
      <c r="R226" s="27" t="n"/>
      <c r="S226" s="27" t="n"/>
      <c r="T226" s="27" t="n"/>
    </row>
    <row r="227" ht="13.8" customFormat="1" customHeight="1" s="70">
      <c r="M227" s="27" t="n"/>
      <c r="N227" s="27" t="n"/>
      <c r="O227" s="27" t="n"/>
      <c r="P227" s="27" t="n"/>
      <c r="Q227" s="27" t="n"/>
      <c r="R227" s="27" t="n"/>
      <c r="S227" s="27" t="n"/>
      <c r="T227" s="27" t="n"/>
    </row>
    <row r="228" ht="13.8" customFormat="1" customHeight="1" s="70">
      <c r="M228" s="27" t="n"/>
      <c r="N228" s="27" t="n"/>
      <c r="O228" s="27" t="n"/>
      <c r="P228" s="27" t="n"/>
      <c r="Q228" s="27" t="n"/>
      <c r="R228" s="27" t="n"/>
      <c r="S228" s="27" t="n"/>
      <c r="T228" s="27" t="n"/>
    </row>
    <row r="229" ht="13.8" customFormat="1" customHeight="1" s="70">
      <c r="M229" s="27" t="n"/>
      <c r="N229" s="27" t="n"/>
      <c r="O229" s="27" t="n"/>
      <c r="P229" s="27" t="n"/>
      <c r="Q229" s="27" t="n"/>
      <c r="R229" s="27" t="n"/>
      <c r="S229" s="27" t="n"/>
      <c r="T229" s="27" t="n"/>
    </row>
    <row r="230" ht="13.8" customFormat="1" customHeight="1" s="70">
      <c r="M230" s="27" t="n"/>
      <c r="N230" s="27" t="n"/>
      <c r="O230" s="27" t="n"/>
      <c r="P230" s="27" t="n"/>
      <c r="Q230" s="27" t="n"/>
      <c r="R230" s="27" t="n"/>
      <c r="S230" s="27" t="n"/>
      <c r="T230" s="27" t="n"/>
    </row>
    <row r="231" ht="13.8" customFormat="1" customHeight="1" s="70">
      <c r="M231" s="27" t="n"/>
      <c r="N231" s="27" t="n"/>
      <c r="O231" s="27" t="n"/>
      <c r="P231" s="27" t="n"/>
      <c r="Q231" s="27" t="n"/>
      <c r="R231" s="27" t="n"/>
      <c r="S231" s="27" t="n"/>
      <c r="T231" s="27" t="n"/>
    </row>
    <row r="232" ht="13.8" customFormat="1" customHeight="1" s="70">
      <c r="M232" s="27" t="n"/>
      <c r="N232" s="27" t="n"/>
      <c r="O232" s="27" t="n"/>
      <c r="P232" s="27" t="n"/>
      <c r="Q232" s="27" t="n"/>
      <c r="R232" s="27" t="n"/>
      <c r="S232" s="27" t="n"/>
      <c r="T232" s="27" t="n"/>
    </row>
    <row r="233" ht="13.8" customFormat="1" customHeight="1" s="70">
      <c r="M233" s="27" t="n"/>
      <c r="N233" s="27" t="n"/>
      <c r="O233" s="27" t="n"/>
      <c r="P233" s="27" t="n"/>
      <c r="Q233" s="27" t="n"/>
      <c r="R233" s="27" t="n"/>
      <c r="S233" s="27" t="n"/>
      <c r="T233" s="27" t="n"/>
    </row>
    <row r="234" ht="13.8" customFormat="1" customHeight="1" s="70">
      <c r="M234" s="27" t="n"/>
      <c r="N234" s="27" t="n"/>
      <c r="O234" s="27" t="n"/>
      <c r="P234" s="27" t="n"/>
      <c r="Q234" s="27" t="n"/>
      <c r="R234" s="27" t="n"/>
      <c r="S234" s="27" t="n"/>
      <c r="T234" s="27" t="n"/>
    </row>
    <row r="235" ht="13.8" customFormat="1" customHeight="1" s="70">
      <c r="M235" s="27" t="n"/>
      <c r="N235" s="27" t="n"/>
      <c r="O235" s="27" t="n"/>
      <c r="P235" s="27" t="n"/>
      <c r="Q235" s="27" t="n"/>
      <c r="R235" s="27" t="n"/>
      <c r="S235" s="27" t="n"/>
      <c r="T235" s="27" t="n"/>
    </row>
    <row r="236" ht="13.8" customFormat="1" customHeight="1" s="70">
      <c r="M236" s="27" t="n"/>
      <c r="N236" s="27" t="n"/>
      <c r="O236" s="27" t="n"/>
      <c r="P236" s="27" t="n"/>
      <c r="Q236" s="27" t="n"/>
      <c r="R236" s="27" t="n"/>
      <c r="S236" s="27" t="n"/>
      <c r="T236" s="27" t="n"/>
    </row>
    <row r="237" ht="13.8" customFormat="1" customHeight="1" s="70">
      <c r="M237" s="27" t="n"/>
      <c r="N237" s="27" t="n"/>
      <c r="O237" s="27" t="n"/>
      <c r="P237" s="27" t="n"/>
      <c r="Q237" s="27" t="n"/>
      <c r="R237" s="27" t="n"/>
      <c r="S237" s="27" t="n"/>
      <c r="T237" s="27" t="n"/>
    </row>
    <row r="238" ht="13.8" customFormat="1" customHeight="1" s="70">
      <c r="M238" s="27" t="n"/>
      <c r="N238" s="27" t="n"/>
      <c r="O238" s="27" t="n"/>
      <c r="P238" s="27" t="n"/>
      <c r="Q238" s="27" t="n"/>
      <c r="R238" s="27" t="n"/>
      <c r="S238" s="27" t="n"/>
      <c r="T238" s="27" t="n"/>
    </row>
    <row r="239" ht="13.8" customFormat="1" customHeight="1" s="70">
      <c r="M239" s="27" t="n"/>
      <c r="N239" s="27" t="n"/>
      <c r="O239" s="27" t="n"/>
      <c r="P239" s="27" t="n"/>
      <c r="Q239" s="27" t="n"/>
      <c r="R239" s="27" t="n"/>
      <c r="S239" s="27" t="n"/>
      <c r="T239" s="27" t="n"/>
    </row>
    <row r="240" ht="13.8" customFormat="1" customHeight="1" s="70">
      <c r="M240" s="27" t="n"/>
      <c r="N240" s="27" t="n"/>
      <c r="O240" s="27" t="n"/>
      <c r="P240" s="27" t="n"/>
      <c r="Q240" s="27" t="n"/>
      <c r="R240" s="27" t="n"/>
      <c r="S240" s="27" t="n"/>
      <c r="T240" s="27" t="n"/>
    </row>
    <row r="241" ht="13.8" customFormat="1" customHeight="1" s="70">
      <c r="M241" s="27" t="n"/>
      <c r="N241" s="27" t="n"/>
      <c r="O241" s="27" t="n"/>
      <c r="P241" s="27" t="n"/>
      <c r="Q241" s="27" t="n"/>
      <c r="R241" s="27" t="n"/>
      <c r="S241" s="27" t="n"/>
      <c r="T241" s="27" t="n"/>
    </row>
    <row r="242" ht="13.8" customFormat="1" customHeight="1" s="70">
      <c r="M242" s="27" t="n"/>
      <c r="N242" s="27" t="n"/>
      <c r="O242" s="27" t="n"/>
      <c r="P242" s="27" t="n"/>
      <c r="Q242" s="27" t="n"/>
      <c r="R242" s="27" t="n"/>
      <c r="S242" s="27" t="n"/>
      <c r="T242" s="27" t="n"/>
    </row>
    <row r="243" ht="13.8" customFormat="1" customHeight="1" s="70">
      <c r="M243" s="27" t="n"/>
      <c r="N243" s="27" t="n"/>
      <c r="O243" s="27" t="n"/>
      <c r="P243" s="27" t="n"/>
      <c r="Q243" s="27" t="n"/>
      <c r="R243" s="27" t="n"/>
      <c r="S243" s="27" t="n"/>
      <c r="T243" s="27" t="n"/>
    </row>
    <row r="244" ht="13.8" customFormat="1" customHeight="1" s="70">
      <c r="M244" s="27" t="n"/>
      <c r="N244" s="27" t="n"/>
      <c r="O244" s="27" t="n"/>
      <c r="P244" s="27" t="n"/>
      <c r="Q244" s="27" t="n"/>
      <c r="R244" s="27" t="n"/>
      <c r="S244" s="27" t="n"/>
      <c r="T244" s="27" t="n"/>
    </row>
    <row r="245" ht="13.8" customFormat="1" customHeight="1" s="70">
      <c r="M245" s="27" t="n"/>
      <c r="N245" s="27" t="n"/>
      <c r="O245" s="27" t="n"/>
      <c r="P245" s="27" t="n"/>
      <c r="Q245" s="27" t="n"/>
      <c r="R245" s="27" t="n"/>
      <c r="S245" s="27" t="n"/>
      <c r="T245" s="27" t="n"/>
    </row>
    <row r="246" ht="13.8" customFormat="1" customHeight="1" s="70">
      <c r="M246" s="27" t="n"/>
      <c r="N246" s="27" t="n"/>
      <c r="O246" s="27" t="n"/>
      <c r="P246" s="27" t="n"/>
      <c r="Q246" s="27" t="n"/>
      <c r="R246" s="27" t="n"/>
      <c r="S246" s="27" t="n"/>
      <c r="T246" s="27" t="n"/>
    </row>
    <row r="247" ht="13.8" customFormat="1" customHeight="1" s="70">
      <c r="M247" s="27" t="n"/>
      <c r="N247" s="27" t="n"/>
      <c r="O247" s="27" t="n"/>
      <c r="P247" s="27" t="n"/>
      <c r="Q247" s="27" t="n"/>
      <c r="R247" s="27" t="n"/>
      <c r="S247" s="27" t="n"/>
      <c r="T247" s="27" t="n"/>
    </row>
    <row r="248" ht="13.8" customFormat="1" customHeight="1" s="70">
      <c r="M248" s="27" t="n"/>
      <c r="N248" s="27" t="n"/>
      <c r="O248" s="27" t="n"/>
      <c r="P248" s="27" t="n"/>
      <c r="Q248" s="27" t="n"/>
      <c r="R248" s="27" t="n"/>
      <c r="S248" s="27" t="n"/>
      <c r="T248" s="27" t="n"/>
    </row>
    <row r="249" ht="13.8" customFormat="1" customHeight="1" s="70">
      <c r="M249" s="27" t="n"/>
      <c r="N249" s="27" t="n"/>
      <c r="O249" s="27" t="n"/>
      <c r="P249" s="27" t="n"/>
      <c r="Q249" s="27" t="n"/>
      <c r="R249" s="27" t="n"/>
      <c r="S249" s="27" t="n"/>
      <c r="T249" s="27" t="n"/>
    </row>
    <row r="250" ht="13.8" customFormat="1" customHeight="1" s="70">
      <c r="M250" s="27" t="n"/>
      <c r="N250" s="27" t="n"/>
      <c r="O250" s="27" t="n"/>
      <c r="P250" s="27" t="n"/>
      <c r="Q250" s="27" t="n"/>
      <c r="R250" s="27" t="n"/>
      <c r="S250" s="27" t="n"/>
      <c r="T250" s="27" t="n"/>
    </row>
    <row r="251" ht="13.8" customFormat="1" customHeight="1" s="70">
      <c r="M251" s="27" t="n"/>
      <c r="N251" s="27" t="n"/>
      <c r="O251" s="27" t="n"/>
      <c r="P251" s="27" t="n"/>
      <c r="Q251" s="27" t="n"/>
      <c r="R251" s="27" t="n"/>
      <c r="S251" s="27" t="n"/>
      <c r="T251" s="27" t="n"/>
    </row>
    <row r="252" ht="13.8" customFormat="1" customHeight="1" s="70">
      <c r="M252" s="27" t="n"/>
      <c r="N252" s="27" t="n"/>
      <c r="O252" s="27" t="n"/>
      <c r="P252" s="27" t="n"/>
      <c r="Q252" s="27" t="n"/>
      <c r="R252" s="27" t="n"/>
      <c r="S252" s="27" t="n"/>
      <c r="T252" s="27" t="n"/>
    </row>
    <row r="253" ht="13.8" customFormat="1" customHeight="1" s="70">
      <c r="M253" s="27" t="n"/>
      <c r="N253" s="27" t="n"/>
      <c r="O253" s="27" t="n"/>
      <c r="P253" s="27" t="n"/>
      <c r="Q253" s="27" t="n"/>
      <c r="R253" s="27" t="n"/>
      <c r="S253" s="27" t="n"/>
      <c r="T253" s="27" t="n"/>
    </row>
    <row r="254" ht="13.8" customFormat="1" customHeight="1" s="70">
      <c r="M254" s="27" t="n"/>
      <c r="N254" s="27" t="n"/>
      <c r="O254" s="27" t="n"/>
      <c r="P254" s="27" t="n"/>
      <c r="Q254" s="27" t="n"/>
      <c r="R254" s="27" t="n"/>
      <c r="S254" s="27" t="n"/>
      <c r="T254" s="27" t="n"/>
    </row>
    <row r="255" ht="13.8" customFormat="1" customHeight="1" s="70">
      <c r="M255" s="27" t="n"/>
      <c r="N255" s="27" t="n"/>
      <c r="O255" s="27" t="n"/>
      <c r="P255" s="27" t="n"/>
      <c r="Q255" s="27" t="n"/>
      <c r="R255" s="27" t="n"/>
      <c r="S255" s="27" t="n"/>
      <c r="T255" s="27" t="n"/>
    </row>
    <row r="256" ht="13.8" customFormat="1" customHeight="1" s="70">
      <c r="M256" s="27" t="n"/>
      <c r="N256" s="27" t="n"/>
      <c r="O256" s="27" t="n"/>
      <c r="P256" s="27" t="n"/>
      <c r="Q256" s="27" t="n"/>
      <c r="R256" s="27" t="n"/>
      <c r="S256" s="27" t="n"/>
      <c r="T256" s="27" t="n"/>
    </row>
    <row r="257" ht="13.8" customFormat="1" customHeight="1" s="70">
      <c r="M257" s="27" t="n"/>
      <c r="N257" s="27" t="n"/>
      <c r="O257" s="27" t="n"/>
      <c r="P257" s="27" t="n"/>
      <c r="Q257" s="27" t="n"/>
      <c r="R257" s="27" t="n"/>
      <c r="S257" s="27" t="n"/>
      <c r="T257" s="27" t="n"/>
    </row>
    <row r="258" ht="13.8" customFormat="1" customHeight="1" s="70">
      <c r="M258" s="27" t="n"/>
      <c r="N258" s="27" t="n"/>
      <c r="O258" s="27" t="n"/>
      <c r="P258" s="27" t="n"/>
      <c r="Q258" s="27" t="n"/>
      <c r="R258" s="27" t="n"/>
      <c r="S258" s="27" t="n"/>
      <c r="T258" s="27" t="n"/>
    </row>
    <row r="259" ht="13.8" customFormat="1" customHeight="1" s="70">
      <c r="M259" s="27" t="n"/>
      <c r="N259" s="27" t="n"/>
      <c r="O259" s="27" t="n"/>
      <c r="P259" s="27" t="n"/>
      <c r="Q259" s="27" t="n"/>
      <c r="R259" s="27" t="n"/>
      <c r="S259" s="27" t="n"/>
      <c r="T259" s="27" t="n"/>
    </row>
    <row r="260" ht="13.8" customFormat="1" customHeight="1" s="70">
      <c r="M260" s="27" t="n"/>
      <c r="N260" s="27" t="n"/>
      <c r="O260" s="27" t="n"/>
      <c r="P260" s="27" t="n"/>
      <c r="Q260" s="27" t="n"/>
      <c r="R260" s="27" t="n"/>
      <c r="S260" s="27" t="n"/>
      <c r="T260" s="27" t="n"/>
    </row>
    <row r="261" ht="13.8" customFormat="1" customHeight="1" s="70">
      <c r="M261" s="27" t="n"/>
      <c r="N261" s="27" t="n"/>
      <c r="O261" s="27" t="n"/>
      <c r="P261" s="27" t="n"/>
      <c r="Q261" s="27" t="n"/>
      <c r="R261" s="27" t="n"/>
      <c r="S261" s="27" t="n"/>
      <c r="T261" s="27" t="n"/>
    </row>
    <row r="262" ht="13.8" customFormat="1" customHeight="1" s="70">
      <c r="M262" s="27" t="n"/>
      <c r="N262" s="27" t="n"/>
      <c r="O262" s="27" t="n"/>
      <c r="P262" s="27" t="n"/>
      <c r="Q262" s="27" t="n"/>
      <c r="R262" s="27" t="n"/>
      <c r="S262" s="27" t="n"/>
      <c r="T262" s="27" t="n"/>
    </row>
    <row r="263" ht="13.8" customFormat="1" customHeight="1" s="70">
      <c r="M263" s="27" t="n"/>
      <c r="N263" s="27" t="n"/>
      <c r="O263" s="27" t="n"/>
      <c r="P263" s="27" t="n"/>
      <c r="Q263" s="27" t="n"/>
      <c r="R263" s="27" t="n"/>
      <c r="S263" s="27" t="n"/>
      <c r="T263" s="27" t="n"/>
    </row>
    <row r="264" ht="13.8" customFormat="1" customHeight="1" s="70">
      <c r="M264" s="27" t="n"/>
      <c r="N264" s="27" t="n"/>
      <c r="O264" s="27" t="n"/>
      <c r="P264" s="27" t="n"/>
      <c r="Q264" s="27" t="n"/>
      <c r="R264" s="27" t="n"/>
      <c r="S264" s="27" t="n"/>
      <c r="T264" s="27" t="n"/>
    </row>
    <row r="265" ht="13.8" customFormat="1" customHeight="1" s="70">
      <c r="M265" s="27" t="n"/>
      <c r="N265" s="27" t="n"/>
      <c r="O265" s="27" t="n"/>
      <c r="P265" s="27" t="n"/>
      <c r="Q265" s="27" t="n"/>
      <c r="R265" s="27" t="n"/>
      <c r="S265" s="27" t="n"/>
      <c r="T265" s="27" t="n"/>
    </row>
    <row r="266" ht="13.8" customFormat="1" customHeight="1" s="70">
      <c r="M266" s="27" t="n"/>
      <c r="N266" s="27" t="n"/>
      <c r="O266" s="27" t="n"/>
      <c r="P266" s="27" t="n"/>
      <c r="Q266" s="27" t="n"/>
      <c r="R266" s="27" t="n"/>
      <c r="S266" s="27" t="n"/>
      <c r="T266" s="27" t="n"/>
    </row>
    <row r="267" ht="13.8" customFormat="1" customHeight="1" s="70">
      <c r="M267" s="27" t="n"/>
      <c r="N267" s="27" t="n"/>
      <c r="O267" s="27" t="n"/>
      <c r="P267" s="27" t="n"/>
      <c r="Q267" s="27" t="n"/>
      <c r="R267" s="27" t="n"/>
      <c r="S267" s="27" t="n"/>
      <c r="T267" s="27" t="n"/>
    </row>
    <row r="268" ht="13.8" customFormat="1" customHeight="1" s="70">
      <c r="M268" s="27" t="n"/>
      <c r="N268" s="27" t="n"/>
      <c r="O268" s="27" t="n"/>
      <c r="P268" s="27" t="n"/>
      <c r="Q268" s="27" t="n"/>
      <c r="R268" s="27" t="n"/>
      <c r="S268" s="27" t="n"/>
      <c r="T268" s="27" t="n"/>
    </row>
    <row r="269" ht="13.8" customFormat="1" customHeight="1" s="70">
      <c r="M269" s="27" t="n"/>
      <c r="N269" s="27" t="n"/>
      <c r="O269" s="27" t="n"/>
      <c r="P269" s="27" t="n"/>
      <c r="Q269" s="27" t="n"/>
      <c r="R269" s="27" t="n"/>
      <c r="S269" s="27" t="n"/>
      <c r="T269" s="27" t="n"/>
    </row>
    <row r="270" ht="13.8" customFormat="1" customHeight="1" s="70">
      <c r="M270" s="27" t="n"/>
      <c r="N270" s="27" t="n"/>
      <c r="O270" s="27" t="n"/>
      <c r="P270" s="27" t="n"/>
      <c r="Q270" s="27" t="n"/>
      <c r="R270" s="27" t="n"/>
      <c r="S270" s="27" t="n"/>
      <c r="T270" s="27" t="n"/>
    </row>
    <row r="271" ht="13.8" customFormat="1" customHeight="1" s="70">
      <c r="M271" s="27" t="n"/>
      <c r="N271" s="27" t="n"/>
      <c r="O271" s="27" t="n"/>
      <c r="P271" s="27" t="n"/>
      <c r="Q271" s="27" t="n"/>
      <c r="R271" s="27" t="n"/>
      <c r="S271" s="27" t="n"/>
      <c r="T271" s="27" t="n"/>
    </row>
    <row r="272" ht="13.8" customFormat="1" customHeight="1" s="70">
      <c r="M272" s="27" t="n"/>
      <c r="N272" s="27" t="n"/>
      <c r="O272" s="27" t="n"/>
      <c r="P272" s="27" t="n"/>
      <c r="Q272" s="27" t="n"/>
      <c r="R272" s="27" t="n"/>
      <c r="S272" s="27" t="n"/>
      <c r="T272" s="27" t="n"/>
    </row>
    <row r="273" ht="13.8" customFormat="1" customHeight="1" s="70">
      <c r="M273" s="27" t="n"/>
      <c r="N273" s="27" t="n"/>
      <c r="O273" s="27" t="n"/>
      <c r="P273" s="27" t="n"/>
      <c r="Q273" s="27" t="n"/>
      <c r="R273" s="27" t="n"/>
      <c r="S273" s="27" t="n"/>
      <c r="T273" s="27" t="n"/>
    </row>
    <row r="274" ht="13.8" customFormat="1" customHeight="1" s="70">
      <c r="M274" s="27" t="n"/>
      <c r="N274" s="27" t="n"/>
      <c r="O274" s="27" t="n"/>
      <c r="P274" s="27" t="n"/>
      <c r="Q274" s="27" t="n"/>
      <c r="R274" s="27" t="n"/>
      <c r="S274" s="27" t="n"/>
      <c r="T274" s="27" t="n"/>
    </row>
    <row r="275" ht="13.8" customFormat="1" customHeight="1" s="70">
      <c r="M275" s="27" t="n"/>
      <c r="N275" s="27" t="n"/>
      <c r="O275" s="27" t="n"/>
      <c r="P275" s="27" t="n"/>
      <c r="Q275" s="27" t="n"/>
      <c r="R275" s="27" t="n"/>
      <c r="S275" s="27" t="n"/>
      <c r="T275" s="27" t="n"/>
    </row>
    <row r="276" ht="13.8" customFormat="1" customHeight="1" s="70">
      <c r="M276" s="27" t="n"/>
      <c r="N276" s="27" t="n"/>
      <c r="O276" s="27" t="n"/>
      <c r="P276" s="27" t="n"/>
      <c r="Q276" s="27" t="n"/>
      <c r="R276" s="27" t="n"/>
      <c r="S276" s="27" t="n"/>
      <c r="T276" s="27" t="n"/>
    </row>
    <row r="277" ht="13.8" customFormat="1" customHeight="1" s="70">
      <c r="M277" s="27" t="n"/>
      <c r="N277" s="27" t="n"/>
      <c r="O277" s="27" t="n"/>
      <c r="P277" s="27" t="n"/>
      <c r="Q277" s="27" t="n"/>
      <c r="R277" s="27" t="n"/>
      <c r="S277" s="27" t="n"/>
      <c r="T277" s="27" t="n"/>
    </row>
    <row r="278" ht="13.8" customFormat="1" customHeight="1" s="70">
      <c r="M278" s="27" t="n"/>
      <c r="N278" s="27" t="n"/>
      <c r="O278" s="27" t="n"/>
      <c r="P278" s="27" t="n"/>
      <c r="Q278" s="27" t="n"/>
      <c r="R278" s="27" t="n"/>
      <c r="S278" s="27" t="n"/>
      <c r="T278" s="27" t="n"/>
    </row>
    <row r="279" ht="13.8" customFormat="1" customHeight="1" s="70">
      <c r="M279" s="27" t="n"/>
      <c r="N279" s="27" t="n"/>
      <c r="O279" s="27" t="n"/>
      <c r="P279" s="27" t="n"/>
      <c r="Q279" s="27" t="n"/>
      <c r="R279" s="27" t="n"/>
      <c r="S279" s="27" t="n"/>
      <c r="T279" s="27" t="n"/>
    </row>
    <row r="280" ht="13.8" customFormat="1" customHeight="1" s="70">
      <c r="M280" s="27" t="n"/>
      <c r="N280" s="27" t="n"/>
      <c r="O280" s="27" t="n"/>
      <c r="P280" s="27" t="n"/>
      <c r="Q280" s="27" t="n"/>
      <c r="R280" s="27" t="n"/>
      <c r="S280" s="27" t="n"/>
      <c r="T280" s="27" t="n"/>
    </row>
    <row r="281" ht="13.8" customFormat="1" customHeight="1" s="70">
      <c r="M281" s="27" t="n"/>
      <c r="N281" s="27" t="n"/>
      <c r="O281" s="27" t="n"/>
      <c r="P281" s="27" t="n"/>
      <c r="Q281" s="27" t="n"/>
      <c r="R281" s="27" t="n"/>
      <c r="S281" s="27" t="n"/>
      <c r="T281" s="27" t="n"/>
    </row>
    <row r="282" ht="13.8" customFormat="1" customHeight="1" s="70">
      <c r="M282" s="27" t="n"/>
      <c r="N282" s="27" t="n"/>
      <c r="O282" s="27" t="n"/>
      <c r="P282" s="27" t="n"/>
      <c r="Q282" s="27" t="n"/>
      <c r="R282" s="27" t="n"/>
      <c r="S282" s="27" t="n"/>
      <c r="T282" s="27" t="n"/>
    </row>
    <row r="283" ht="13.8" customFormat="1" customHeight="1" s="70">
      <c r="M283" s="27" t="n"/>
      <c r="N283" s="27" t="n"/>
      <c r="O283" s="27" t="n"/>
      <c r="P283" s="27" t="n"/>
      <c r="Q283" s="27" t="n"/>
      <c r="R283" s="27" t="n"/>
      <c r="S283" s="27" t="n"/>
      <c r="T283" s="27" t="n"/>
    </row>
    <row r="284" ht="13.8" customFormat="1" customHeight="1" s="70">
      <c r="M284" s="27" t="n"/>
      <c r="N284" s="27" t="n"/>
      <c r="O284" s="27" t="n"/>
      <c r="P284" s="27" t="n"/>
      <c r="Q284" s="27" t="n"/>
      <c r="R284" s="27" t="n"/>
      <c r="S284" s="27" t="n"/>
      <c r="T284" s="27" t="n"/>
    </row>
    <row r="285" ht="13.8" customFormat="1" customHeight="1" s="70">
      <c r="M285" s="27" t="n"/>
      <c r="N285" s="27" t="n"/>
      <c r="O285" s="27" t="n"/>
      <c r="P285" s="27" t="n"/>
      <c r="Q285" s="27" t="n"/>
      <c r="R285" s="27" t="n"/>
      <c r="S285" s="27" t="n"/>
      <c r="T285" s="27" t="n"/>
    </row>
    <row r="286" ht="13.8" customFormat="1" customHeight="1" s="70">
      <c r="M286" s="27" t="n"/>
      <c r="N286" s="27" t="n"/>
      <c r="O286" s="27" t="n"/>
      <c r="P286" s="27" t="n"/>
      <c r="Q286" s="27" t="n"/>
      <c r="R286" s="27" t="n"/>
      <c r="S286" s="27" t="n"/>
      <c r="T286" s="27" t="n"/>
    </row>
    <row r="287" ht="13.8" customFormat="1" customHeight="1" s="70">
      <c r="M287" s="27" t="n"/>
      <c r="N287" s="27" t="n"/>
      <c r="O287" s="27" t="n"/>
      <c r="P287" s="27" t="n"/>
      <c r="Q287" s="27" t="n"/>
      <c r="R287" s="27" t="n"/>
      <c r="S287" s="27" t="n"/>
      <c r="T287" s="27" t="n"/>
    </row>
    <row r="288" ht="13.8" customFormat="1" customHeight="1" s="70">
      <c r="M288" s="27" t="n"/>
      <c r="N288" s="27" t="n"/>
      <c r="O288" s="27" t="n"/>
      <c r="P288" s="27" t="n"/>
      <c r="Q288" s="27" t="n"/>
      <c r="R288" s="27" t="n"/>
      <c r="S288" s="27" t="n"/>
      <c r="T288" s="27" t="n"/>
    </row>
    <row r="289" ht="13.8" customFormat="1" customHeight="1" s="70">
      <c r="M289" s="27" t="n"/>
      <c r="N289" s="27" t="n"/>
      <c r="O289" s="27" t="n"/>
      <c r="P289" s="27" t="n"/>
      <c r="Q289" s="27" t="n"/>
      <c r="R289" s="27" t="n"/>
      <c r="S289" s="27" t="n"/>
      <c r="T289" s="27" t="n"/>
    </row>
    <row r="290" ht="13.8" customFormat="1" customHeight="1" s="70">
      <c r="M290" s="27" t="n"/>
      <c r="N290" s="27" t="n"/>
      <c r="O290" s="27" t="n"/>
      <c r="P290" s="27" t="n"/>
      <c r="Q290" s="27" t="n"/>
      <c r="R290" s="27" t="n"/>
      <c r="S290" s="27" t="n"/>
      <c r="T290" s="27" t="n"/>
    </row>
    <row r="291" ht="13.8" customFormat="1" customHeight="1" s="70">
      <c r="M291" s="27" t="n"/>
      <c r="N291" s="27" t="n"/>
      <c r="O291" s="27" t="n"/>
      <c r="P291" s="27" t="n"/>
      <c r="Q291" s="27" t="n"/>
      <c r="R291" s="27" t="n"/>
      <c r="S291" s="27" t="n"/>
      <c r="T291" s="27" t="n"/>
    </row>
    <row r="292" ht="13.8" customFormat="1" customHeight="1" s="70">
      <c r="M292" s="27" t="n"/>
      <c r="N292" s="27" t="n"/>
      <c r="O292" s="27" t="n"/>
      <c r="P292" s="27" t="n"/>
      <c r="Q292" s="27" t="n"/>
      <c r="R292" s="27" t="n"/>
      <c r="S292" s="27" t="n"/>
      <c r="T292" s="27" t="n"/>
    </row>
    <row r="293" ht="13.8" customFormat="1" customHeight="1" s="70">
      <c r="M293" s="27" t="n"/>
      <c r="N293" s="27" t="n"/>
      <c r="O293" s="27" t="n"/>
      <c r="P293" s="27" t="n"/>
      <c r="Q293" s="27" t="n"/>
      <c r="R293" s="27" t="n"/>
      <c r="S293" s="27" t="n"/>
      <c r="T293" s="27" t="n"/>
    </row>
    <row r="294" ht="13.8" customFormat="1" customHeight="1" s="70">
      <c r="M294" s="27" t="n"/>
      <c r="N294" s="27" t="n"/>
      <c r="O294" s="27" t="n"/>
      <c r="P294" s="27" t="n"/>
      <c r="Q294" s="27" t="n"/>
      <c r="R294" s="27" t="n"/>
      <c r="S294" s="27" t="n"/>
      <c r="T294" s="27" t="n"/>
    </row>
    <row r="295" ht="13.8" customFormat="1" customHeight="1" s="70">
      <c r="M295" s="27" t="n"/>
      <c r="N295" s="27" t="n"/>
      <c r="O295" s="27" t="n"/>
      <c r="P295" s="27" t="n"/>
      <c r="Q295" s="27" t="n"/>
      <c r="R295" s="27" t="n"/>
      <c r="S295" s="27" t="n"/>
      <c r="T295" s="27" t="n"/>
    </row>
    <row r="296" ht="13.8" customFormat="1" customHeight="1" s="70">
      <c r="M296" s="27" t="n"/>
      <c r="N296" s="27" t="n"/>
      <c r="O296" s="27" t="n"/>
      <c r="P296" s="27" t="n"/>
      <c r="Q296" s="27" t="n"/>
      <c r="R296" s="27" t="n"/>
      <c r="S296" s="27" t="n"/>
      <c r="T296" s="27" t="n"/>
    </row>
    <row r="297" ht="13.8" customFormat="1" customHeight="1" s="70">
      <c r="M297" s="27" t="n"/>
      <c r="N297" s="27" t="n"/>
      <c r="O297" s="27" t="n"/>
      <c r="P297" s="27" t="n"/>
      <c r="Q297" s="27" t="n"/>
      <c r="R297" s="27" t="n"/>
      <c r="S297" s="27" t="n"/>
      <c r="T297" s="27" t="n"/>
    </row>
    <row r="298" ht="13.8" customFormat="1" customHeight="1" s="70">
      <c r="M298" s="27" t="n"/>
      <c r="N298" s="27" t="n"/>
      <c r="O298" s="27" t="n"/>
      <c r="P298" s="27" t="n"/>
      <c r="Q298" s="27" t="n"/>
      <c r="R298" s="27" t="n"/>
      <c r="S298" s="27" t="n"/>
      <c r="T298" s="27" t="n"/>
    </row>
    <row r="299" ht="13.8" customFormat="1" customHeight="1" s="70">
      <c r="M299" s="27" t="n"/>
      <c r="N299" s="27" t="n"/>
      <c r="O299" s="27" t="n"/>
      <c r="P299" s="27" t="n"/>
      <c r="Q299" s="27" t="n"/>
      <c r="R299" s="27" t="n"/>
      <c r="S299" s="27" t="n"/>
      <c r="T299" s="27" t="n"/>
    </row>
    <row r="300" ht="13.8" customFormat="1" customHeight="1" s="70">
      <c r="M300" s="27" t="n"/>
      <c r="N300" s="27" t="n"/>
      <c r="O300" s="27" t="n"/>
      <c r="P300" s="27" t="n"/>
      <c r="Q300" s="27" t="n"/>
      <c r="R300" s="27" t="n"/>
      <c r="S300" s="27" t="n"/>
      <c r="T300" s="27" t="n"/>
    </row>
    <row r="301" ht="13.8" customFormat="1" customHeight="1" s="70">
      <c r="M301" s="27" t="n"/>
      <c r="N301" s="27" t="n"/>
      <c r="O301" s="27" t="n"/>
      <c r="P301" s="27" t="n"/>
      <c r="Q301" s="27" t="n"/>
      <c r="R301" s="27" t="n"/>
      <c r="S301" s="27" t="n"/>
      <c r="T301" s="27" t="n"/>
    </row>
    <row r="302" ht="13.8" customFormat="1" customHeight="1" s="70">
      <c r="M302" s="27" t="n"/>
      <c r="N302" s="27" t="n"/>
      <c r="O302" s="27" t="n"/>
      <c r="P302" s="27" t="n"/>
      <c r="Q302" s="27" t="n"/>
      <c r="R302" s="27" t="n"/>
      <c r="S302" s="27" t="n"/>
      <c r="T302" s="27" t="n"/>
    </row>
    <row r="303" ht="13.8" customFormat="1" customHeight="1" s="70">
      <c r="M303" s="27" t="n"/>
      <c r="N303" s="27" t="n"/>
      <c r="O303" s="27" t="n"/>
      <c r="P303" s="27" t="n"/>
      <c r="Q303" s="27" t="n"/>
      <c r="R303" s="27" t="n"/>
      <c r="S303" s="27" t="n"/>
      <c r="T303" s="27" t="n"/>
    </row>
    <row r="304" ht="13.8" customFormat="1" customHeight="1" s="70">
      <c r="M304" s="27" t="n"/>
      <c r="N304" s="27" t="n"/>
      <c r="O304" s="27" t="n"/>
      <c r="P304" s="27" t="n"/>
      <c r="Q304" s="27" t="n"/>
      <c r="R304" s="27" t="n"/>
      <c r="S304" s="27" t="n"/>
      <c r="T304" s="27" t="n"/>
    </row>
    <row r="305" ht="13.8" customFormat="1" customHeight="1" s="70">
      <c r="M305" s="27" t="n"/>
      <c r="N305" s="27" t="n"/>
      <c r="O305" s="27" t="n"/>
      <c r="P305" s="27" t="n"/>
      <c r="Q305" s="27" t="n"/>
      <c r="R305" s="27" t="n"/>
      <c r="S305" s="27" t="n"/>
      <c r="T305" s="27" t="n"/>
    </row>
    <row r="306" ht="13.8" customFormat="1" customHeight="1" s="70">
      <c r="M306" s="27" t="n"/>
      <c r="N306" s="27" t="n"/>
      <c r="O306" s="27" t="n"/>
      <c r="P306" s="27" t="n"/>
      <c r="Q306" s="27" t="n"/>
      <c r="R306" s="27" t="n"/>
      <c r="S306" s="27" t="n"/>
      <c r="T306" s="27" t="n"/>
    </row>
    <row r="307" ht="13.8" customFormat="1" customHeight="1" s="70">
      <c r="M307" s="27" t="n"/>
      <c r="N307" s="27" t="n"/>
      <c r="O307" s="27" t="n"/>
      <c r="P307" s="27" t="n"/>
      <c r="Q307" s="27" t="n"/>
      <c r="R307" s="27" t="n"/>
      <c r="S307" s="27" t="n"/>
      <c r="T307" s="27" t="n"/>
    </row>
    <row r="308" ht="13.8" customFormat="1" customHeight="1" s="70">
      <c r="M308" s="27" t="n"/>
      <c r="N308" s="27" t="n"/>
      <c r="O308" s="27" t="n"/>
      <c r="P308" s="27" t="n"/>
      <c r="Q308" s="27" t="n"/>
      <c r="R308" s="27" t="n"/>
      <c r="S308" s="27" t="n"/>
      <c r="T308" s="27" t="n"/>
    </row>
    <row r="309" ht="13.8" customFormat="1" customHeight="1" s="70">
      <c r="M309" s="27" t="n"/>
      <c r="N309" s="27" t="n"/>
      <c r="O309" s="27" t="n"/>
      <c r="P309" s="27" t="n"/>
      <c r="Q309" s="27" t="n"/>
      <c r="R309" s="27" t="n"/>
      <c r="S309" s="27" t="n"/>
      <c r="T309" s="27" t="n"/>
    </row>
    <row r="310" ht="13.8" customFormat="1" customHeight="1" s="70">
      <c r="M310" s="27" t="n"/>
      <c r="N310" s="27" t="n"/>
      <c r="O310" s="27" t="n"/>
      <c r="P310" s="27" t="n"/>
      <c r="Q310" s="27" t="n"/>
      <c r="R310" s="27" t="n"/>
      <c r="S310" s="27" t="n"/>
      <c r="T310" s="27" t="n"/>
    </row>
    <row r="311" ht="13.8" customFormat="1" customHeight="1" s="70">
      <c r="M311" s="27" t="n"/>
      <c r="N311" s="27" t="n"/>
      <c r="O311" s="27" t="n"/>
      <c r="P311" s="27" t="n"/>
      <c r="Q311" s="27" t="n"/>
      <c r="R311" s="27" t="n"/>
      <c r="S311" s="27" t="n"/>
      <c r="T311" s="27" t="n"/>
    </row>
    <row r="312" ht="13.8" customFormat="1" customHeight="1" s="70">
      <c r="M312" s="27" t="n"/>
      <c r="N312" s="27" t="n"/>
      <c r="O312" s="27" t="n"/>
      <c r="P312" s="27" t="n"/>
      <c r="Q312" s="27" t="n"/>
      <c r="R312" s="27" t="n"/>
      <c r="S312" s="27" t="n"/>
      <c r="T312" s="27" t="n"/>
    </row>
    <row r="313" ht="13.8" customFormat="1" customHeight="1" s="70">
      <c r="M313" s="27" t="n"/>
      <c r="N313" s="27" t="n"/>
      <c r="O313" s="27" t="n"/>
      <c r="P313" s="27" t="n"/>
      <c r="Q313" s="27" t="n"/>
      <c r="R313" s="27" t="n"/>
      <c r="S313" s="27" t="n"/>
      <c r="T313" s="27" t="n"/>
    </row>
    <row r="314" ht="13.8" customFormat="1" customHeight="1" s="70">
      <c r="M314" s="27" t="n"/>
      <c r="N314" s="27" t="n"/>
      <c r="O314" s="27" t="n"/>
      <c r="P314" s="27" t="n"/>
      <c r="Q314" s="27" t="n"/>
      <c r="R314" s="27" t="n"/>
      <c r="S314" s="27" t="n"/>
      <c r="T314" s="27" t="n"/>
    </row>
    <row r="315" ht="13.8" customFormat="1" customHeight="1" s="70">
      <c r="M315" s="27" t="n"/>
      <c r="N315" s="27" t="n"/>
      <c r="O315" s="27" t="n"/>
      <c r="P315" s="27" t="n"/>
      <c r="Q315" s="27" t="n"/>
      <c r="R315" s="27" t="n"/>
      <c r="S315" s="27" t="n"/>
      <c r="T315" s="27" t="n"/>
    </row>
    <row r="316" ht="13.8" customFormat="1" customHeight="1" s="70">
      <c r="M316" s="27" t="n"/>
      <c r="N316" s="27" t="n"/>
      <c r="O316" s="27" t="n"/>
      <c r="P316" s="27" t="n"/>
      <c r="Q316" s="27" t="n"/>
      <c r="R316" s="27" t="n"/>
      <c r="S316" s="27" t="n"/>
      <c r="T316" s="27" t="n"/>
    </row>
    <row r="317" ht="13.8" customFormat="1" customHeight="1" s="70">
      <c r="M317" s="27" t="n"/>
      <c r="N317" s="27" t="n"/>
      <c r="O317" s="27" t="n"/>
      <c r="P317" s="27" t="n"/>
      <c r="Q317" s="27" t="n"/>
      <c r="R317" s="27" t="n"/>
      <c r="S317" s="27" t="n"/>
      <c r="T317" s="27" t="n"/>
    </row>
    <row r="318" ht="13.8" customFormat="1" customHeight="1" s="70">
      <c r="M318" s="27" t="n"/>
      <c r="N318" s="27" t="n"/>
      <c r="O318" s="27" t="n"/>
      <c r="P318" s="27" t="n"/>
      <c r="Q318" s="27" t="n"/>
      <c r="R318" s="27" t="n"/>
      <c r="S318" s="27" t="n"/>
      <c r="T318" s="27" t="n"/>
    </row>
    <row r="319" ht="13.8" customFormat="1" customHeight="1" s="70">
      <c r="M319" s="27" t="n"/>
      <c r="N319" s="27" t="n"/>
      <c r="O319" s="27" t="n"/>
      <c r="P319" s="27" t="n"/>
      <c r="Q319" s="27" t="n"/>
      <c r="R319" s="27" t="n"/>
      <c r="S319" s="27" t="n"/>
      <c r="T319" s="27" t="n"/>
    </row>
    <row r="320" ht="13.8" customFormat="1" customHeight="1" s="70">
      <c r="M320" s="27" t="n"/>
      <c r="N320" s="27" t="n"/>
      <c r="O320" s="27" t="n"/>
      <c r="P320" s="27" t="n"/>
      <c r="Q320" s="27" t="n"/>
      <c r="R320" s="27" t="n"/>
      <c r="S320" s="27" t="n"/>
      <c r="T320" s="27" t="n"/>
    </row>
    <row r="321" ht="13.8" customFormat="1" customHeight="1" s="70">
      <c r="M321" s="27" t="n"/>
      <c r="N321" s="27" t="n"/>
      <c r="O321" s="27" t="n"/>
      <c r="P321" s="27" t="n"/>
      <c r="Q321" s="27" t="n"/>
      <c r="R321" s="27" t="n"/>
      <c r="S321" s="27" t="n"/>
      <c r="T321" s="27" t="n"/>
    </row>
    <row r="322" ht="13.8" customFormat="1" customHeight="1" s="70">
      <c r="M322" s="27" t="n"/>
      <c r="N322" s="27" t="n"/>
      <c r="O322" s="27" t="n"/>
      <c r="P322" s="27" t="n"/>
      <c r="Q322" s="27" t="n"/>
      <c r="R322" s="27" t="n"/>
      <c r="S322" s="27" t="n"/>
      <c r="T322" s="27" t="n"/>
    </row>
    <row r="323" ht="13.8" customFormat="1" customHeight="1" s="70">
      <c r="M323" s="27" t="n"/>
      <c r="N323" s="27" t="n"/>
      <c r="O323" s="27" t="n"/>
      <c r="P323" s="27" t="n"/>
      <c r="Q323" s="27" t="n"/>
      <c r="R323" s="27" t="n"/>
      <c r="S323" s="27" t="n"/>
      <c r="T323" s="27" t="n"/>
    </row>
    <row r="324" ht="13.8" customFormat="1" customHeight="1" s="70">
      <c r="M324" s="27" t="n"/>
      <c r="N324" s="27" t="n"/>
      <c r="O324" s="27" t="n"/>
      <c r="P324" s="27" t="n"/>
      <c r="Q324" s="27" t="n"/>
      <c r="R324" s="27" t="n"/>
      <c r="S324" s="27" t="n"/>
      <c r="T324" s="27" t="n"/>
    </row>
    <row r="325" ht="13.8" customFormat="1" customHeight="1" s="70">
      <c r="M325" s="27" t="n"/>
      <c r="N325" s="27" t="n"/>
      <c r="O325" s="27" t="n"/>
      <c r="P325" s="27" t="n"/>
      <c r="Q325" s="27" t="n"/>
      <c r="R325" s="27" t="n"/>
      <c r="S325" s="27" t="n"/>
      <c r="T325" s="27" t="n"/>
    </row>
    <row r="326" ht="13.8" customFormat="1" customHeight="1" s="70">
      <c r="M326" s="27" t="n"/>
      <c r="N326" s="27" t="n"/>
      <c r="O326" s="27" t="n"/>
      <c r="P326" s="27" t="n"/>
      <c r="Q326" s="27" t="n"/>
      <c r="R326" s="27" t="n"/>
      <c r="S326" s="27" t="n"/>
      <c r="T326" s="27" t="n"/>
    </row>
    <row r="327" ht="13.8" customFormat="1" customHeight="1" s="70">
      <c r="M327" s="27" t="n"/>
      <c r="N327" s="27" t="n"/>
      <c r="O327" s="27" t="n"/>
      <c r="P327" s="27" t="n"/>
      <c r="Q327" s="27" t="n"/>
      <c r="R327" s="27" t="n"/>
      <c r="S327" s="27" t="n"/>
      <c r="T327" s="27" t="n"/>
    </row>
    <row r="328" ht="13.8" customFormat="1" customHeight="1" s="70">
      <c r="M328" s="27" t="n"/>
      <c r="N328" s="27" t="n"/>
      <c r="O328" s="27" t="n"/>
      <c r="P328" s="27" t="n"/>
      <c r="Q328" s="27" t="n"/>
      <c r="R328" s="27" t="n"/>
      <c r="S328" s="27" t="n"/>
      <c r="T328" s="27" t="n"/>
    </row>
    <row r="329" ht="13.8" customFormat="1" customHeight="1" s="70">
      <c r="M329" s="27" t="n"/>
      <c r="N329" s="27" t="n"/>
      <c r="O329" s="27" t="n"/>
      <c r="P329" s="27" t="n"/>
      <c r="Q329" s="27" t="n"/>
      <c r="R329" s="27" t="n"/>
      <c r="S329" s="27" t="n"/>
      <c r="T329" s="27" t="n"/>
    </row>
    <row r="330" ht="13.8" customFormat="1" customHeight="1" s="70">
      <c r="M330" s="27" t="n"/>
      <c r="N330" s="27" t="n"/>
      <c r="O330" s="27" t="n"/>
      <c r="P330" s="27" t="n"/>
      <c r="Q330" s="27" t="n"/>
      <c r="R330" s="27" t="n"/>
      <c r="S330" s="27" t="n"/>
      <c r="T330" s="27" t="n"/>
    </row>
    <row r="331" ht="13.8" customFormat="1" customHeight="1" s="70">
      <c r="M331" s="27" t="n"/>
      <c r="N331" s="27" t="n"/>
      <c r="O331" s="27" t="n"/>
      <c r="P331" s="27" t="n"/>
      <c r="Q331" s="27" t="n"/>
      <c r="R331" s="27" t="n"/>
      <c r="S331" s="27" t="n"/>
      <c r="T331" s="27" t="n"/>
    </row>
    <row r="332" ht="13.8" customFormat="1" customHeight="1" s="70">
      <c r="M332" s="27" t="n"/>
      <c r="N332" s="27" t="n"/>
      <c r="O332" s="27" t="n"/>
      <c r="P332" s="27" t="n"/>
      <c r="Q332" s="27" t="n"/>
      <c r="R332" s="27" t="n"/>
      <c r="S332" s="27" t="n"/>
      <c r="T332" s="27" t="n"/>
    </row>
    <row r="333" ht="13.8" customFormat="1" customHeight="1" s="70">
      <c r="M333" s="27" t="n"/>
      <c r="N333" s="27" t="n"/>
      <c r="O333" s="27" t="n"/>
      <c r="P333" s="27" t="n"/>
      <c r="Q333" s="27" t="n"/>
      <c r="R333" s="27" t="n"/>
      <c r="S333" s="27" t="n"/>
      <c r="T333" s="27" t="n"/>
    </row>
    <row r="334" ht="13.8" customFormat="1" customHeight="1" s="70">
      <c r="M334" s="27" t="n"/>
      <c r="N334" s="27" t="n"/>
      <c r="O334" s="27" t="n"/>
      <c r="P334" s="27" t="n"/>
      <c r="Q334" s="27" t="n"/>
      <c r="R334" s="27" t="n"/>
      <c r="S334" s="27" t="n"/>
      <c r="T334" s="27" t="n"/>
    </row>
    <row r="335" ht="13.8" customFormat="1" customHeight="1" s="70">
      <c r="M335" s="27" t="n"/>
      <c r="N335" s="27" t="n"/>
      <c r="O335" s="27" t="n"/>
      <c r="P335" s="27" t="n"/>
      <c r="Q335" s="27" t="n"/>
      <c r="R335" s="27" t="n"/>
      <c r="S335" s="27" t="n"/>
      <c r="T335" s="27" t="n"/>
    </row>
    <row r="336" ht="13.8" customFormat="1" customHeight="1" s="70">
      <c r="M336" s="27" t="n"/>
      <c r="N336" s="27" t="n"/>
      <c r="O336" s="27" t="n"/>
      <c r="P336" s="27" t="n"/>
      <c r="Q336" s="27" t="n"/>
      <c r="R336" s="27" t="n"/>
      <c r="S336" s="27" t="n"/>
      <c r="T336" s="27" t="n"/>
    </row>
    <row r="337" ht="13.8" customFormat="1" customHeight="1" s="70">
      <c r="M337" s="27" t="n"/>
      <c r="N337" s="27" t="n"/>
      <c r="O337" s="27" t="n"/>
      <c r="P337" s="27" t="n"/>
      <c r="Q337" s="27" t="n"/>
      <c r="R337" s="27" t="n"/>
      <c r="S337" s="27" t="n"/>
      <c r="T337" s="27" t="n"/>
    </row>
    <row r="338" ht="13.8" customFormat="1" customHeight="1" s="70">
      <c r="M338" s="27" t="n"/>
      <c r="N338" s="27" t="n"/>
      <c r="O338" s="27" t="n"/>
      <c r="P338" s="27" t="n"/>
      <c r="Q338" s="27" t="n"/>
      <c r="R338" s="27" t="n"/>
      <c r="S338" s="27" t="n"/>
      <c r="T338" s="27" t="n"/>
    </row>
    <row r="339" ht="13.8" customFormat="1" customHeight="1" s="70">
      <c r="M339" s="27" t="n"/>
      <c r="N339" s="27" t="n"/>
      <c r="O339" s="27" t="n"/>
      <c r="P339" s="27" t="n"/>
      <c r="Q339" s="27" t="n"/>
      <c r="R339" s="27" t="n"/>
      <c r="S339" s="27" t="n"/>
      <c r="T339" s="27" t="n"/>
    </row>
    <row r="340" ht="13.8" customFormat="1" customHeight="1" s="70">
      <c r="M340" s="27" t="n"/>
      <c r="N340" s="27" t="n"/>
      <c r="O340" s="27" t="n"/>
      <c r="P340" s="27" t="n"/>
      <c r="Q340" s="27" t="n"/>
      <c r="R340" s="27" t="n"/>
      <c r="S340" s="27" t="n"/>
      <c r="T340" s="27" t="n"/>
    </row>
    <row r="341" ht="13.8" customFormat="1" customHeight="1" s="70">
      <c r="M341" s="27" t="n"/>
      <c r="N341" s="27" t="n"/>
      <c r="O341" s="27" t="n"/>
      <c r="P341" s="27" t="n"/>
      <c r="Q341" s="27" t="n"/>
      <c r="R341" s="27" t="n"/>
      <c r="S341" s="27" t="n"/>
      <c r="T341" s="27" t="n"/>
    </row>
    <row r="342" ht="13.8" customFormat="1" customHeight="1" s="70">
      <c r="M342" s="27" t="n"/>
      <c r="N342" s="27" t="n"/>
      <c r="O342" s="27" t="n"/>
      <c r="P342" s="27" t="n"/>
      <c r="Q342" s="27" t="n"/>
      <c r="R342" s="27" t="n"/>
      <c r="S342" s="27" t="n"/>
      <c r="T342" s="27" t="n"/>
    </row>
    <row r="343" ht="13.8" customFormat="1" customHeight="1" s="70">
      <c r="M343" s="27" t="n"/>
      <c r="N343" s="27" t="n"/>
      <c r="O343" s="27" t="n"/>
      <c r="P343" s="27" t="n"/>
      <c r="Q343" s="27" t="n"/>
      <c r="R343" s="27" t="n"/>
      <c r="S343" s="27" t="n"/>
      <c r="T343" s="27" t="n"/>
    </row>
    <row r="344" ht="13.8" customFormat="1" customHeight="1" s="70">
      <c r="M344" s="27" t="n"/>
      <c r="N344" s="27" t="n"/>
      <c r="O344" s="27" t="n"/>
      <c r="P344" s="27" t="n"/>
      <c r="Q344" s="27" t="n"/>
      <c r="R344" s="27" t="n"/>
      <c r="S344" s="27" t="n"/>
      <c r="T344" s="27" t="n"/>
    </row>
    <row r="345" ht="13.8" customFormat="1" customHeight="1" s="70">
      <c r="M345" s="27" t="n"/>
      <c r="N345" s="27" t="n"/>
      <c r="O345" s="27" t="n"/>
      <c r="P345" s="27" t="n"/>
      <c r="Q345" s="27" t="n"/>
      <c r="R345" s="27" t="n"/>
      <c r="S345" s="27" t="n"/>
      <c r="T345" s="27" t="n"/>
    </row>
    <row r="346" ht="13.8" customFormat="1" customHeight="1" s="70">
      <c r="M346" s="27" t="n"/>
      <c r="N346" s="27" t="n"/>
      <c r="O346" s="27" t="n"/>
      <c r="P346" s="27" t="n"/>
      <c r="Q346" s="27" t="n"/>
      <c r="R346" s="27" t="n"/>
      <c r="S346" s="27" t="n"/>
      <c r="T346" s="27" t="n"/>
    </row>
    <row r="347" ht="13.8" customFormat="1" customHeight="1" s="70">
      <c r="M347" s="27" t="n"/>
      <c r="N347" s="27" t="n"/>
      <c r="O347" s="27" t="n"/>
      <c r="P347" s="27" t="n"/>
      <c r="Q347" s="27" t="n"/>
      <c r="R347" s="27" t="n"/>
      <c r="S347" s="27" t="n"/>
      <c r="T347" s="27" t="n"/>
    </row>
    <row r="348" ht="13.8" customFormat="1" customHeight="1" s="70">
      <c r="M348" s="27" t="n"/>
      <c r="N348" s="27" t="n"/>
      <c r="O348" s="27" t="n"/>
      <c r="P348" s="27" t="n"/>
      <c r="Q348" s="27" t="n"/>
      <c r="R348" s="27" t="n"/>
      <c r="S348" s="27" t="n"/>
      <c r="T348" s="27" t="n"/>
    </row>
    <row r="349" ht="13.8" customFormat="1" customHeight="1" s="70">
      <c r="M349" s="27" t="n"/>
      <c r="N349" s="27" t="n"/>
      <c r="O349" s="27" t="n"/>
      <c r="P349" s="27" t="n"/>
      <c r="Q349" s="27" t="n"/>
      <c r="R349" s="27" t="n"/>
      <c r="S349" s="27" t="n"/>
      <c r="T349" s="27" t="n"/>
    </row>
    <row r="350" ht="13.8" customFormat="1" customHeight="1" s="70">
      <c r="M350" s="27" t="n"/>
      <c r="N350" s="27" t="n"/>
      <c r="O350" s="27" t="n"/>
      <c r="P350" s="27" t="n"/>
      <c r="Q350" s="27" t="n"/>
      <c r="R350" s="27" t="n"/>
      <c r="S350" s="27" t="n"/>
      <c r="T350" s="27" t="n"/>
    </row>
    <row r="351" ht="13.8" customFormat="1" customHeight="1" s="70">
      <c r="M351" s="27" t="n"/>
      <c r="N351" s="27" t="n"/>
      <c r="O351" s="27" t="n"/>
      <c r="P351" s="27" t="n"/>
      <c r="Q351" s="27" t="n"/>
      <c r="R351" s="27" t="n"/>
      <c r="S351" s="27" t="n"/>
      <c r="T351" s="27" t="n"/>
    </row>
    <row r="352" ht="13.8" customFormat="1" customHeight="1" s="70">
      <c r="M352" s="27" t="n"/>
      <c r="N352" s="27" t="n"/>
      <c r="O352" s="27" t="n"/>
      <c r="P352" s="27" t="n"/>
      <c r="Q352" s="27" t="n"/>
      <c r="R352" s="27" t="n"/>
      <c r="S352" s="27" t="n"/>
      <c r="T352" s="27" t="n"/>
    </row>
    <row r="353" ht="13.8" customFormat="1" customHeight="1" s="70">
      <c r="M353" s="27" t="n"/>
      <c r="N353" s="27" t="n"/>
      <c r="O353" s="27" t="n"/>
      <c r="P353" s="27" t="n"/>
      <c r="Q353" s="27" t="n"/>
      <c r="R353" s="27" t="n"/>
      <c r="S353" s="27" t="n"/>
      <c r="T353" s="27" t="n"/>
    </row>
    <row r="354" ht="13.8" customFormat="1" customHeight="1" s="70">
      <c r="M354" s="27" t="n"/>
      <c r="N354" s="27" t="n"/>
      <c r="O354" s="27" t="n"/>
      <c r="P354" s="27" t="n"/>
      <c r="Q354" s="27" t="n"/>
      <c r="R354" s="27" t="n"/>
      <c r="S354" s="27" t="n"/>
      <c r="T354" s="27" t="n"/>
    </row>
    <row r="355" ht="13.8" customFormat="1" customHeight="1" s="70">
      <c r="M355" s="27" t="n"/>
      <c r="N355" s="27" t="n"/>
      <c r="O355" s="27" t="n"/>
      <c r="P355" s="27" t="n"/>
      <c r="Q355" s="27" t="n"/>
      <c r="R355" s="27" t="n"/>
      <c r="S355" s="27" t="n"/>
      <c r="T355" s="27" t="n"/>
    </row>
    <row r="356" ht="13.8" customFormat="1" customHeight="1" s="70">
      <c r="M356" s="27" t="n"/>
      <c r="N356" s="27" t="n"/>
      <c r="O356" s="27" t="n"/>
      <c r="P356" s="27" t="n"/>
      <c r="Q356" s="27" t="n"/>
      <c r="R356" s="27" t="n"/>
      <c r="S356" s="27" t="n"/>
      <c r="T356" s="27" t="n"/>
    </row>
    <row r="357" ht="13.8" customFormat="1" customHeight="1" s="70">
      <c r="M357" s="27" t="n"/>
      <c r="N357" s="27" t="n"/>
      <c r="O357" s="27" t="n"/>
      <c r="P357" s="27" t="n"/>
      <c r="Q357" s="27" t="n"/>
      <c r="R357" s="27" t="n"/>
      <c r="S357" s="27" t="n"/>
      <c r="T357" s="27" t="n"/>
    </row>
    <row r="358" ht="13.8" customFormat="1" customHeight="1" s="70">
      <c r="M358" s="27" t="n"/>
      <c r="N358" s="27" t="n"/>
      <c r="O358" s="27" t="n"/>
      <c r="P358" s="27" t="n"/>
      <c r="Q358" s="27" t="n"/>
      <c r="R358" s="27" t="n"/>
      <c r="S358" s="27" t="n"/>
      <c r="T358" s="27" t="n"/>
    </row>
    <row r="359" ht="13.8" customFormat="1" customHeight="1" s="70">
      <c r="M359" s="27" t="n"/>
      <c r="N359" s="27" t="n"/>
      <c r="O359" s="27" t="n"/>
      <c r="P359" s="27" t="n"/>
      <c r="Q359" s="27" t="n"/>
      <c r="R359" s="27" t="n"/>
      <c r="S359" s="27" t="n"/>
      <c r="T359" s="27" t="n"/>
    </row>
    <row r="360" ht="13.8" customFormat="1" customHeight="1" s="70">
      <c r="M360" s="27" t="n"/>
      <c r="N360" s="27" t="n"/>
      <c r="O360" s="27" t="n"/>
      <c r="P360" s="27" t="n"/>
      <c r="Q360" s="27" t="n"/>
      <c r="R360" s="27" t="n"/>
      <c r="S360" s="27" t="n"/>
      <c r="T360" s="27" t="n"/>
    </row>
    <row r="361" ht="13.8" customFormat="1" customHeight="1" s="70">
      <c r="M361" s="27" t="n"/>
      <c r="N361" s="27" t="n"/>
      <c r="O361" s="27" t="n"/>
      <c r="P361" s="27" t="n"/>
      <c r="Q361" s="27" t="n"/>
      <c r="R361" s="27" t="n"/>
      <c r="S361" s="27" t="n"/>
      <c r="T361" s="27" t="n"/>
    </row>
    <row r="362" ht="13.8" customFormat="1" customHeight="1" s="70">
      <c r="M362" s="27" t="n"/>
      <c r="N362" s="27" t="n"/>
      <c r="O362" s="27" t="n"/>
      <c r="P362" s="27" t="n"/>
      <c r="Q362" s="27" t="n"/>
      <c r="R362" s="27" t="n"/>
      <c r="S362" s="27" t="n"/>
      <c r="T362" s="27" t="n"/>
    </row>
    <row r="363" ht="13.8" customFormat="1" customHeight="1" s="70">
      <c r="M363" s="27" t="n"/>
      <c r="N363" s="27" t="n"/>
      <c r="O363" s="27" t="n"/>
      <c r="P363" s="27" t="n"/>
      <c r="Q363" s="27" t="n"/>
      <c r="R363" s="27" t="n"/>
      <c r="S363" s="27" t="n"/>
      <c r="T363" s="27" t="n"/>
    </row>
    <row r="364" ht="13.8" customFormat="1" customHeight="1" s="70">
      <c r="M364" s="27" t="n"/>
      <c r="N364" s="27" t="n"/>
      <c r="O364" s="27" t="n"/>
      <c r="P364" s="27" t="n"/>
      <c r="Q364" s="27" t="n"/>
      <c r="R364" s="27" t="n"/>
      <c r="S364" s="27" t="n"/>
      <c r="T364" s="27" t="n"/>
    </row>
    <row r="365" ht="13.8" customFormat="1" customHeight="1" s="70">
      <c r="M365" s="27" t="n"/>
      <c r="N365" s="27" t="n"/>
      <c r="O365" s="27" t="n"/>
      <c r="P365" s="27" t="n"/>
      <c r="Q365" s="27" t="n"/>
      <c r="R365" s="27" t="n"/>
      <c r="S365" s="27" t="n"/>
      <c r="T365" s="27" t="n"/>
    </row>
    <row r="366" ht="13.8" customFormat="1" customHeight="1" s="70">
      <c r="M366" s="27" t="n"/>
      <c r="N366" s="27" t="n"/>
      <c r="O366" s="27" t="n"/>
      <c r="P366" s="27" t="n"/>
      <c r="Q366" s="27" t="n"/>
      <c r="R366" s="27" t="n"/>
      <c r="S366" s="27" t="n"/>
      <c r="T366" s="27" t="n"/>
    </row>
    <row r="367" ht="13.8" customFormat="1" customHeight="1" s="70">
      <c r="M367" s="27" t="n"/>
      <c r="N367" s="27" t="n"/>
      <c r="O367" s="27" t="n"/>
      <c r="P367" s="27" t="n"/>
      <c r="Q367" s="27" t="n"/>
      <c r="R367" s="27" t="n"/>
      <c r="S367" s="27" t="n"/>
      <c r="T367" s="27" t="n"/>
    </row>
    <row r="368" ht="13.8" customFormat="1" customHeight="1" s="70">
      <c r="M368" s="27" t="n"/>
      <c r="N368" s="27" t="n"/>
      <c r="O368" s="27" t="n"/>
      <c r="P368" s="27" t="n"/>
      <c r="Q368" s="27" t="n"/>
      <c r="R368" s="27" t="n"/>
      <c r="S368" s="27" t="n"/>
      <c r="T368" s="27" t="n"/>
    </row>
    <row r="369" ht="13.8" customFormat="1" customHeight="1" s="70">
      <c r="M369" s="27" t="n"/>
      <c r="N369" s="27" t="n"/>
      <c r="O369" s="27" t="n"/>
      <c r="P369" s="27" t="n"/>
      <c r="Q369" s="27" t="n"/>
      <c r="R369" s="27" t="n"/>
      <c r="S369" s="27" t="n"/>
      <c r="T369" s="27" t="n"/>
    </row>
    <row r="370" ht="13.8" customFormat="1" customHeight="1" s="70">
      <c r="M370" s="27" t="n"/>
      <c r="N370" s="27" t="n"/>
      <c r="O370" s="27" t="n"/>
      <c r="P370" s="27" t="n"/>
      <c r="Q370" s="27" t="n"/>
      <c r="R370" s="27" t="n"/>
      <c r="S370" s="27" t="n"/>
      <c r="T370" s="27" t="n"/>
    </row>
    <row r="371" ht="13.8" customFormat="1" customHeight="1" s="70">
      <c r="M371" s="27" t="n"/>
      <c r="N371" s="27" t="n"/>
      <c r="O371" s="27" t="n"/>
      <c r="P371" s="27" t="n"/>
      <c r="Q371" s="27" t="n"/>
      <c r="R371" s="27" t="n"/>
      <c r="S371" s="27" t="n"/>
      <c r="T371" s="27" t="n"/>
    </row>
    <row r="372" ht="13.8" customFormat="1" customHeight="1" s="70">
      <c r="M372" s="27" t="n"/>
      <c r="N372" s="27" t="n"/>
      <c r="O372" s="27" t="n"/>
      <c r="P372" s="27" t="n"/>
      <c r="Q372" s="27" t="n"/>
      <c r="R372" s="27" t="n"/>
      <c r="S372" s="27" t="n"/>
      <c r="T372" s="27" t="n"/>
    </row>
    <row r="373" ht="13.8" customFormat="1" customHeight="1" s="70">
      <c r="M373" s="27" t="n"/>
      <c r="N373" s="27" t="n"/>
      <c r="O373" s="27" t="n"/>
      <c r="P373" s="27" t="n"/>
      <c r="Q373" s="27" t="n"/>
      <c r="R373" s="27" t="n"/>
      <c r="S373" s="27" t="n"/>
      <c r="T373" s="27" t="n"/>
    </row>
    <row r="374" ht="13.8" customFormat="1" customHeight="1" s="70">
      <c r="M374" s="27" t="n"/>
      <c r="N374" s="27" t="n"/>
      <c r="O374" s="27" t="n"/>
      <c r="P374" s="27" t="n"/>
      <c r="Q374" s="27" t="n"/>
      <c r="R374" s="27" t="n"/>
      <c r="S374" s="27" t="n"/>
      <c r="T374" s="27" t="n"/>
    </row>
    <row r="375" ht="13.8" customFormat="1" customHeight="1" s="70">
      <c r="M375" s="27" t="n"/>
      <c r="N375" s="27" t="n"/>
      <c r="O375" s="27" t="n"/>
      <c r="P375" s="27" t="n"/>
      <c r="Q375" s="27" t="n"/>
      <c r="R375" s="27" t="n"/>
      <c r="S375" s="27" t="n"/>
      <c r="T375" s="27" t="n"/>
    </row>
    <row r="376" ht="13.8" customFormat="1" customHeight="1" s="70">
      <c r="M376" s="27" t="n"/>
      <c r="N376" s="27" t="n"/>
      <c r="O376" s="27" t="n"/>
      <c r="P376" s="27" t="n"/>
      <c r="Q376" s="27" t="n"/>
      <c r="R376" s="27" t="n"/>
      <c r="S376" s="27" t="n"/>
      <c r="T376" s="27" t="n"/>
    </row>
    <row r="377" ht="13.8" customFormat="1" customHeight="1" s="70">
      <c r="M377" s="27" t="n"/>
      <c r="N377" s="27" t="n"/>
      <c r="O377" s="27" t="n"/>
      <c r="P377" s="27" t="n"/>
      <c r="Q377" s="27" t="n"/>
      <c r="R377" s="27" t="n"/>
      <c r="S377" s="27" t="n"/>
      <c r="T377" s="27" t="n"/>
    </row>
    <row r="378" ht="13.8" customFormat="1" customHeight="1" s="70">
      <c r="M378" s="27" t="n"/>
      <c r="N378" s="27" t="n"/>
      <c r="O378" s="27" t="n"/>
      <c r="P378" s="27" t="n"/>
      <c r="Q378" s="27" t="n"/>
      <c r="R378" s="27" t="n"/>
      <c r="S378" s="27" t="n"/>
      <c r="T378" s="27" t="n"/>
    </row>
    <row r="379" ht="13.8" customFormat="1" customHeight="1" s="70">
      <c r="M379" s="27" t="n"/>
      <c r="N379" s="27" t="n"/>
      <c r="O379" s="27" t="n"/>
      <c r="P379" s="27" t="n"/>
      <c r="Q379" s="27" t="n"/>
      <c r="R379" s="27" t="n"/>
      <c r="S379" s="27" t="n"/>
      <c r="T379" s="27" t="n"/>
    </row>
    <row r="380" ht="13.8" customFormat="1" customHeight="1" s="70">
      <c r="M380" s="27" t="n"/>
      <c r="N380" s="27" t="n"/>
      <c r="O380" s="27" t="n"/>
      <c r="P380" s="27" t="n"/>
      <c r="Q380" s="27" t="n"/>
      <c r="R380" s="27" t="n"/>
      <c r="S380" s="27" t="n"/>
      <c r="T380" s="27" t="n"/>
    </row>
    <row r="381" ht="13.8" customFormat="1" customHeight="1" s="70">
      <c r="M381" s="27" t="n"/>
      <c r="N381" s="27" t="n"/>
      <c r="O381" s="27" t="n"/>
      <c r="P381" s="27" t="n"/>
      <c r="Q381" s="27" t="n"/>
      <c r="R381" s="27" t="n"/>
      <c r="S381" s="27" t="n"/>
      <c r="T381" s="27" t="n"/>
    </row>
    <row r="382" ht="13.8" customFormat="1" customHeight="1" s="70">
      <c r="M382" s="27" t="n"/>
      <c r="N382" s="27" t="n"/>
      <c r="O382" s="27" t="n"/>
      <c r="P382" s="27" t="n"/>
      <c r="Q382" s="27" t="n"/>
      <c r="R382" s="27" t="n"/>
      <c r="S382" s="27" t="n"/>
      <c r="T382" s="27" t="n"/>
    </row>
    <row r="383" ht="13.8" customFormat="1" customHeight="1" s="70">
      <c r="M383" s="27" t="n"/>
      <c r="N383" s="27" t="n"/>
      <c r="O383" s="27" t="n"/>
      <c r="P383" s="27" t="n"/>
      <c r="Q383" s="27" t="n"/>
      <c r="R383" s="27" t="n"/>
      <c r="S383" s="27" t="n"/>
      <c r="T383" s="27" t="n"/>
    </row>
    <row r="384" ht="13.8" customFormat="1" customHeight="1" s="70">
      <c r="M384" s="27" t="n"/>
      <c r="N384" s="27" t="n"/>
      <c r="O384" s="27" t="n"/>
      <c r="P384" s="27" t="n"/>
      <c r="Q384" s="27" t="n"/>
      <c r="R384" s="27" t="n"/>
      <c r="S384" s="27" t="n"/>
      <c r="T384" s="27" t="n"/>
    </row>
    <row r="385" ht="13.8" customFormat="1" customHeight="1" s="70">
      <c r="M385" s="27" t="n"/>
      <c r="N385" s="27" t="n"/>
      <c r="O385" s="27" t="n"/>
      <c r="P385" s="27" t="n"/>
      <c r="Q385" s="27" t="n"/>
      <c r="R385" s="27" t="n"/>
      <c r="S385" s="27" t="n"/>
      <c r="T385" s="27" t="n"/>
    </row>
    <row r="386" ht="13.8" customFormat="1" customHeight="1" s="70">
      <c r="M386" s="27" t="n"/>
      <c r="N386" s="27" t="n"/>
      <c r="O386" s="27" t="n"/>
      <c r="P386" s="27" t="n"/>
      <c r="Q386" s="27" t="n"/>
      <c r="R386" s="27" t="n"/>
      <c r="S386" s="27" t="n"/>
      <c r="T386" s="27" t="n"/>
    </row>
    <row r="387" ht="13.8" customFormat="1" customHeight="1" s="70">
      <c r="M387" s="27" t="n"/>
      <c r="N387" s="27" t="n"/>
      <c r="O387" s="27" t="n"/>
      <c r="P387" s="27" t="n"/>
      <c r="Q387" s="27" t="n"/>
      <c r="R387" s="27" t="n"/>
      <c r="S387" s="27" t="n"/>
      <c r="T387" s="27" t="n"/>
    </row>
    <row r="388" ht="13.8" customFormat="1" customHeight="1" s="70">
      <c r="M388" s="27" t="n"/>
      <c r="N388" s="27" t="n"/>
      <c r="O388" s="27" t="n"/>
      <c r="P388" s="27" t="n"/>
      <c r="Q388" s="27" t="n"/>
      <c r="R388" s="27" t="n"/>
      <c r="S388" s="27" t="n"/>
      <c r="T388" s="27" t="n"/>
    </row>
    <row r="389" ht="13.8" customFormat="1" customHeight="1" s="70">
      <c r="M389" s="27" t="n"/>
      <c r="N389" s="27" t="n"/>
      <c r="O389" s="27" t="n"/>
      <c r="P389" s="27" t="n"/>
      <c r="Q389" s="27" t="n"/>
      <c r="R389" s="27" t="n"/>
      <c r="S389" s="27" t="n"/>
      <c r="T389" s="27" t="n"/>
    </row>
    <row r="390" ht="13.8" customFormat="1" customHeight="1" s="70">
      <c r="M390" s="27" t="n"/>
      <c r="N390" s="27" t="n"/>
      <c r="O390" s="27" t="n"/>
      <c r="P390" s="27" t="n"/>
      <c r="Q390" s="27" t="n"/>
      <c r="R390" s="27" t="n"/>
      <c r="S390" s="27" t="n"/>
      <c r="T390" s="27" t="n"/>
    </row>
    <row r="391" ht="13.8" customFormat="1" customHeight="1" s="70">
      <c r="M391" s="27" t="n"/>
      <c r="N391" s="27" t="n"/>
      <c r="O391" s="27" t="n"/>
      <c r="P391" s="27" t="n"/>
      <c r="Q391" s="27" t="n"/>
      <c r="R391" s="27" t="n"/>
      <c r="S391" s="27" t="n"/>
      <c r="T391" s="27" t="n"/>
    </row>
    <row r="392" ht="13.8" customFormat="1" customHeight="1" s="70">
      <c r="M392" s="27" t="n"/>
      <c r="N392" s="27" t="n"/>
      <c r="O392" s="27" t="n"/>
      <c r="P392" s="27" t="n"/>
      <c r="Q392" s="27" t="n"/>
      <c r="R392" s="27" t="n"/>
      <c r="S392" s="27" t="n"/>
      <c r="T392" s="27" t="n"/>
    </row>
    <row r="393" ht="13.8" customFormat="1" customHeight="1" s="70">
      <c r="M393" s="27" t="n"/>
      <c r="N393" s="27" t="n"/>
      <c r="O393" s="27" t="n"/>
      <c r="P393" s="27" t="n"/>
      <c r="Q393" s="27" t="n"/>
      <c r="R393" s="27" t="n"/>
      <c r="S393" s="27" t="n"/>
      <c r="T393" s="27" t="n"/>
    </row>
    <row r="394" ht="13.8" customFormat="1" customHeight="1" s="70">
      <c r="M394" s="27" t="n"/>
      <c r="N394" s="27" t="n"/>
      <c r="O394" s="27" t="n"/>
      <c r="P394" s="27" t="n"/>
      <c r="Q394" s="27" t="n"/>
      <c r="R394" s="27" t="n"/>
      <c r="S394" s="27" t="n"/>
      <c r="T394" s="27" t="n"/>
    </row>
    <row r="395" ht="13.8" customFormat="1" customHeight="1" s="70">
      <c r="M395" s="27" t="n"/>
      <c r="N395" s="27" t="n"/>
      <c r="O395" s="27" t="n"/>
      <c r="P395" s="27" t="n"/>
      <c r="Q395" s="27" t="n"/>
      <c r="R395" s="27" t="n"/>
      <c r="S395" s="27" t="n"/>
      <c r="T395" s="27" t="n"/>
    </row>
    <row r="396" ht="13.8" customFormat="1" customHeight="1" s="70">
      <c r="M396" s="27" t="n"/>
      <c r="N396" s="27" t="n"/>
      <c r="O396" s="27" t="n"/>
      <c r="P396" s="27" t="n"/>
      <c r="Q396" s="27" t="n"/>
      <c r="R396" s="27" t="n"/>
      <c r="S396" s="27" t="n"/>
      <c r="T396" s="27" t="n"/>
    </row>
    <row r="397" ht="13.8" customFormat="1" customHeight="1" s="70">
      <c r="M397" s="27" t="n"/>
      <c r="N397" s="27" t="n"/>
      <c r="O397" s="27" t="n"/>
      <c r="P397" s="27" t="n"/>
      <c r="Q397" s="27" t="n"/>
      <c r="R397" s="27" t="n"/>
      <c r="S397" s="27" t="n"/>
      <c r="T397" s="27" t="n"/>
    </row>
    <row r="398" ht="13.8" customFormat="1" customHeight="1" s="70">
      <c r="M398" s="27" t="n"/>
      <c r="N398" s="27" t="n"/>
      <c r="O398" s="27" t="n"/>
      <c r="P398" s="27" t="n"/>
      <c r="Q398" s="27" t="n"/>
      <c r="R398" s="27" t="n"/>
      <c r="S398" s="27" t="n"/>
      <c r="T398" s="27" t="n"/>
    </row>
    <row r="399" ht="13.8" customFormat="1" customHeight="1" s="70">
      <c r="M399" s="27" t="n"/>
      <c r="N399" s="27" t="n"/>
      <c r="O399" s="27" t="n"/>
      <c r="P399" s="27" t="n"/>
      <c r="Q399" s="27" t="n"/>
      <c r="R399" s="27" t="n"/>
      <c r="S399" s="27" t="n"/>
      <c r="T399" s="27" t="n"/>
    </row>
    <row r="400" ht="13.8" customFormat="1" customHeight="1" s="70">
      <c r="M400" s="27" t="n"/>
      <c r="N400" s="27" t="n"/>
      <c r="O400" s="27" t="n"/>
      <c r="P400" s="27" t="n"/>
      <c r="Q400" s="27" t="n"/>
      <c r="R400" s="27" t="n"/>
      <c r="S400" s="27" t="n"/>
      <c r="T400" s="27" t="n"/>
    </row>
    <row r="401" ht="13.8" customFormat="1" customHeight="1" s="70">
      <c r="M401" s="27" t="n"/>
      <c r="N401" s="27" t="n"/>
      <c r="O401" s="27" t="n"/>
      <c r="P401" s="27" t="n"/>
      <c r="Q401" s="27" t="n"/>
      <c r="R401" s="27" t="n"/>
      <c r="S401" s="27" t="n"/>
      <c r="T401" s="27" t="n"/>
    </row>
    <row r="402" ht="13.8" customFormat="1" customHeight="1" s="70">
      <c r="M402" s="27" t="n"/>
      <c r="N402" s="27" t="n"/>
      <c r="O402" s="27" t="n"/>
      <c r="P402" s="27" t="n"/>
      <c r="Q402" s="27" t="n"/>
      <c r="R402" s="27" t="n"/>
      <c r="S402" s="27" t="n"/>
      <c r="T402" s="27" t="n"/>
    </row>
    <row r="403" ht="13.8" customFormat="1" customHeight="1" s="70">
      <c r="M403" s="27" t="n"/>
      <c r="N403" s="27" t="n"/>
      <c r="O403" s="27" t="n"/>
      <c r="P403" s="27" t="n"/>
      <c r="Q403" s="27" t="n"/>
      <c r="R403" s="27" t="n"/>
      <c r="S403" s="27" t="n"/>
      <c r="T403" s="27" t="n"/>
    </row>
    <row r="404" ht="13.8" customFormat="1" customHeight="1" s="70">
      <c r="M404" s="27" t="n"/>
      <c r="N404" s="27" t="n"/>
      <c r="O404" s="27" t="n"/>
      <c r="P404" s="27" t="n"/>
      <c r="Q404" s="27" t="n"/>
      <c r="R404" s="27" t="n"/>
      <c r="S404" s="27" t="n"/>
      <c r="T404" s="27" t="n"/>
    </row>
    <row r="405" ht="13.8" customFormat="1" customHeight="1" s="70">
      <c r="M405" s="27" t="n"/>
      <c r="N405" s="27" t="n"/>
      <c r="O405" s="27" t="n"/>
      <c r="P405" s="27" t="n"/>
      <c r="Q405" s="27" t="n"/>
      <c r="R405" s="27" t="n"/>
      <c r="S405" s="27" t="n"/>
      <c r="T405" s="27" t="n"/>
    </row>
    <row r="406" ht="13.8" customFormat="1" customHeight="1" s="70">
      <c r="M406" s="27" t="n"/>
      <c r="N406" s="27" t="n"/>
      <c r="O406" s="27" t="n"/>
      <c r="P406" s="27" t="n"/>
      <c r="Q406" s="27" t="n"/>
      <c r="R406" s="27" t="n"/>
      <c r="S406" s="27" t="n"/>
      <c r="T406" s="27" t="n"/>
    </row>
    <row r="407" ht="13.8" customFormat="1" customHeight="1" s="70">
      <c r="M407" s="27" t="n"/>
      <c r="N407" s="27" t="n"/>
      <c r="O407" s="27" t="n"/>
      <c r="P407" s="27" t="n"/>
      <c r="Q407" s="27" t="n"/>
      <c r="R407" s="27" t="n"/>
      <c r="S407" s="27" t="n"/>
      <c r="T407" s="27" t="n"/>
    </row>
    <row r="408" ht="13.8" customFormat="1" customHeight="1" s="70">
      <c r="M408" s="27" t="n"/>
      <c r="N408" s="27" t="n"/>
      <c r="O408" s="27" t="n"/>
      <c r="P408" s="27" t="n"/>
      <c r="Q408" s="27" t="n"/>
      <c r="R408" s="27" t="n"/>
      <c r="S408" s="27" t="n"/>
      <c r="T408" s="27" t="n"/>
    </row>
    <row r="409" ht="13.8" customFormat="1" customHeight="1" s="70">
      <c r="M409" s="27" t="n"/>
      <c r="N409" s="27" t="n"/>
      <c r="O409" s="27" t="n"/>
      <c r="P409" s="27" t="n"/>
      <c r="Q409" s="27" t="n"/>
      <c r="R409" s="27" t="n"/>
      <c r="S409" s="27" t="n"/>
      <c r="T409" s="27" t="n"/>
    </row>
    <row r="410" ht="13.8" customFormat="1" customHeight="1" s="70">
      <c r="M410" s="27" t="n"/>
      <c r="N410" s="27" t="n"/>
      <c r="O410" s="27" t="n"/>
      <c r="P410" s="27" t="n"/>
      <c r="Q410" s="27" t="n"/>
      <c r="R410" s="27" t="n"/>
      <c r="S410" s="27" t="n"/>
      <c r="T410" s="27" t="n"/>
    </row>
    <row r="411" ht="13.8" customFormat="1" customHeight="1" s="70">
      <c r="M411" s="27" t="n"/>
      <c r="N411" s="27" t="n"/>
      <c r="O411" s="27" t="n"/>
      <c r="P411" s="27" t="n"/>
      <c r="Q411" s="27" t="n"/>
      <c r="R411" s="27" t="n"/>
      <c r="S411" s="27" t="n"/>
      <c r="T411" s="27" t="n"/>
    </row>
    <row r="412" ht="13.8" customFormat="1" customHeight="1" s="70">
      <c r="M412" s="27" t="n"/>
      <c r="N412" s="27" t="n"/>
      <c r="O412" s="27" t="n"/>
      <c r="P412" s="27" t="n"/>
      <c r="Q412" s="27" t="n"/>
      <c r="R412" s="27" t="n"/>
      <c r="S412" s="27" t="n"/>
      <c r="T412" s="27" t="n"/>
    </row>
    <row r="413" ht="13.8" customFormat="1" customHeight="1" s="70">
      <c r="M413" s="27" t="n"/>
      <c r="N413" s="27" t="n"/>
      <c r="O413" s="27" t="n"/>
      <c r="P413" s="27" t="n"/>
      <c r="Q413" s="27" t="n"/>
      <c r="R413" s="27" t="n"/>
      <c r="S413" s="27" t="n"/>
      <c r="T413" s="27" t="n"/>
    </row>
    <row r="414" ht="13.8" customFormat="1" customHeight="1" s="70">
      <c r="M414" s="27" t="n"/>
      <c r="N414" s="27" t="n"/>
      <c r="O414" s="27" t="n"/>
      <c r="P414" s="27" t="n"/>
      <c r="Q414" s="27" t="n"/>
      <c r="R414" s="27" t="n"/>
      <c r="S414" s="27" t="n"/>
      <c r="T414" s="27" t="n"/>
    </row>
    <row r="415" ht="13.8" customFormat="1" customHeight="1" s="70">
      <c r="M415" s="27" t="n"/>
      <c r="N415" s="27" t="n"/>
      <c r="O415" s="27" t="n"/>
      <c r="P415" s="27" t="n"/>
      <c r="Q415" s="27" t="n"/>
      <c r="R415" s="27" t="n"/>
      <c r="S415" s="27" t="n"/>
      <c r="T415" s="27" t="n"/>
    </row>
    <row r="416" ht="13.8" customFormat="1" customHeight="1" s="70">
      <c r="M416" s="27" t="n"/>
      <c r="N416" s="27" t="n"/>
      <c r="O416" s="27" t="n"/>
      <c r="P416" s="27" t="n"/>
      <c r="Q416" s="27" t="n"/>
      <c r="R416" s="27" t="n"/>
      <c r="S416" s="27" t="n"/>
      <c r="T416" s="27" t="n"/>
    </row>
    <row r="417" ht="13.8" customFormat="1" customHeight="1" s="70">
      <c r="M417" s="27" t="n"/>
      <c r="N417" s="27" t="n"/>
      <c r="O417" s="27" t="n"/>
      <c r="P417" s="27" t="n"/>
      <c r="Q417" s="27" t="n"/>
      <c r="R417" s="27" t="n"/>
      <c r="S417" s="27" t="n"/>
      <c r="T417" s="27" t="n"/>
    </row>
    <row r="418" ht="13.8" customFormat="1" customHeight="1" s="70">
      <c r="M418" s="27" t="n"/>
      <c r="N418" s="27" t="n"/>
      <c r="O418" s="27" t="n"/>
      <c r="P418" s="27" t="n"/>
      <c r="Q418" s="27" t="n"/>
      <c r="R418" s="27" t="n"/>
      <c r="S418" s="27" t="n"/>
      <c r="T418" s="27" t="n"/>
    </row>
    <row r="419" ht="13.8" customFormat="1" customHeight="1" s="70">
      <c r="M419" s="27" t="n"/>
      <c r="N419" s="27" t="n"/>
      <c r="O419" s="27" t="n"/>
      <c r="P419" s="27" t="n"/>
      <c r="Q419" s="27" t="n"/>
      <c r="R419" s="27" t="n"/>
      <c r="S419" s="27" t="n"/>
      <c r="T419" s="27" t="n"/>
    </row>
    <row r="420" ht="13.8" customFormat="1" customHeight="1" s="70">
      <c r="M420" s="27" t="n"/>
      <c r="N420" s="27" t="n"/>
      <c r="O420" s="27" t="n"/>
      <c r="P420" s="27" t="n"/>
      <c r="Q420" s="27" t="n"/>
      <c r="R420" s="27" t="n"/>
      <c r="S420" s="27" t="n"/>
      <c r="T420" s="27" t="n"/>
    </row>
    <row r="421" ht="13.8" customFormat="1" customHeight="1" s="70">
      <c r="M421" s="27" t="n"/>
      <c r="N421" s="27" t="n"/>
      <c r="O421" s="27" t="n"/>
      <c r="P421" s="27" t="n"/>
      <c r="Q421" s="27" t="n"/>
      <c r="R421" s="27" t="n"/>
      <c r="S421" s="27" t="n"/>
      <c r="T421" s="27" t="n"/>
    </row>
    <row r="422" ht="13.8" customFormat="1" customHeight="1" s="70">
      <c r="M422" s="27" t="n"/>
      <c r="N422" s="27" t="n"/>
      <c r="O422" s="27" t="n"/>
      <c r="P422" s="27" t="n"/>
      <c r="Q422" s="27" t="n"/>
      <c r="R422" s="27" t="n"/>
      <c r="S422" s="27" t="n"/>
      <c r="T422" s="27" t="n"/>
    </row>
    <row r="423" ht="13.8" customFormat="1" customHeight="1" s="70">
      <c r="M423" s="27" t="n"/>
      <c r="N423" s="27" t="n"/>
      <c r="O423" s="27" t="n"/>
      <c r="P423" s="27" t="n"/>
      <c r="Q423" s="27" t="n"/>
      <c r="R423" s="27" t="n"/>
      <c r="S423" s="27" t="n"/>
      <c r="T423" s="27" t="n"/>
    </row>
    <row r="424" ht="13.8" customFormat="1" customHeight="1" s="70">
      <c r="M424" s="27" t="n"/>
      <c r="N424" s="27" t="n"/>
      <c r="O424" s="27" t="n"/>
      <c r="P424" s="27" t="n"/>
      <c r="Q424" s="27" t="n"/>
      <c r="R424" s="27" t="n"/>
      <c r="S424" s="27" t="n"/>
      <c r="T424" s="27" t="n"/>
    </row>
    <row r="425" ht="13.8" customFormat="1" customHeight="1" s="70">
      <c r="M425" s="27" t="n"/>
      <c r="N425" s="27" t="n"/>
      <c r="O425" s="27" t="n"/>
      <c r="P425" s="27" t="n"/>
      <c r="Q425" s="27" t="n"/>
      <c r="R425" s="27" t="n"/>
      <c r="S425" s="27" t="n"/>
      <c r="T425" s="27" t="n"/>
    </row>
    <row r="426" ht="13.8" customFormat="1" customHeight="1" s="70">
      <c r="M426" s="27" t="n"/>
      <c r="N426" s="27" t="n"/>
      <c r="O426" s="27" t="n"/>
      <c r="P426" s="27" t="n"/>
      <c r="Q426" s="27" t="n"/>
      <c r="R426" s="27" t="n"/>
      <c r="S426" s="27" t="n"/>
      <c r="T426" s="27" t="n"/>
    </row>
    <row r="427" ht="13.8" customFormat="1" customHeight="1" s="70">
      <c r="M427" s="27" t="n"/>
      <c r="N427" s="27" t="n"/>
      <c r="O427" s="27" t="n"/>
      <c r="P427" s="27" t="n"/>
      <c r="Q427" s="27" t="n"/>
      <c r="R427" s="27" t="n"/>
      <c r="S427" s="27" t="n"/>
      <c r="T427" s="27" t="n"/>
    </row>
    <row r="428" ht="13.8" customFormat="1" customHeight="1" s="70">
      <c r="M428" s="27" t="n"/>
      <c r="N428" s="27" t="n"/>
      <c r="O428" s="27" t="n"/>
      <c r="P428" s="27" t="n"/>
      <c r="Q428" s="27" t="n"/>
      <c r="R428" s="27" t="n"/>
      <c r="S428" s="27" t="n"/>
      <c r="T428" s="27" t="n"/>
    </row>
    <row r="429" ht="13.8" customFormat="1" customHeight="1" s="70">
      <c r="M429" s="27" t="n"/>
      <c r="N429" s="27" t="n"/>
      <c r="O429" s="27" t="n"/>
      <c r="P429" s="27" t="n"/>
      <c r="Q429" s="27" t="n"/>
      <c r="R429" s="27" t="n"/>
      <c r="S429" s="27" t="n"/>
      <c r="T429" s="27" t="n"/>
    </row>
    <row r="430" ht="13.8" customFormat="1" customHeight="1" s="70">
      <c r="M430" s="27" t="n"/>
      <c r="N430" s="27" t="n"/>
      <c r="O430" s="27" t="n"/>
      <c r="P430" s="27" t="n"/>
      <c r="Q430" s="27" t="n"/>
      <c r="R430" s="27" t="n"/>
      <c r="S430" s="27" t="n"/>
      <c r="T430" s="27" t="n"/>
    </row>
    <row r="431" ht="13.8" customFormat="1" customHeight="1" s="70">
      <c r="M431" s="27" t="n"/>
      <c r="N431" s="27" t="n"/>
      <c r="O431" s="27" t="n"/>
      <c r="P431" s="27" t="n"/>
      <c r="Q431" s="27" t="n"/>
      <c r="R431" s="27" t="n"/>
      <c r="S431" s="27" t="n"/>
      <c r="T431" s="27" t="n"/>
    </row>
    <row r="432" ht="13.8" customFormat="1" customHeight="1" s="70">
      <c r="M432" s="27" t="n"/>
      <c r="N432" s="27" t="n"/>
      <c r="O432" s="27" t="n"/>
      <c r="P432" s="27" t="n"/>
      <c r="Q432" s="27" t="n"/>
      <c r="R432" s="27" t="n"/>
      <c r="S432" s="27" t="n"/>
      <c r="T432" s="27" t="n"/>
    </row>
    <row r="433" ht="13.8" customFormat="1" customHeight="1" s="70">
      <c r="M433" s="27" t="n"/>
      <c r="N433" s="27" t="n"/>
      <c r="O433" s="27" t="n"/>
      <c r="P433" s="27" t="n"/>
      <c r="Q433" s="27" t="n"/>
      <c r="R433" s="27" t="n"/>
      <c r="S433" s="27" t="n"/>
      <c r="T433" s="27" t="n"/>
    </row>
    <row r="434" ht="13.8" customFormat="1" customHeight="1" s="70">
      <c r="M434" s="27" t="n"/>
      <c r="N434" s="27" t="n"/>
      <c r="O434" s="27" t="n"/>
      <c r="P434" s="27" t="n"/>
      <c r="Q434" s="27" t="n"/>
      <c r="R434" s="27" t="n"/>
      <c r="S434" s="27" t="n"/>
      <c r="T434" s="27" t="n"/>
    </row>
    <row r="435" ht="13.8" customFormat="1" customHeight="1" s="70">
      <c r="M435" s="27" t="n"/>
      <c r="N435" s="27" t="n"/>
      <c r="O435" s="27" t="n"/>
      <c r="P435" s="27" t="n"/>
      <c r="Q435" s="27" t="n"/>
      <c r="R435" s="27" t="n"/>
      <c r="S435" s="27" t="n"/>
      <c r="T435" s="27" t="n"/>
    </row>
    <row r="436" ht="13.8" customFormat="1" customHeight="1" s="70">
      <c r="M436" s="27" t="n"/>
      <c r="N436" s="27" t="n"/>
      <c r="O436" s="27" t="n"/>
      <c r="P436" s="27" t="n"/>
      <c r="Q436" s="27" t="n"/>
      <c r="R436" s="27" t="n"/>
      <c r="S436" s="27" t="n"/>
      <c r="T436" s="27" t="n"/>
    </row>
    <row r="437" ht="13.8" customFormat="1" customHeight="1" s="70">
      <c r="M437" s="27" t="n"/>
      <c r="N437" s="27" t="n"/>
      <c r="O437" s="27" t="n"/>
      <c r="P437" s="27" t="n"/>
      <c r="Q437" s="27" t="n"/>
      <c r="R437" s="27" t="n"/>
      <c r="S437" s="27" t="n"/>
      <c r="T437" s="27" t="n"/>
    </row>
    <row r="438" ht="13.8" customFormat="1" customHeight="1" s="70">
      <c r="M438" s="27" t="n"/>
      <c r="N438" s="27" t="n"/>
      <c r="O438" s="27" t="n"/>
      <c r="P438" s="27" t="n"/>
      <c r="Q438" s="27" t="n"/>
      <c r="R438" s="27" t="n"/>
      <c r="S438" s="27" t="n"/>
      <c r="T438" s="27" t="n"/>
    </row>
    <row r="439" ht="13.8" customFormat="1" customHeight="1" s="70">
      <c r="M439" s="27" t="n"/>
      <c r="N439" s="27" t="n"/>
      <c r="O439" s="27" t="n"/>
      <c r="P439" s="27" t="n"/>
      <c r="Q439" s="27" t="n"/>
      <c r="R439" s="27" t="n"/>
      <c r="S439" s="27" t="n"/>
      <c r="T439" s="27" t="n"/>
    </row>
    <row r="440" ht="13.8" customFormat="1" customHeight="1" s="70">
      <c r="M440" s="27" t="n"/>
      <c r="N440" s="27" t="n"/>
      <c r="O440" s="27" t="n"/>
      <c r="P440" s="27" t="n"/>
      <c r="Q440" s="27" t="n"/>
      <c r="R440" s="27" t="n"/>
      <c r="S440" s="27" t="n"/>
      <c r="T440" s="27" t="n"/>
    </row>
    <row r="441" ht="13.8" customFormat="1" customHeight="1" s="70">
      <c r="M441" s="27" t="n"/>
      <c r="N441" s="27" t="n"/>
      <c r="O441" s="27" t="n"/>
      <c r="P441" s="27" t="n"/>
      <c r="Q441" s="27" t="n"/>
      <c r="R441" s="27" t="n"/>
      <c r="S441" s="27" t="n"/>
      <c r="T441" s="27" t="n"/>
    </row>
    <row r="442" ht="13.8" customFormat="1" customHeight="1" s="70">
      <c r="M442" s="27" t="n"/>
      <c r="N442" s="27" t="n"/>
      <c r="O442" s="27" t="n"/>
      <c r="P442" s="27" t="n"/>
      <c r="Q442" s="27" t="n"/>
      <c r="R442" s="27" t="n"/>
      <c r="S442" s="27" t="n"/>
      <c r="T442" s="27" t="n"/>
    </row>
    <row r="443" ht="13.8" customFormat="1" customHeight="1" s="70">
      <c r="M443" s="27" t="n"/>
      <c r="N443" s="27" t="n"/>
      <c r="O443" s="27" t="n"/>
      <c r="P443" s="27" t="n"/>
      <c r="Q443" s="27" t="n"/>
      <c r="R443" s="27" t="n"/>
      <c r="S443" s="27" t="n"/>
      <c r="T443" s="27" t="n"/>
    </row>
    <row r="444" ht="13.8" customFormat="1" customHeight="1" s="70">
      <c r="M444" s="27" t="n"/>
      <c r="N444" s="27" t="n"/>
      <c r="O444" s="27" t="n"/>
      <c r="P444" s="27" t="n"/>
      <c r="Q444" s="27" t="n"/>
      <c r="R444" s="27" t="n"/>
      <c r="S444" s="27" t="n"/>
      <c r="T444" s="27" t="n"/>
    </row>
    <row r="445" ht="13.8" customFormat="1" customHeight="1" s="70">
      <c r="M445" s="27" t="n"/>
      <c r="N445" s="27" t="n"/>
      <c r="O445" s="27" t="n"/>
      <c r="P445" s="27" t="n"/>
      <c r="Q445" s="27" t="n"/>
      <c r="R445" s="27" t="n"/>
      <c r="S445" s="27" t="n"/>
      <c r="T445" s="27" t="n"/>
    </row>
    <row r="446" ht="13.8" customFormat="1" customHeight="1" s="70">
      <c r="M446" s="27" t="n"/>
      <c r="N446" s="27" t="n"/>
      <c r="O446" s="27" t="n"/>
      <c r="P446" s="27" t="n"/>
      <c r="Q446" s="27" t="n"/>
      <c r="R446" s="27" t="n"/>
      <c r="S446" s="27" t="n"/>
      <c r="T446" s="27" t="n"/>
    </row>
    <row r="447" ht="13.8" customFormat="1" customHeight="1" s="70">
      <c r="M447" s="27" t="n"/>
      <c r="N447" s="27" t="n"/>
      <c r="O447" s="27" t="n"/>
      <c r="P447" s="27" t="n"/>
      <c r="Q447" s="27" t="n"/>
      <c r="R447" s="27" t="n"/>
      <c r="S447" s="27" t="n"/>
      <c r="T447" s="27" t="n"/>
    </row>
    <row r="448" ht="13.8" customFormat="1" customHeight="1" s="70">
      <c r="M448" s="27" t="n"/>
      <c r="N448" s="27" t="n"/>
      <c r="O448" s="27" t="n"/>
      <c r="P448" s="27" t="n"/>
      <c r="Q448" s="27" t="n"/>
      <c r="R448" s="27" t="n"/>
      <c r="S448" s="27" t="n"/>
      <c r="T448" s="27" t="n"/>
    </row>
    <row r="449" ht="13.8" customFormat="1" customHeight="1" s="70">
      <c r="M449" s="27" t="n"/>
      <c r="N449" s="27" t="n"/>
      <c r="O449" s="27" t="n"/>
      <c r="P449" s="27" t="n"/>
      <c r="Q449" s="27" t="n"/>
      <c r="R449" s="27" t="n"/>
      <c r="S449" s="27" t="n"/>
      <c r="T449" s="27" t="n"/>
    </row>
    <row r="450" ht="13.8" customFormat="1" customHeight="1" s="70">
      <c r="M450" s="27" t="n"/>
      <c r="N450" s="27" t="n"/>
      <c r="O450" s="27" t="n"/>
      <c r="P450" s="27" t="n"/>
      <c r="Q450" s="27" t="n"/>
      <c r="R450" s="27" t="n"/>
      <c r="S450" s="27" t="n"/>
      <c r="T450" s="27" t="n"/>
    </row>
    <row r="451" ht="13.8" customFormat="1" customHeight="1" s="70">
      <c r="M451" s="27" t="n"/>
      <c r="N451" s="27" t="n"/>
      <c r="O451" s="27" t="n"/>
      <c r="P451" s="27" t="n"/>
      <c r="Q451" s="27" t="n"/>
      <c r="R451" s="27" t="n"/>
      <c r="S451" s="27" t="n"/>
      <c r="T451" s="27" t="n"/>
    </row>
    <row r="452" ht="13.8" customFormat="1" customHeight="1" s="70">
      <c r="M452" s="27" t="n"/>
      <c r="N452" s="27" t="n"/>
      <c r="O452" s="27" t="n"/>
      <c r="P452" s="27" t="n"/>
      <c r="Q452" s="27" t="n"/>
      <c r="R452" s="27" t="n"/>
      <c r="S452" s="27" t="n"/>
      <c r="T452" s="27" t="n"/>
    </row>
    <row r="453" ht="13.8" customFormat="1" customHeight="1" s="70">
      <c r="M453" s="27" t="n"/>
      <c r="N453" s="27" t="n"/>
      <c r="O453" s="27" t="n"/>
      <c r="P453" s="27" t="n"/>
      <c r="Q453" s="27" t="n"/>
      <c r="R453" s="27" t="n"/>
      <c r="S453" s="27" t="n"/>
      <c r="T453" s="27" t="n"/>
    </row>
    <row r="454" ht="13.8" customFormat="1" customHeight="1" s="70">
      <c r="M454" s="27" t="n"/>
      <c r="N454" s="27" t="n"/>
      <c r="O454" s="27" t="n"/>
      <c r="P454" s="27" t="n"/>
      <c r="Q454" s="27" t="n"/>
      <c r="R454" s="27" t="n"/>
      <c r="S454" s="27" t="n"/>
      <c r="T454" s="27" t="n"/>
    </row>
    <row r="455" ht="13.8" customFormat="1" customHeight="1" s="70">
      <c r="M455" s="27" t="n"/>
      <c r="N455" s="27" t="n"/>
      <c r="O455" s="27" t="n"/>
      <c r="P455" s="27" t="n"/>
      <c r="Q455" s="27" t="n"/>
      <c r="R455" s="27" t="n"/>
      <c r="S455" s="27" t="n"/>
      <c r="T455" s="27" t="n"/>
    </row>
    <row r="456" ht="13.8" customFormat="1" customHeight="1" s="70">
      <c r="M456" s="27" t="n"/>
      <c r="N456" s="27" t="n"/>
      <c r="O456" s="27" t="n"/>
      <c r="P456" s="27" t="n"/>
      <c r="Q456" s="27" t="n"/>
      <c r="R456" s="27" t="n"/>
      <c r="S456" s="27" t="n"/>
      <c r="T456" s="27" t="n"/>
    </row>
    <row r="457" ht="13.8" customFormat="1" customHeight="1" s="70">
      <c r="M457" s="27" t="n"/>
      <c r="N457" s="27" t="n"/>
      <c r="O457" s="27" t="n"/>
      <c r="P457" s="27" t="n"/>
      <c r="Q457" s="27" t="n"/>
      <c r="R457" s="27" t="n"/>
      <c r="S457" s="27" t="n"/>
      <c r="T457" s="27" t="n"/>
    </row>
    <row r="458" ht="13.8" customFormat="1" customHeight="1" s="70">
      <c r="M458" s="27" t="n"/>
      <c r="N458" s="27" t="n"/>
      <c r="O458" s="27" t="n"/>
      <c r="P458" s="27" t="n"/>
      <c r="Q458" s="27" t="n"/>
      <c r="R458" s="27" t="n"/>
      <c r="S458" s="27" t="n"/>
      <c r="T458" s="27" t="n"/>
    </row>
    <row r="459" ht="13.8" customFormat="1" customHeight="1" s="70">
      <c r="M459" s="27" t="n"/>
      <c r="N459" s="27" t="n"/>
      <c r="O459" s="27" t="n"/>
      <c r="P459" s="27" t="n"/>
      <c r="Q459" s="27" t="n"/>
      <c r="R459" s="27" t="n"/>
      <c r="S459" s="27" t="n"/>
      <c r="T459" s="27" t="n"/>
    </row>
    <row r="460" ht="13.8" customFormat="1" customHeight="1" s="70">
      <c r="M460" s="27" t="n"/>
      <c r="N460" s="27" t="n"/>
      <c r="O460" s="27" t="n"/>
      <c r="P460" s="27" t="n"/>
      <c r="Q460" s="27" t="n"/>
      <c r="R460" s="27" t="n"/>
      <c r="S460" s="27" t="n"/>
      <c r="T460" s="27" t="n"/>
    </row>
    <row r="461" ht="13.8" customFormat="1" customHeight="1" s="70">
      <c r="M461" s="27" t="n"/>
      <c r="N461" s="27" t="n"/>
      <c r="O461" s="27" t="n"/>
      <c r="P461" s="27" t="n"/>
      <c r="Q461" s="27" t="n"/>
      <c r="R461" s="27" t="n"/>
      <c r="S461" s="27" t="n"/>
      <c r="T461" s="27" t="n"/>
    </row>
    <row r="462" ht="13.8" customFormat="1" customHeight="1" s="70">
      <c r="M462" s="27" t="n"/>
      <c r="N462" s="27" t="n"/>
      <c r="O462" s="27" t="n"/>
      <c r="P462" s="27" t="n"/>
      <c r="Q462" s="27" t="n"/>
      <c r="R462" s="27" t="n"/>
      <c r="S462" s="27" t="n"/>
      <c r="T462" s="27" t="n"/>
    </row>
    <row r="463" ht="13.8" customFormat="1" customHeight="1" s="70">
      <c r="M463" s="27" t="n"/>
      <c r="N463" s="27" t="n"/>
      <c r="O463" s="27" t="n"/>
      <c r="P463" s="27" t="n"/>
      <c r="Q463" s="27" t="n"/>
      <c r="R463" s="27" t="n"/>
      <c r="S463" s="27" t="n"/>
      <c r="T463" s="27" t="n"/>
    </row>
    <row r="464" ht="13.8" customFormat="1" customHeight="1" s="70">
      <c r="M464" s="27" t="n"/>
      <c r="N464" s="27" t="n"/>
      <c r="O464" s="27" t="n"/>
      <c r="P464" s="27" t="n"/>
      <c r="Q464" s="27" t="n"/>
      <c r="R464" s="27" t="n"/>
      <c r="S464" s="27" t="n"/>
      <c r="T464" s="27" t="n"/>
    </row>
    <row r="465" ht="13.8" customFormat="1" customHeight="1" s="70">
      <c r="M465" s="27" t="n"/>
      <c r="N465" s="27" t="n"/>
      <c r="O465" s="27" t="n"/>
      <c r="P465" s="27" t="n"/>
      <c r="Q465" s="27" t="n"/>
      <c r="R465" s="27" t="n"/>
      <c r="S465" s="27" t="n"/>
      <c r="T465" s="27" t="n"/>
    </row>
    <row r="466" ht="13.8" customFormat="1" customHeight="1" s="70">
      <c r="M466" s="27" t="n"/>
      <c r="N466" s="27" t="n"/>
      <c r="O466" s="27" t="n"/>
      <c r="P466" s="27" t="n"/>
      <c r="Q466" s="27" t="n"/>
      <c r="R466" s="27" t="n"/>
      <c r="S466" s="27" t="n"/>
      <c r="T466" s="27" t="n"/>
    </row>
    <row r="467" ht="13.8" customFormat="1" customHeight="1" s="70">
      <c r="M467" s="27" t="n"/>
      <c r="N467" s="27" t="n"/>
      <c r="O467" s="27" t="n"/>
      <c r="P467" s="27" t="n"/>
      <c r="Q467" s="27" t="n"/>
      <c r="R467" s="27" t="n"/>
      <c r="S467" s="27" t="n"/>
      <c r="T467" s="27" t="n"/>
    </row>
    <row r="468" ht="13.8" customFormat="1" customHeight="1" s="70">
      <c r="M468" s="27" t="n"/>
      <c r="N468" s="27" t="n"/>
      <c r="O468" s="27" t="n"/>
      <c r="P468" s="27" t="n"/>
      <c r="Q468" s="27" t="n"/>
      <c r="R468" s="27" t="n"/>
      <c r="S468" s="27" t="n"/>
      <c r="T468" s="27" t="n"/>
    </row>
    <row r="469" ht="13.8" customFormat="1" customHeight="1" s="70">
      <c r="M469" s="27" t="n"/>
      <c r="N469" s="27" t="n"/>
      <c r="O469" s="27" t="n"/>
      <c r="P469" s="27" t="n"/>
      <c r="Q469" s="27" t="n"/>
      <c r="R469" s="27" t="n"/>
      <c r="S469" s="27" t="n"/>
      <c r="T469" s="27" t="n"/>
    </row>
    <row r="470" ht="13.8" customFormat="1" customHeight="1" s="70">
      <c r="M470" s="27" t="n"/>
      <c r="N470" s="27" t="n"/>
      <c r="O470" s="27" t="n"/>
      <c r="P470" s="27" t="n"/>
      <c r="Q470" s="27" t="n"/>
      <c r="R470" s="27" t="n"/>
      <c r="S470" s="27" t="n"/>
      <c r="T470" s="27" t="n"/>
    </row>
    <row r="471" ht="13.8" customFormat="1" customHeight="1" s="70">
      <c r="M471" s="27" t="n"/>
      <c r="N471" s="27" t="n"/>
      <c r="O471" s="27" t="n"/>
      <c r="P471" s="27" t="n"/>
      <c r="Q471" s="27" t="n"/>
      <c r="R471" s="27" t="n"/>
      <c r="S471" s="27" t="n"/>
      <c r="T471" s="27" t="n"/>
    </row>
    <row r="472" ht="13.8" customFormat="1" customHeight="1" s="70">
      <c r="M472" s="27" t="n"/>
      <c r="N472" s="27" t="n"/>
      <c r="O472" s="27" t="n"/>
      <c r="P472" s="27" t="n"/>
      <c r="Q472" s="27" t="n"/>
      <c r="R472" s="27" t="n"/>
      <c r="S472" s="27" t="n"/>
      <c r="T472" s="27" t="n"/>
    </row>
    <row r="473" ht="13.8" customFormat="1" customHeight="1" s="70">
      <c r="M473" s="27" t="n"/>
      <c r="N473" s="27" t="n"/>
      <c r="O473" s="27" t="n"/>
      <c r="P473" s="27" t="n"/>
      <c r="Q473" s="27" t="n"/>
      <c r="R473" s="27" t="n"/>
      <c r="S473" s="27" t="n"/>
      <c r="T473" s="27" t="n"/>
    </row>
    <row r="474" ht="13.8" customFormat="1" customHeight="1" s="70">
      <c r="M474" s="27" t="n"/>
      <c r="N474" s="27" t="n"/>
      <c r="O474" s="27" t="n"/>
      <c r="P474" s="27" t="n"/>
      <c r="Q474" s="27" t="n"/>
      <c r="R474" s="27" t="n"/>
      <c r="S474" s="27" t="n"/>
      <c r="T474" s="27" t="n"/>
    </row>
    <row r="475" ht="13.8" customFormat="1" customHeight="1" s="70">
      <c r="M475" s="27" t="n"/>
      <c r="N475" s="27" t="n"/>
      <c r="O475" s="27" t="n"/>
      <c r="P475" s="27" t="n"/>
      <c r="Q475" s="27" t="n"/>
      <c r="R475" s="27" t="n"/>
      <c r="S475" s="27" t="n"/>
      <c r="T475" s="27" t="n"/>
    </row>
    <row r="476" ht="13.8" customFormat="1" customHeight="1" s="70">
      <c r="M476" s="27" t="n"/>
      <c r="N476" s="27" t="n"/>
      <c r="O476" s="27" t="n"/>
      <c r="P476" s="27" t="n"/>
      <c r="Q476" s="27" t="n"/>
      <c r="R476" s="27" t="n"/>
      <c r="S476" s="27" t="n"/>
      <c r="T476" s="27" t="n"/>
    </row>
    <row r="477" ht="13.8" customFormat="1" customHeight="1" s="70">
      <c r="M477" s="27" t="n"/>
      <c r="N477" s="27" t="n"/>
      <c r="O477" s="27" t="n"/>
      <c r="P477" s="27" t="n"/>
      <c r="Q477" s="27" t="n"/>
      <c r="R477" s="27" t="n"/>
      <c r="S477" s="27" t="n"/>
      <c r="T477" s="27" t="n"/>
    </row>
    <row r="478" ht="13.8" customFormat="1" customHeight="1" s="70">
      <c r="M478" s="27" t="n"/>
      <c r="N478" s="27" t="n"/>
      <c r="O478" s="27" t="n"/>
      <c r="P478" s="27" t="n"/>
      <c r="Q478" s="27" t="n"/>
      <c r="R478" s="27" t="n"/>
      <c r="S478" s="27" t="n"/>
      <c r="T478" s="27" t="n"/>
    </row>
    <row r="479" ht="13.8" customFormat="1" customHeight="1" s="70">
      <c r="M479" s="27" t="n"/>
      <c r="N479" s="27" t="n"/>
      <c r="O479" s="27" t="n"/>
      <c r="P479" s="27" t="n"/>
      <c r="Q479" s="27" t="n"/>
      <c r="R479" s="27" t="n"/>
      <c r="S479" s="27" t="n"/>
      <c r="T479" s="27" t="n"/>
    </row>
    <row r="480" ht="13.8" customFormat="1" customHeight="1" s="70">
      <c r="M480" s="27" t="n"/>
      <c r="N480" s="27" t="n"/>
      <c r="O480" s="27" t="n"/>
      <c r="P480" s="27" t="n"/>
      <c r="Q480" s="27" t="n"/>
      <c r="R480" s="27" t="n"/>
      <c r="S480" s="27" t="n"/>
      <c r="T480" s="27" t="n"/>
    </row>
    <row r="481" ht="13.8" customFormat="1" customHeight="1" s="70">
      <c r="M481" s="27" t="n"/>
      <c r="N481" s="27" t="n"/>
      <c r="O481" s="27" t="n"/>
      <c r="P481" s="27" t="n"/>
      <c r="Q481" s="27" t="n"/>
      <c r="R481" s="27" t="n"/>
      <c r="S481" s="27" t="n"/>
      <c r="T481" s="27" t="n"/>
    </row>
    <row r="482" ht="13.8" customFormat="1" customHeight="1" s="70">
      <c r="M482" s="27" t="n"/>
      <c r="N482" s="27" t="n"/>
      <c r="O482" s="27" t="n"/>
      <c r="P482" s="27" t="n"/>
      <c r="Q482" s="27" t="n"/>
      <c r="R482" s="27" t="n"/>
      <c r="S482" s="27" t="n"/>
      <c r="T482" s="27" t="n"/>
    </row>
    <row r="483" ht="13.8" customFormat="1" customHeight="1" s="70">
      <c r="M483" s="27" t="n"/>
      <c r="N483" s="27" t="n"/>
      <c r="O483" s="27" t="n"/>
      <c r="P483" s="27" t="n"/>
      <c r="Q483" s="27" t="n"/>
      <c r="R483" s="27" t="n"/>
      <c r="S483" s="27" t="n"/>
      <c r="T483" s="27" t="n"/>
    </row>
    <row r="484" ht="13.8" customFormat="1" customHeight="1" s="70">
      <c r="M484" s="27" t="n"/>
      <c r="N484" s="27" t="n"/>
      <c r="O484" s="27" t="n"/>
      <c r="P484" s="27" t="n"/>
      <c r="Q484" s="27" t="n"/>
      <c r="R484" s="27" t="n"/>
      <c r="S484" s="27" t="n"/>
      <c r="T484" s="27" t="n"/>
    </row>
    <row r="485" ht="13.8" customFormat="1" customHeight="1" s="70">
      <c r="M485" s="27" t="n"/>
      <c r="N485" s="27" t="n"/>
      <c r="O485" s="27" t="n"/>
      <c r="P485" s="27" t="n"/>
      <c r="Q485" s="27" t="n"/>
      <c r="R485" s="27" t="n"/>
      <c r="S485" s="27" t="n"/>
      <c r="T485" s="27" t="n"/>
    </row>
    <row r="486" ht="13.8" customFormat="1" customHeight="1" s="70">
      <c r="M486" s="27" t="n"/>
      <c r="N486" s="27" t="n"/>
      <c r="O486" s="27" t="n"/>
      <c r="P486" s="27" t="n"/>
      <c r="Q486" s="27" t="n"/>
      <c r="R486" s="27" t="n"/>
      <c r="S486" s="27" t="n"/>
      <c r="T486" s="27" t="n"/>
    </row>
    <row r="487" ht="13.8" customFormat="1" customHeight="1" s="70">
      <c r="M487" s="27" t="n"/>
      <c r="N487" s="27" t="n"/>
      <c r="O487" s="27" t="n"/>
      <c r="P487" s="27" t="n"/>
      <c r="Q487" s="27" t="n"/>
      <c r="R487" s="27" t="n"/>
      <c r="S487" s="27" t="n"/>
      <c r="T487" s="27" t="n"/>
    </row>
    <row r="488" ht="13.8" customFormat="1" customHeight="1" s="70">
      <c r="M488" s="27" t="n"/>
      <c r="N488" s="27" t="n"/>
      <c r="O488" s="27" t="n"/>
      <c r="P488" s="27" t="n"/>
      <c r="Q488" s="27" t="n"/>
      <c r="R488" s="27" t="n"/>
      <c r="S488" s="27" t="n"/>
      <c r="T488" s="27" t="n"/>
    </row>
    <row r="489" ht="13.8" customFormat="1" customHeight="1" s="70">
      <c r="M489" s="27" t="n"/>
      <c r="N489" s="27" t="n"/>
      <c r="O489" s="27" t="n"/>
      <c r="P489" s="27" t="n"/>
      <c r="Q489" s="27" t="n"/>
      <c r="R489" s="27" t="n"/>
      <c r="S489" s="27" t="n"/>
      <c r="T489" s="27" t="n"/>
    </row>
    <row r="490" ht="13.8" customFormat="1" customHeight="1" s="70">
      <c r="M490" s="27" t="n"/>
      <c r="N490" s="27" t="n"/>
      <c r="O490" s="27" t="n"/>
      <c r="P490" s="27" t="n"/>
      <c r="Q490" s="27" t="n"/>
      <c r="R490" s="27" t="n"/>
      <c r="S490" s="27" t="n"/>
      <c r="T490" s="27" t="n"/>
    </row>
    <row r="491" ht="13.8" customFormat="1" customHeight="1" s="70">
      <c r="M491" s="27" t="n"/>
      <c r="N491" s="27" t="n"/>
      <c r="O491" s="27" t="n"/>
      <c r="P491" s="27" t="n"/>
      <c r="Q491" s="27" t="n"/>
      <c r="R491" s="27" t="n"/>
      <c r="S491" s="27" t="n"/>
      <c r="T491" s="27" t="n"/>
    </row>
    <row r="492" ht="13.8" customFormat="1" customHeight="1" s="70">
      <c r="M492" s="27" t="n"/>
      <c r="N492" s="27" t="n"/>
      <c r="O492" s="27" t="n"/>
      <c r="P492" s="27" t="n"/>
      <c r="Q492" s="27" t="n"/>
      <c r="R492" s="27" t="n"/>
      <c r="S492" s="27" t="n"/>
      <c r="T492" s="27" t="n"/>
    </row>
    <row r="493" ht="13.8" customFormat="1" customHeight="1" s="70">
      <c r="M493" s="27" t="n"/>
      <c r="N493" s="27" t="n"/>
      <c r="O493" s="27" t="n"/>
      <c r="P493" s="27" t="n"/>
      <c r="Q493" s="27" t="n"/>
      <c r="R493" s="27" t="n"/>
      <c r="S493" s="27" t="n"/>
      <c r="T493" s="27" t="n"/>
    </row>
    <row r="494" ht="13.8" customFormat="1" customHeight="1" s="70">
      <c r="M494" s="27" t="n"/>
      <c r="N494" s="27" t="n"/>
      <c r="O494" s="27" t="n"/>
      <c r="P494" s="27" t="n"/>
      <c r="Q494" s="27" t="n"/>
      <c r="R494" s="27" t="n"/>
      <c r="S494" s="27" t="n"/>
      <c r="T494" s="27" t="n"/>
    </row>
    <row r="495" ht="13.8" customFormat="1" customHeight="1" s="70">
      <c r="M495" s="27" t="n"/>
      <c r="N495" s="27" t="n"/>
      <c r="O495" s="27" t="n"/>
      <c r="P495" s="27" t="n"/>
      <c r="Q495" s="27" t="n"/>
      <c r="R495" s="27" t="n"/>
      <c r="S495" s="27" t="n"/>
      <c r="T495" s="27" t="n"/>
    </row>
    <row r="496" ht="13.8" customFormat="1" customHeight="1" s="70">
      <c r="M496" s="27" t="n"/>
      <c r="N496" s="27" t="n"/>
      <c r="O496" s="27" t="n"/>
      <c r="P496" s="27" t="n"/>
      <c r="Q496" s="27" t="n"/>
      <c r="R496" s="27" t="n"/>
      <c r="S496" s="27" t="n"/>
      <c r="T496" s="27" t="n"/>
    </row>
    <row r="497" ht="13.8" customFormat="1" customHeight="1" s="70">
      <c r="M497" s="27" t="n"/>
      <c r="N497" s="27" t="n"/>
      <c r="O497" s="27" t="n"/>
      <c r="P497" s="27" t="n"/>
      <c r="Q497" s="27" t="n"/>
      <c r="R497" s="27" t="n"/>
      <c r="S497" s="27" t="n"/>
      <c r="T497" s="27" t="n"/>
    </row>
    <row r="498" ht="13.8" customFormat="1" customHeight="1" s="70">
      <c r="M498" s="27" t="n"/>
      <c r="N498" s="27" t="n"/>
      <c r="O498" s="27" t="n"/>
      <c r="P498" s="27" t="n"/>
      <c r="Q498" s="27" t="n"/>
      <c r="R498" s="27" t="n"/>
      <c r="S498" s="27" t="n"/>
      <c r="T498" s="27" t="n"/>
    </row>
    <row r="499" ht="13.8" customFormat="1" customHeight="1" s="70">
      <c r="M499" s="27" t="n"/>
      <c r="N499" s="27" t="n"/>
      <c r="O499" s="27" t="n"/>
      <c r="P499" s="27" t="n"/>
      <c r="Q499" s="27" t="n"/>
      <c r="R499" s="27" t="n"/>
      <c r="S499" s="27" t="n"/>
      <c r="T499" s="27" t="n"/>
    </row>
    <row r="500" ht="13.8" customFormat="1" customHeight="1" s="70">
      <c r="M500" s="27" t="n"/>
      <c r="N500" s="27" t="n"/>
      <c r="O500" s="27" t="n"/>
      <c r="P500" s="27" t="n"/>
      <c r="Q500" s="27" t="n"/>
      <c r="R500" s="27" t="n"/>
      <c r="S500" s="27" t="n"/>
      <c r="T500" s="27" t="n"/>
    </row>
    <row r="501" ht="13.8" customFormat="1" customHeight="1" s="70">
      <c r="M501" s="27" t="n"/>
      <c r="N501" s="27" t="n"/>
      <c r="O501" s="27" t="n"/>
      <c r="P501" s="27" t="n"/>
      <c r="Q501" s="27" t="n"/>
      <c r="R501" s="27" t="n"/>
      <c r="S501" s="27" t="n"/>
      <c r="T501" s="27" t="n"/>
    </row>
    <row r="502" ht="13.8" customFormat="1" customHeight="1" s="70">
      <c r="M502" s="27" t="n"/>
      <c r="N502" s="27" t="n"/>
      <c r="O502" s="27" t="n"/>
      <c r="P502" s="27" t="n"/>
      <c r="Q502" s="27" t="n"/>
      <c r="R502" s="27" t="n"/>
      <c r="S502" s="27" t="n"/>
      <c r="T502" s="27" t="n"/>
    </row>
    <row r="503" ht="13.8" customFormat="1" customHeight="1" s="70">
      <c r="M503" s="27" t="n"/>
      <c r="N503" s="27" t="n"/>
      <c r="O503" s="27" t="n"/>
      <c r="P503" s="27" t="n"/>
      <c r="Q503" s="27" t="n"/>
      <c r="R503" s="27" t="n"/>
      <c r="S503" s="27" t="n"/>
      <c r="T503" s="27" t="n"/>
    </row>
    <row r="504" ht="13.8" customFormat="1" customHeight="1" s="70">
      <c r="M504" s="27" t="n"/>
      <c r="N504" s="27" t="n"/>
      <c r="O504" s="27" t="n"/>
      <c r="P504" s="27" t="n"/>
      <c r="Q504" s="27" t="n"/>
      <c r="R504" s="27" t="n"/>
      <c r="S504" s="27" t="n"/>
      <c r="T504" s="27" t="n"/>
    </row>
    <row r="505" ht="13.8" customFormat="1" customHeight="1" s="70">
      <c r="M505" s="27" t="n"/>
      <c r="N505" s="27" t="n"/>
      <c r="O505" s="27" t="n"/>
      <c r="P505" s="27" t="n"/>
      <c r="Q505" s="27" t="n"/>
      <c r="R505" s="27" t="n"/>
      <c r="S505" s="27" t="n"/>
      <c r="T505" s="27" t="n"/>
    </row>
    <row r="506" ht="13.8" customFormat="1" customHeight="1" s="70">
      <c r="M506" s="27" t="n"/>
      <c r="N506" s="27" t="n"/>
      <c r="O506" s="27" t="n"/>
      <c r="P506" s="27" t="n"/>
      <c r="Q506" s="27" t="n"/>
      <c r="R506" s="27" t="n"/>
      <c r="S506" s="27" t="n"/>
      <c r="T506" s="27" t="n"/>
    </row>
    <row r="507" ht="13.8" customFormat="1" customHeight="1" s="70">
      <c r="M507" s="27" t="n"/>
      <c r="N507" s="27" t="n"/>
      <c r="O507" s="27" t="n"/>
      <c r="P507" s="27" t="n"/>
      <c r="Q507" s="27" t="n"/>
      <c r="R507" s="27" t="n"/>
      <c r="S507" s="27" t="n"/>
      <c r="T507" s="27" t="n"/>
    </row>
    <row r="508" ht="13.8" customFormat="1" customHeight="1" s="70">
      <c r="M508" s="27" t="n"/>
      <c r="N508" s="27" t="n"/>
      <c r="O508" s="27" t="n"/>
      <c r="P508" s="27" t="n"/>
      <c r="Q508" s="27" t="n"/>
      <c r="R508" s="27" t="n"/>
      <c r="S508" s="27" t="n"/>
      <c r="T508" s="27" t="n"/>
    </row>
    <row r="509" ht="13.8" customFormat="1" customHeight="1" s="70">
      <c r="M509" s="27" t="n"/>
      <c r="N509" s="27" t="n"/>
      <c r="O509" s="27" t="n"/>
      <c r="P509" s="27" t="n"/>
      <c r="Q509" s="27" t="n"/>
      <c r="R509" s="27" t="n"/>
      <c r="S509" s="27" t="n"/>
      <c r="T509" s="27" t="n"/>
    </row>
    <row r="510" ht="13.8" customFormat="1" customHeight="1" s="70">
      <c r="M510" s="27" t="n"/>
      <c r="N510" s="27" t="n"/>
      <c r="O510" s="27" t="n"/>
      <c r="P510" s="27" t="n"/>
      <c r="Q510" s="27" t="n"/>
      <c r="R510" s="27" t="n"/>
      <c r="S510" s="27" t="n"/>
      <c r="T510" s="27" t="n"/>
    </row>
    <row r="511" ht="13.8" customFormat="1" customHeight="1" s="70">
      <c r="M511" s="27" t="n"/>
      <c r="N511" s="27" t="n"/>
      <c r="O511" s="27" t="n"/>
      <c r="P511" s="27" t="n"/>
      <c r="Q511" s="27" t="n"/>
      <c r="R511" s="27" t="n"/>
      <c r="S511" s="27" t="n"/>
      <c r="T511" s="27" t="n"/>
    </row>
    <row r="512" ht="13.8" customFormat="1" customHeight="1" s="70">
      <c r="M512" s="27" t="n"/>
      <c r="N512" s="27" t="n"/>
      <c r="O512" s="27" t="n"/>
      <c r="P512" s="27" t="n"/>
      <c r="Q512" s="27" t="n"/>
      <c r="R512" s="27" t="n"/>
      <c r="S512" s="27" t="n"/>
      <c r="T512" s="27" t="n"/>
    </row>
    <row r="513" ht="13.8" customFormat="1" customHeight="1" s="70">
      <c r="M513" s="27" t="n"/>
      <c r="N513" s="27" t="n"/>
      <c r="O513" s="27" t="n"/>
      <c r="P513" s="27" t="n"/>
      <c r="Q513" s="27" t="n"/>
      <c r="R513" s="27" t="n"/>
      <c r="S513" s="27" t="n"/>
      <c r="T513" s="27" t="n"/>
    </row>
    <row r="514" ht="13.8" customFormat="1" customHeight="1" s="70">
      <c r="M514" s="27" t="n"/>
      <c r="N514" s="27" t="n"/>
      <c r="O514" s="27" t="n"/>
      <c r="P514" s="27" t="n"/>
      <c r="Q514" s="27" t="n"/>
      <c r="R514" s="27" t="n"/>
      <c r="S514" s="27" t="n"/>
      <c r="T514" s="27" t="n"/>
    </row>
    <row r="515" ht="13.8" customFormat="1" customHeight="1" s="70">
      <c r="M515" s="27" t="n"/>
      <c r="N515" s="27" t="n"/>
      <c r="O515" s="27" t="n"/>
      <c r="P515" s="27" t="n"/>
      <c r="Q515" s="27" t="n"/>
      <c r="R515" s="27" t="n"/>
      <c r="S515" s="27" t="n"/>
      <c r="T515" s="27" t="n"/>
    </row>
    <row r="516" ht="13.8" customFormat="1" customHeight="1" s="70">
      <c r="M516" s="27" t="n"/>
      <c r="N516" s="27" t="n"/>
      <c r="O516" s="27" t="n"/>
      <c r="P516" s="27" t="n"/>
      <c r="Q516" s="27" t="n"/>
      <c r="R516" s="27" t="n"/>
      <c r="S516" s="27" t="n"/>
      <c r="T516" s="27" t="n"/>
    </row>
    <row r="517" ht="13.8" customFormat="1" customHeight="1" s="70">
      <c r="M517" s="27" t="n"/>
      <c r="N517" s="27" t="n"/>
      <c r="O517" s="27" t="n"/>
      <c r="P517" s="27" t="n"/>
      <c r="Q517" s="27" t="n"/>
      <c r="R517" s="27" t="n"/>
      <c r="S517" s="27" t="n"/>
      <c r="T517" s="27" t="n"/>
    </row>
    <row r="518" ht="13.8" customFormat="1" customHeight="1" s="70">
      <c r="M518" s="27" t="n"/>
      <c r="N518" s="27" t="n"/>
      <c r="O518" s="27" t="n"/>
      <c r="P518" s="27" t="n"/>
      <c r="Q518" s="27" t="n"/>
      <c r="R518" s="27" t="n"/>
      <c r="S518" s="27" t="n"/>
      <c r="T518" s="27" t="n"/>
    </row>
    <row r="519" ht="13.8" customFormat="1" customHeight="1" s="70">
      <c r="M519" s="27" t="n"/>
      <c r="N519" s="27" t="n"/>
      <c r="O519" s="27" t="n"/>
      <c r="P519" s="27" t="n"/>
      <c r="Q519" s="27" t="n"/>
      <c r="R519" s="27" t="n"/>
      <c r="S519" s="27" t="n"/>
      <c r="T519" s="27" t="n"/>
    </row>
    <row r="520" ht="13.8" customFormat="1" customHeight="1" s="70">
      <c r="M520" s="27" t="n"/>
      <c r="N520" s="27" t="n"/>
      <c r="O520" s="27" t="n"/>
      <c r="P520" s="27" t="n"/>
      <c r="Q520" s="27" t="n"/>
      <c r="R520" s="27" t="n"/>
      <c r="S520" s="27" t="n"/>
      <c r="T520" s="27" t="n"/>
    </row>
    <row r="521" ht="13.8" customFormat="1" customHeight="1" s="70">
      <c r="M521" s="27" t="n"/>
      <c r="N521" s="27" t="n"/>
      <c r="O521" s="27" t="n"/>
      <c r="P521" s="27" t="n"/>
      <c r="Q521" s="27" t="n"/>
      <c r="R521" s="27" t="n"/>
      <c r="S521" s="27" t="n"/>
      <c r="T521" s="27" t="n"/>
    </row>
    <row r="522" ht="13.8" customFormat="1" customHeight="1" s="70">
      <c r="M522" s="27" t="n"/>
      <c r="N522" s="27" t="n"/>
      <c r="O522" s="27" t="n"/>
      <c r="P522" s="27" t="n"/>
      <c r="Q522" s="27" t="n"/>
      <c r="R522" s="27" t="n"/>
      <c r="S522" s="27" t="n"/>
      <c r="T522" s="27" t="n"/>
    </row>
    <row r="523" ht="13.8" customFormat="1" customHeight="1" s="70">
      <c r="M523" s="27" t="n"/>
      <c r="N523" s="27" t="n"/>
      <c r="O523" s="27" t="n"/>
      <c r="P523" s="27" t="n"/>
      <c r="Q523" s="27" t="n"/>
      <c r="R523" s="27" t="n"/>
      <c r="S523" s="27" t="n"/>
      <c r="T523" s="27" t="n"/>
    </row>
    <row r="524" ht="13.8" customFormat="1" customHeight="1" s="70">
      <c r="M524" s="27" t="n"/>
      <c r="N524" s="27" t="n"/>
      <c r="O524" s="27" t="n"/>
      <c r="P524" s="27" t="n"/>
      <c r="Q524" s="27" t="n"/>
      <c r="R524" s="27" t="n"/>
      <c r="S524" s="27" t="n"/>
      <c r="T524" s="27" t="n"/>
    </row>
    <row r="525" ht="13.8" customFormat="1" customHeight="1" s="70">
      <c r="M525" s="27" t="n"/>
      <c r="N525" s="27" t="n"/>
      <c r="O525" s="27" t="n"/>
      <c r="P525" s="27" t="n"/>
      <c r="Q525" s="27" t="n"/>
      <c r="R525" s="27" t="n"/>
      <c r="S525" s="27" t="n"/>
      <c r="T525" s="27" t="n"/>
    </row>
    <row r="526" ht="13.8" customFormat="1" customHeight="1" s="70">
      <c r="M526" s="27" t="n"/>
      <c r="N526" s="27" t="n"/>
      <c r="O526" s="27" t="n"/>
      <c r="P526" s="27" t="n"/>
      <c r="Q526" s="27" t="n"/>
      <c r="R526" s="27" t="n"/>
      <c r="S526" s="27" t="n"/>
      <c r="T526" s="27" t="n"/>
    </row>
    <row r="527" ht="13.8" customFormat="1" customHeight="1" s="70">
      <c r="M527" s="27" t="n"/>
      <c r="N527" s="27" t="n"/>
      <c r="O527" s="27" t="n"/>
      <c r="P527" s="27" t="n"/>
      <c r="Q527" s="27" t="n"/>
      <c r="R527" s="27" t="n"/>
      <c r="S527" s="27" t="n"/>
      <c r="T527" s="27" t="n"/>
    </row>
    <row r="528" ht="13.8" customFormat="1" customHeight="1" s="70">
      <c r="M528" s="27" t="n"/>
      <c r="N528" s="27" t="n"/>
      <c r="O528" s="27" t="n"/>
      <c r="P528" s="27" t="n"/>
      <c r="Q528" s="27" t="n"/>
      <c r="R528" s="27" t="n"/>
      <c r="S528" s="27" t="n"/>
      <c r="T528" s="27" t="n"/>
    </row>
    <row r="529" ht="13.8" customFormat="1" customHeight="1" s="70">
      <c r="M529" s="27" t="n"/>
      <c r="N529" s="27" t="n"/>
      <c r="O529" s="27" t="n"/>
      <c r="P529" s="27" t="n"/>
      <c r="Q529" s="27" t="n"/>
      <c r="R529" s="27" t="n"/>
      <c r="S529" s="27" t="n"/>
      <c r="T529" s="27" t="n"/>
    </row>
    <row r="530" ht="13.8" customFormat="1" customHeight="1" s="70">
      <c r="M530" s="27" t="n"/>
      <c r="N530" s="27" t="n"/>
      <c r="O530" s="27" t="n"/>
      <c r="P530" s="27" t="n"/>
      <c r="Q530" s="27" t="n"/>
      <c r="R530" s="27" t="n"/>
      <c r="S530" s="27" t="n"/>
      <c r="T530" s="27" t="n"/>
    </row>
    <row r="531" ht="13.8" customFormat="1" customHeight="1" s="70">
      <c r="M531" s="27" t="n"/>
      <c r="N531" s="27" t="n"/>
      <c r="O531" s="27" t="n"/>
      <c r="P531" s="27" t="n"/>
      <c r="Q531" s="27" t="n"/>
      <c r="R531" s="27" t="n"/>
      <c r="S531" s="27" t="n"/>
      <c r="T531" s="27" t="n"/>
    </row>
    <row r="532" ht="13.8" customFormat="1" customHeight="1" s="70">
      <c r="M532" s="27" t="n"/>
      <c r="N532" s="27" t="n"/>
      <c r="O532" s="27" t="n"/>
      <c r="P532" s="27" t="n"/>
      <c r="Q532" s="27" t="n"/>
      <c r="R532" s="27" t="n"/>
      <c r="S532" s="27" t="n"/>
      <c r="T532" s="27" t="n"/>
    </row>
    <row r="533" ht="13.8" customFormat="1" customHeight="1" s="70">
      <c r="M533" s="27" t="n"/>
      <c r="N533" s="27" t="n"/>
      <c r="O533" s="27" t="n"/>
      <c r="P533" s="27" t="n"/>
      <c r="Q533" s="27" t="n"/>
      <c r="R533" s="27" t="n"/>
      <c r="S533" s="27" t="n"/>
      <c r="T533" s="27" t="n"/>
    </row>
    <row r="534" ht="13.8" customFormat="1" customHeight="1" s="70">
      <c r="M534" s="27" t="n"/>
      <c r="N534" s="27" t="n"/>
      <c r="O534" s="27" t="n"/>
      <c r="P534" s="27" t="n"/>
      <c r="Q534" s="27" t="n"/>
      <c r="R534" s="27" t="n"/>
      <c r="S534" s="27" t="n"/>
      <c r="T534" s="27" t="n"/>
    </row>
    <row r="535" ht="13.8" customFormat="1" customHeight="1" s="70">
      <c r="M535" s="27" t="n"/>
      <c r="N535" s="27" t="n"/>
      <c r="O535" s="27" t="n"/>
      <c r="P535" s="27" t="n"/>
      <c r="Q535" s="27" t="n"/>
      <c r="R535" s="27" t="n"/>
      <c r="S535" s="27" t="n"/>
      <c r="T535" s="27" t="n"/>
    </row>
    <row r="536" ht="13.8" customFormat="1" customHeight="1" s="70">
      <c r="M536" s="27" t="n"/>
      <c r="N536" s="27" t="n"/>
      <c r="O536" s="27" t="n"/>
      <c r="P536" s="27" t="n"/>
      <c r="Q536" s="27" t="n"/>
      <c r="R536" s="27" t="n"/>
      <c r="S536" s="27" t="n"/>
      <c r="T536" s="27" t="n"/>
    </row>
    <row r="537" ht="13.8" customFormat="1" customHeight="1" s="70">
      <c r="M537" s="27" t="n"/>
      <c r="N537" s="27" t="n"/>
      <c r="O537" s="27" t="n"/>
      <c r="P537" s="27" t="n"/>
      <c r="Q537" s="27" t="n"/>
      <c r="R537" s="27" t="n"/>
      <c r="S537" s="27" t="n"/>
      <c r="T537" s="27" t="n"/>
    </row>
    <row r="538" ht="13.8" customFormat="1" customHeight="1" s="70">
      <c r="M538" s="27" t="n"/>
      <c r="N538" s="27" t="n"/>
      <c r="O538" s="27" t="n"/>
      <c r="P538" s="27" t="n"/>
      <c r="Q538" s="27" t="n"/>
      <c r="R538" s="27" t="n"/>
      <c r="S538" s="27" t="n"/>
      <c r="T538" s="27" t="n"/>
    </row>
    <row r="539" ht="13.8" customFormat="1" customHeight="1" s="70">
      <c r="M539" s="27" t="n"/>
      <c r="N539" s="27" t="n"/>
      <c r="O539" s="27" t="n"/>
      <c r="P539" s="27" t="n"/>
      <c r="Q539" s="27" t="n"/>
      <c r="R539" s="27" t="n"/>
      <c r="S539" s="27" t="n"/>
      <c r="T539" s="27" t="n"/>
    </row>
    <row r="540" ht="13.8" customFormat="1" customHeight="1" s="70">
      <c r="M540" s="27" t="n"/>
      <c r="N540" s="27" t="n"/>
      <c r="O540" s="27" t="n"/>
      <c r="P540" s="27" t="n"/>
      <c r="Q540" s="27" t="n"/>
      <c r="R540" s="27" t="n"/>
      <c r="S540" s="27" t="n"/>
      <c r="T540" s="27" t="n"/>
    </row>
    <row r="541" ht="13.8" customFormat="1" customHeight="1" s="70">
      <c r="M541" s="27" t="n"/>
      <c r="N541" s="27" t="n"/>
      <c r="O541" s="27" t="n"/>
      <c r="P541" s="27" t="n"/>
      <c r="Q541" s="27" t="n"/>
      <c r="R541" s="27" t="n"/>
      <c r="S541" s="27" t="n"/>
      <c r="T541" s="27" t="n"/>
    </row>
    <row r="542" ht="13.8" customFormat="1" customHeight="1" s="70">
      <c r="M542" s="27" t="n"/>
      <c r="N542" s="27" t="n"/>
      <c r="O542" s="27" t="n"/>
      <c r="P542" s="27" t="n"/>
      <c r="Q542" s="27" t="n"/>
      <c r="R542" s="27" t="n"/>
      <c r="S542" s="27" t="n"/>
      <c r="T542" s="27" t="n"/>
    </row>
    <row r="543" ht="13.8" customFormat="1" customHeight="1" s="70">
      <c r="M543" s="27" t="n"/>
      <c r="N543" s="27" t="n"/>
      <c r="O543" s="27" t="n"/>
      <c r="P543" s="27" t="n"/>
      <c r="Q543" s="27" t="n"/>
      <c r="R543" s="27" t="n"/>
      <c r="S543" s="27" t="n"/>
      <c r="T543" s="27" t="n"/>
    </row>
    <row r="544" ht="13.8" customFormat="1" customHeight="1" s="70">
      <c r="M544" s="27" t="n"/>
      <c r="N544" s="27" t="n"/>
      <c r="O544" s="27" t="n"/>
      <c r="P544" s="27" t="n"/>
      <c r="Q544" s="27" t="n"/>
      <c r="R544" s="27" t="n"/>
      <c r="S544" s="27" t="n"/>
      <c r="T544" s="27" t="n"/>
    </row>
    <row r="545" ht="13.8" customFormat="1" customHeight="1" s="70">
      <c r="M545" s="27" t="n"/>
      <c r="N545" s="27" t="n"/>
      <c r="O545" s="27" t="n"/>
      <c r="P545" s="27" t="n"/>
      <c r="Q545" s="27" t="n"/>
      <c r="R545" s="27" t="n"/>
      <c r="S545" s="27" t="n"/>
      <c r="T545" s="27" t="n"/>
    </row>
    <row r="546" ht="13.8" customFormat="1" customHeight="1" s="70">
      <c r="M546" s="27" t="n"/>
      <c r="N546" s="27" t="n"/>
      <c r="O546" s="27" t="n"/>
      <c r="P546" s="27" t="n"/>
      <c r="Q546" s="27" t="n"/>
      <c r="R546" s="27" t="n"/>
      <c r="S546" s="27" t="n"/>
      <c r="T546" s="27" t="n"/>
    </row>
    <row r="547" ht="13.8" customFormat="1" customHeight="1" s="70">
      <c r="M547" s="27" t="n"/>
      <c r="N547" s="27" t="n"/>
      <c r="O547" s="27" t="n"/>
      <c r="P547" s="27" t="n"/>
      <c r="Q547" s="27" t="n"/>
      <c r="R547" s="27" t="n"/>
      <c r="S547" s="27" t="n"/>
      <c r="T547" s="27" t="n"/>
    </row>
    <row r="548" ht="13.8" customFormat="1" customHeight="1" s="70">
      <c r="M548" s="27" t="n"/>
      <c r="N548" s="27" t="n"/>
      <c r="O548" s="27" t="n"/>
      <c r="P548" s="27" t="n"/>
      <c r="Q548" s="27" t="n"/>
      <c r="R548" s="27" t="n"/>
      <c r="S548" s="27" t="n"/>
      <c r="T548" s="27" t="n"/>
    </row>
    <row r="549" ht="13.8" customFormat="1" customHeight="1" s="70">
      <c r="M549" s="27" t="n"/>
      <c r="N549" s="27" t="n"/>
      <c r="O549" s="27" t="n"/>
      <c r="P549" s="27" t="n"/>
      <c r="Q549" s="27" t="n"/>
      <c r="R549" s="27" t="n"/>
      <c r="S549" s="27" t="n"/>
      <c r="T549" s="27" t="n"/>
    </row>
    <row r="550" ht="13.8" customFormat="1" customHeight="1" s="70">
      <c r="M550" s="27" t="n"/>
      <c r="N550" s="27" t="n"/>
      <c r="O550" s="27" t="n"/>
      <c r="P550" s="27" t="n"/>
      <c r="Q550" s="27" t="n"/>
      <c r="R550" s="27" t="n"/>
      <c r="S550" s="27" t="n"/>
      <c r="T550" s="27" t="n"/>
    </row>
    <row r="551" ht="13.8" customFormat="1" customHeight="1" s="70">
      <c r="M551" s="27" t="n"/>
      <c r="N551" s="27" t="n"/>
      <c r="O551" s="27" t="n"/>
      <c r="P551" s="27" t="n"/>
      <c r="Q551" s="27" t="n"/>
      <c r="R551" s="27" t="n"/>
      <c r="S551" s="27" t="n"/>
      <c r="T551" s="27" t="n"/>
    </row>
    <row r="552" ht="13.8" customFormat="1" customHeight="1" s="70">
      <c r="M552" s="27" t="n"/>
      <c r="N552" s="27" t="n"/>
      <c r="O552" s="27" t="n"/>
      <c r="P552" s="27" t="n"/>
      <c r="Q552" s="27" t="n"/>
      <c r="R552" s="27" t="n"/>
      <c r="S552" s="27" t="n"/>
      <c r="T552" s="27" t="n"/>
    </row>
    <row r="553" ht="13.8" customFormat="1" customHeight="1" s="70">
      <c r="M553" s="27" t="n"/>
      <c r="N553" s="27" t="n"/>
      <c r="O553" s="27" t="n"/>
      <c r="P553" s="27" t="n"/>
      <c r="Q553" s="27" t="n"/>
      <c r="R553" s="27" t="n"/>
      <c r="S553" s="27" t="n"/>
      <c r="T553" s="27" t="n"/>
    </row>
    <row r="554" ht="13.8" customFormat="1" customHeight="1" s="70">
      <c r="M554" s="27" t="n"/>
      <c r="N554" s="27" t="n"/>
      <c r="O554" s="27" t="n"/>
      <c r="P554" s="27" t="n"/>
      <c r="Q554" s="27" t="n"/>
      <c r="R554" s="27" t="n"/>
      <c r="S554" s="27" t="n"/>
      <c r="T554" s="27" t="n"/>
    </row>
    <row r="555" ht="13.8" customFormat="1" customHeight="1" s="70">
      <c r="M555" s="27" t="n"/>
      <c r="N555" s="27" t="n"/>
      <c r="O555" s="27" t="n"/>
      <c r="P555" s="27" t="n"/>
      <c r="Q555" s="27" t="n"/>
      <c r="R555" s="27" t="n"/>
      <c r="S555" s="27" t="n"/>
      <c r="T555" s="27" t="n"/>
    </row>
    <row r="556" ht="13.8" customFormat="1" customHeight="1" s="70">
      <c r="M556" s="27" t="n"/>
      <c r="N556" s="27" t="n"/>
      <c r="O556" s="27" t="n"/>
      <c r="P556" s="27" t="n"/>
      <c r="Q556" s="27" t="n"/>
      <c r="R556" s="27" t="n"/>
      <c r="S556" s="27" t="n"/>
      <c r="T556" s="27" t="n"/>
    </row>
    <row r="557" ht="13.8" customFormat="1" customHeight="1" s="70">
      <c r="M557" s="27" t="n"/>
      <c r="N557" s="27" t="n"/>
      <c r="O557" s="27" t="n"/>
      <c r="P557" s="27" t="n"/>
      <c r="Q557" s="27" t="n"/>
      <c r="R557" s="27" t="n"/>
      <c r="S557" s="27" t="n"/>
      <c r="T557" s="27" t="n"/>
    </row>
    <row r="558" ht="13.8" customFormat="1" customHeight="1" s="70">
      <c r="M558" s="27" t="n"/>
      <c r="N558" s="27" t="n"/>
      <c r="O558" s="27" t="n"/>
      <c r="P558" s="27" t="n"/>
      <c r="Q558" s="27" t="n"/>
      <c r="R558" s="27" t="n"/>
      <c r="S558" s="27" t="n"/>
      <c r="T558" s="27" t="n"/>
    </row>
    <row r="559" ht="13.8" customFormat="1" customHeight="1" s="70">
      <c r="M559" s="27" t="n"/>
      <c r="N559" s="27" t="n"/>
      <c r="O559" s="27" t="n"/>
      <c r="P559" s="27" t="n"/>
      <c r="Q559" s="27" t="n"/>
      <c r="R559" s="27" t="n"/>
      <c r="S559" s="27" t="n"/>
      <c r="T559" s="27" t="n"/>
    </row>
    <row r="560" ht="13.8" customFormat="1" customHeight="1" s="70">
      <c r="M560" s="27" t="n"/>
      <c r="N560" s="27" t="n"/>
      <c r="O560" s="27" t="n"/>
      <c r="P560" s="27" t="n"/>
      <c r="Q560" s="27" t="n"/>
      <c r="R560" s="27" t="n"/>
      <c r="S560" s="27" t="n"/>
      <c r="T560" s="27" t="n"/>
    </row>
    <row r="561" ht="13.8" customFormat="1" customHeight="1" s="70">
      <c r="M561" s="27" t="n"/>
      <c r="N561" s="27" t="n"/>
      <c r="O561" s="27" t="n"/>
      <c r="P561" s="27" t="n"/>
      <c r="Q561" s="27" t="n"/>
      <c r="R561" s="27" t="n"/>
      <c r="S561" s="27" t="n"/>
      <c r="T561" s="27" t="n"/>
    </row>
    <row r="562" ht="13.8" customFormat="1" customHeight="1" s="70">
      <c r="M562" s="27" t="n"/>
      <c r="N562" s="27" t="n"/>
      <c r="O562" s="27" t="n"/>
      <c r="P562" s="27" t="n"/>
      <c r="Q562" s="27" t="n"/>
      <c r="R562" s="27" t="n"/>
      <c r="S562" s="27" t="n"/>
      <c r="T562" s="27" t="n"/>
    </row>
    <row r="563" ht="13.8" customFormat="1" customHeight="1" s="70">
      <c r="M563" s="27" t="n"/>
      <c r="N563" s="27" t="n"/>
      <c r="O563" s="27" t="n"/>
      <c r="P563" s="27" t="n"/>
      <c r="Q563" s="27" t="n"/>
      <c r="R563" s="27" t="n"/>
      <c r="S563" s="27" t="n"/>
      <c r="T563" s="27" t="n"/>
    </row>
    <row r="564" ht="13.8" customFormat="1" customHeight="1" s="70">
      <c r="M564" s="27" t="n"/>
      <c r="N564" s="27" t="n"/>
      <c r="O564" s="27" t="n"/>
      <c r="P564" s="27" t="n"/>
      <c r="Q564" s="27" t="n"/>
      <c r="R564" s="27" t="n"/>
      <c r="S564" s="27" t="n"/>
      <c r="T564" s="27" t="n"/>
    </row>
    <row r="565" ht="13.8" customFormat="1" customHeight="1" s="70">
      <c r="M565" s="27" t="n"/>
      <c r="N565" s="27" t="n"/>
      <c r="O565" s="27" t="n"/>
      <c r="P565" s="27" t="n"/>
      <c r="Q565" s="27" t="n"/>
      <c r="R565" s="27" t="n"/>
      <c r="S565" s="27" t="n"/>
      <c r="T565" s="27" t="n"/>
    </row>
    <row r="566" ht="13.8" customFormat="1" customHeight="1" s="70">
      <c r="M566" s="27" t="n"/>
      <c r="N566" s="27" t="n"/>
      <c r="O566" s="27" t="n"/>
      <c r="P566" s="27" t="n"/>
      <c r="Q566" s="27" t="n"/>
      <c r="R566" s="27" t="n"/>
      <c r="S566" s="27" t="n"/>
      <c r="T566" s="27" t="n"/>
    </row>
    <row r="567" ht="13.8" customFormat="1" customHeight="1" s="70">
      <c r="M567" s="27" t="n"/>
      <c r="N567" s="27" t="n"/>
      <c r="O567" s="27" t="n"/>
      <c r="P567" s="27" t="n"/>
      <c r="Q567" s="27" t="n"/>
      <c r="R567" s="27" t="n"/>
      <c r="S567" s="27" t="n"/>
      <c r="T567" s="27" t="n"/>
    </row>
    <row r="568" ht="13.8" customFormat="1" customHeight="1" s="70">
      <c r="M568" s="27" t="n"/>
      <c r="N568" s="27" t="n"/>
      <c r="O568" s="27" t="n"/>
      <c r="P568" s="27" t="n"/>
      <c r="Q568" s="27" t="n"/>
      <c r="R568" s="27" t="n"/>
      <c r="S568" s="27" t="n"/>
      <c r="T568" s="27" t="n"/>
    </row>
    <row r="569" ht="13.8" customFormat="1" customHeight="1" s="70">
      <c r="M569" s="27" t="n"/>
      <c r="N569" s="27" t="n"/>
      <c r="O569" s="27" t="n"/>
      <c r="P569" s="27" t="n"/>
      <c r="Q569" s="27" t="n"/>
      <c r="R569" s="27" t="n"/>
      <c r="S569" s="27" t="n"/>
      <c r="T569" s="27" t="n"/>
    </row>
    <row r="570" ht="13.8" customFormat="1" customHeight="1" s="70">
      <c r="M570" s="27" t="n"/>
      <c r="N570" s="27" t="n"/>
      <c r="O570" s="27" t="n"/>
      <c r="P570" s="27" t="n"/>
      <c r="Q570" s="27" t="n"/>
      <c r="R570" s="27" t="n"/>
      <c r="S570" s="27" t="n"/>
      <c r="T570" s="27" t="n"/>
    </row>
    <row r="571" ht="13.8" customFormat="1" customHeight="1" s="70">
      <c r="M571" s="27" t="n"/>
      <c r="N571" s="27" t="n"/>
      <c r="O571" s="27" t="n"/>
      <c r="P571" s="27" t="n"/>
      <c r="Q571" s="27" t="n"/>
      <c r="R571" s="27" t="n"/>
      <c r="S571" s="27" t="n"/>
      <c r="T571" s="27" t="n"/>
    </row>
    <row r="572" ht="13.8" customFormat="1" customHeight="1" s="70">
      <c r="M572" s="27" t="n"/>
      <c r="N572" s="27" t="n"/>
      <c r="O572" s="27" t="n"/>
      <c r="P572" s="27" t="n"/>
      <c r="Q572" s="27" t="n"/>
      <c r="R572" s="27" t="n"/>
      <c r="S572" s="27" t="n"/>
      <c r="T572" s="27" t="n"/>
    </row>
    <row r="573" ht="13.8" customFormat="1" customHeight="1" s="70">
      <c r="M573" s="27" t="n"/>
      <c r="N573" s="27" t="n"/>
      <c r="O573" s="27" t="n"/>
      <c r="P573" s="27" t="n"/>
      <c r="Q573" s="27" t="n"/>
      <c r="R573" s="27" t="n"/>
      <c r="S573" s="27" t="n"/>
      <c r="T573" s="27" t="n"/>
    </row>
    <row r="574" ht="13.8" customFormat="1" customHeight="1" s="70">
      <c r="M574" s="27" t="n"/>
      <c r="N574" s="27" t="n"/>
      <c r="O574" s="27" t="n"/>
      <c r="P574" s="27" t="n"/>
      <c r="Q574" s="27" t="n"/>
      <c r="R574" s="27" t="n"/>
      <c r="S574" s="27" t="n"/>
      <c r="T574" s="27" t="n"/>
    </row>
    <row r="575" ht="13.8" customFormat="1" customHeight="1" s="70">
      <c r="M575" s="27" t="n"/>
      <c r="N575" s="27" t="n"/>
      <c r="O575" s="27" t="n"/>
      <c r="P575" s="27" t="n"/>
      <c r="Q575" s="27" t="n"/>
      <c r="R575" s="27" t="n"/>
      <c r="S575" s="27" t="n"/>
      <c r="T575" s="27" t="n"/>
    </row>
    <row r="576" ht="13.8" customFormat="1" customHeight="1" s="70">
      <c r="M576" s="27" t="n"/>
      <c r="N576" s="27" t="n"/>
      <c r="O576" s="27" t="n"/>
      <c r="P576" s="27" t="n"/>
      <c r="Q576" s="27" t="n"/>
      <c r="R576" s="27" t="n"/>
      <c r="S576" s="27" t="n"/>
      <c r="T576" s="27" t="n"/>
    </row>
    <row r="577" ht="13.8" customFormat="1" customHeight="1" s="70">
      <c r="M577" s="27" t="n"/>
      <c r="N577" s="27" t="n"/>
      <c r="O577" s="27" t="n"/>
      <c r="P577" s="27" t="n"/>
      <c r="Q577" s="27" t="n"/>
      <c r="R577" s="27" t="n"/>
      <c r="S577" s="27" t="n"/>
      <c r="T577" s="27" t="n"/>
    </row>
    <row r="578" ht="13.8" customFormat="1" customHeight="1" s="70">
      <c r="M578" s="27" t="n"/>
      <c r="N578" s="27" t="n"/>
      <c r="O578" s="27" t="n"/>
      <c r="P578" s="27" t="n"/>
      <c r="Q578" s="27" t="n"/>
      <c r="R578" s="27" t="n"/>
      <c r="S578" s="27" t="n"/>
      <c r="T578" s="27" t="n"/>
    </row>
    <row r="579" ht="13.8" customFormat="1" customHeight="1" s="70">
      <c r="M579" s="27" t="n"/>
      <c r="N579" s="27" t="n"/>
      <c r="O579" s="27" t="n"/>
      <c r="P579" s="27" t="n"/>
      <c r="Q579" s="27" t="n"/>
      <c r="R579" s="27" t="n"/>
      <c r="S579" s="27" t="n"/>
      <c r="T579" s="27" t="n"/>
    </row>
    <row r="580" ht="13.8" customFormat="1" customHeight="1" s="70">
      <c r="M580" s="27" t="n"/>
      <c r="N580" s="27" t="n"/>
      <c r="O580" s="27" t="n"/>
      <c r="P580" s="27" t="n"/>
      <c r="Q580" s="27" t="n"/>
      <c r="R580" s="27" t="n"/>
      <c r="S580" s="27" t="n"/>
      <c r="T580" s="27" t="n"/>
    </row>
    <row r="581" ht="13.8" customFormat="1" customHeight="1" s="70">
      <c r="M581" s="27" t="n"/>
      <c r="N581" s="27" t="n"/>
      <c r="O581" s="27" t="n"/>
      <c r="P581" s="27" t="n"/>
      <c r="Q581" s="27" t="n"/>
      <c r="R581" s="27" t="n"/>
      <c r="S581" s="27" t="n"/>
      <c r="T581" s="27" t="n"/>
    </row>
    <row r="582" ht="13.8" customFormat="1" customHeight="1" s="70">
      <c r="M582" s="27" t="n"/>
      <c r="N582" s="27" t="n"/>
      <c r="O582" s="27" t="n"/>
      <c r="P582" s="27" t="n"/>
      <c r="Q582" s="27" t="n"/>
      <c r="R582" s="27" t="n"/>
      <c r="S582" s="27" t="n"/>
      <c r="T582" s="27" t="n"/>
    </row>
    <row r="583" ht="13.8" customFormat="1" customHeight="1" s="70">
      <c r="M583" s="27" t="n"/>
      <c r="N583" s="27" t="n"/>
      <c r="O583" s="27" t="n"/>
      <c r="P583" s="27" t="n"/>
      <c r="Q583" s="27" t="n"/>
      <c r="R583" s="27" t="n"/>
      <c r="S583" s="27" t="n"/>
      <c r="T583" s="27" t="n"/>
    </row>
    <row r="584" ht="13.8" customFormat="1" customHeight="1" s="70">
      <c r="M584" s="27" t="n"/>
      <c r="N584" s="27" t="n"/>
      <c r="O584" s="27" t="n"/>
      <c r="P584" s="27" t="n"/>
      <c r="Q584" s="27" t="n"/>
      <c r="R584" s="27" t="n"/>
      <c r="S584" s="27" t="n"/>
      <c r="T584" s="27" t="n"/>
    </row>
    <row r="585" ht="13.8" customFormat="1" customHeight="1" s="70">
      <c r="M585" s="27" t="n"/>
      <c r="N585" s="27" t="n"/>
      <c r="O585" s="27" t="n"/>
      <c r="P585" s="27" t="n"/>
      <c r="Q585" s="27" t="n"/>
      <c r="R585" s="27" t="n"/>
      <c r="S585" s="27" t="n"/>
      <c r="T585" s="27" t="n"/>
    </row>
    <row r="586" ht="13.8" customFormat="1" customHeight="1" s="70">
      <c r="M586" s="27" t="n"/>
      <c r="N586" s="27" t="n"/>
      <c r="O586" s="27" t="n"/>
      <c r="P586" s="27" t="n"/>
      <c r="Q586" s="27" t="n"/>
      <c r="R586" s="27" t="n"/>
      <c r="S586" s="27" t="n"/>
      <c r="T586" s="27" t="n"/>
    </row>
    <row r="587" ht="13.8" customFormat="1" customHeight="1" s="70">
      <c r="M587" s="27" t="n"/>
      <c r="N587" s="27" t="n"/>
      <c r="O587" s="27" t="n"/>
      <c r="P587" s="27" t="n"/>
      <c r="Q587" s="27" t="n"/>
      <c r="R587" s="27" t="n"/>
      <c r="S587" s="27" t="n"/>
      <c r="T587" s="27" t="n"/>
    </row>
    <row r="588" ht="13.8" customFormat="1" customHeight="1" s="70">
      <c r="M588" s="27" t="n"/>
      <c r="N588" s="27" t="n"/>
      <c r="O588" s="27" t="n"/>
      <c r="P588" s="27" t="n"/>
      <c r="Q588" s="27" t="n"/>
      <c r="R588" s="27" t="n"/>
      <c r="S588" s="27" t="n"/>
      <c r="T588" s="27" t="n"/>
    </row>
    <row r="589" ht="13.8" customFormat="1" customHeight="1" s="70">
      <c r="M589" s="27" t="n"/>
      <c r="N589" s="27" t="n"/>
      <c r="O589" s="27" t="n"/>
      <c r="P589" s="27" t="n"/>
      <c r="Q589" s="27" t="n"/>
      <c r="R589" s="27" t="n"/>
      <c r="S589" s="27" t="n"/>
      <c r="T589" s="27" t="n"/>
    </row>
    <row r="590" ht="13.8" customFormat="1" customHeight="1" s="70">
      <c r="M590" s="27" t="n"/>
      <c r="N590" s="27" t="n"/>
      <c r="O590" s="27" t="n"/>
      <c r="P590" s="27" t="n"/>
      <c r="Q590" s="27" t="n"/>
      <c r="R590" s="27" t="n"/>
      <c r="S590" s="27" t="n"/>
      <c r="T590" s="27" t="n"/>
    </row>
    <row r="591" ht="13.8" customFormat="1" customHeight="1" s="70">
      <c r="M591" s="27" t="n"/>
      <c r="N591" s="27" t="n"/>
      <c r="O591" s="27" t="n"/>
      <c r="P591" s="27" t="n"/>
      <c r="Q591" s="27" t="n"/>
      <c r="R591" s="27" t="n"/>
      <c r="S591" s="27" t="n"/>
      <c r="T591" s="27" t="n"/>
    </row>
    <row r="592" ht="13.8" customFormat="1" customHeight="1" s="70">
      <c r="M592" s="27" t="n"/>
      <c r="N592" s="27" t="n"/>
      <c r="O592" s="27" t="n"/>
      <c r="P592" s="27" t="n"/>
      <c r="Q592" s="27" t="n"/>
      <c r="R592" s="27" t="n"/>
      <c r="S592" s="27" t="n"/>
      <c r="T592" s="27" t="n"/>
    </row>
    <row r="593" ht="13.8" customFormat="1" customHeight="1" s="70">
      <c r="M593" s="27" t="n"/>
      <c r="N593" s="27" t="n"/>
      <c r="O593" s="27" t="n"/>
      <c r="P593" s="27" t="n"/>
      <c r="Q593" s="27" t="n"/>
      <c r="R593" s="27" t="n"/>
      <c r="S593" s="27" t="n"/>
      <c r="T593" s="27" t="n"/>
    </row>
    <row r="594" ht="13.8" customFormat="1" customHeight="1" s="70">
      <c r="M594" s="27" t="n"/>
      <c r="N594" s="27" t="n"/>
      <c r="O594" s="27" t="n"/>
      <c r="P594" s="27" t="n"/>
      <c r="Q594" s="27" t="n"/>
      <c r="R594" s="27" t="n"/>
      <c r="S594" s="27" t="n"/>
      <c r="T594" s="27" t="n"/>
    </row>
    <row r="595" ht="13.8" customFormat="1" customHeight="1" s="70">
      <c r="M595" s="27" t="n"/>
      <c r="N595" s="27" t="n"/>
      <c r="O595" s="27" t="n"/>
      <c r="P595" s="27" t="n"/>
      <c r="Q595" s="27" t="n"/>
      <c r="R595" s="27" t="n"/>
      <c r="S595" s="27" t="n"/>
      <c r="T595" s="27" t="n"/>
    </row>
    <row r="596" ht="13.8" customFormat="1" customHeight="1" s="70">
      <c r="M596" s="27" t="n"/>
      <c r="N596" s="27" t="n"/>
      <c r="O596" s="27" t="n"/>
      <c r="P596" s="27" t="n"/>
      <c r="Q596" s="27" t="n"/>
      <c r="R596" s="27" t="n"/>
      <c r="S596" s="27" t="n"/>
      <c r="T596" s="27" t="n"/>
    </row>
    <row r="597" ht="13.8" customFormat="1" customHeight="1" s="70">
      <c r="M597" s="27" t="n"/>
      <c r="N597" s="27" t="n"/>
      <c r="O597" s="27" t="n"/>
      <c r="P597" s="27" t="n"/>
      <c r="Q597" s="27" t="n"/>
      <c r="R597" s="27" t="n"/>
      <c r="S597" s="27" t="n"/>
      <c r="T597" s="27" t="n"/>
    </row>
    <row r="598" ht="13.8" customFormat="1" customHeight="1" s="70">
      <c r="M598" s="27" t="n"/>
      <c r="N598" s="27" t="n"/>
      <c r="O598" s="27" t="n"/>
      <c r="P598" s="27" t="n"/>
      <c r="Q598" s="27" t="n"/>
      <c r="R598" s="27" t="n"/>
      <c r="S598" s="27" t="n"/>
      <c r="T598" s="27" t="n"/>
    </row>
    <row r="599" ht="13.8" customFormat="1" customHeight="1" s="70">
      <c r="M599" s="27" t="n"/>
      <c r="N599" s="27" t="n"/>
      <c r="O599" s="27" t="n"/>
      <c r="P599" s="27" t="n"/>
      <c r="Q599" s="27" t="n"/>
      <c r="R599" s="27" t="n"/>
      <c r="S599" s="27" t="n"/>
      <c r="T599" s="27" t="n"/>
    </row>
    <row r="600" ht="13.8" customFormat="1" customHeight="1" s="70">
      <c r="M600" s="27" t="n"/>
      <c r="N600" s="27" t="n"/>
      <c r="O600" s="27" t="n"/>
      <c r="P600" s="27" t="n"/>
      <c r="Q600" s="27" t="n"/>
      <c r="R600" s="27" t="n"/>
      <c r="S600" s="27" t="n"/>
      <c r="T600" s="27" t="n"/>
    </row>
    <row r="601" ht="13.8" customFormat="1" customHeight="1" s="70">
      <c r="M601" s="27" t="n"/>
      <c r="N601" s="27" t="n"/>
      <c r="O601" s="27" t="n"/>
      <c r="P601" s="27" t="n"/>
      <c r="Q601" s="27" t="n"/>
      <c r="R601" s="27" t="n"/>
      <c r="S601" s="27" t="n"/>
      <c r="T601" s="27" t="n"/>
    </row>
    <row r="602" ht="13.8" customFormat="1" customHeight="1" s="70">
      <c r="M602" s="27" t="n"/>
      <c r="N602" s="27" t="n"/>
      <c r="O602" s="27" t="n"/>
      <c r="P602" s="27" t="n"/>
      <c r="Q602" s="27" t="n"/>
      <c r="R602" s="27" t="n"/>
      <c r="S602" s="27" t="n"/>
      <c r="T602" s="27" t="n"/>
    </row>
    <row r="603" ht="13.8" customFormat="1" customHeight="1" s="70">
      <c r="M603" s="27" t="n"/>
      <c r="N603" s="27" t="n"/>
      <c r="O603" s="27" t="n"/>
      <c r="P603" s="27" t="n"/>
      <c r="Q603" s="27" t="n"/>
      <c r="R603" s="27" t="n"/>
      <c r="S603" s="27" t="n"/>
      <c r="T603" s="27" t="n"/>
    </row>
    <row r="604" ht="13.8" customFormat="1" customHeight="1" s="70">
      <c r="M604" s="27" t="n"/>
      <c r="N604" s="27" t="n"/>
      <c r="O604" s="27" t="n"/>
      <c r="P604" s="27" t="n"/>
      <c r="Q604" s="27" t="n"/>
      <c r="R604" s="27" t="n"/>
      <c r="S604" s="27" t="n"/>
      <c r="T604" s="27" t="n"/>
    </row>
    <row r="605" ht="13.8" customFormat="1" customHeight="1" s="70">
      <c r="M605" s="27" t="n"/>
      <c r="N605" s="27" t="n"/>
      <c r="O605" s="27" t="n"/>
      <c r="P605" s="27" t="n"/>
      <c r="Q605" s="27" t="n"/>
      <c r="R605" s="27" t="n"/>
      <c r="S605" s="27" t="n"/>
      <c r="T605" s="27" t="n"/>
    </row>
    <row r="606" ht="13.8" customFormat="1" customHeight="1" s="70">
      <c r="M606" s="27" t="n"/>
      <c r="N606" s="27" t="n"/>
      <c r="O606" s="27" t="n"/>
      <c r="P606" s="27" t="n"/>
      <c r="Q606" s="27" t="n"/>
      <c r="R606" s="27" t="n"/>
      <c r="S606" s="27" t="n"/>
      <c r="T606" s="27" t="n"/>
    </row>
    <row r="607" ht="13.8" customFormat="1" customHeight="1" s="70">
      <c r="M607" s="27" t="n"/>
      <c r="N607" s="27" t="n"/>
      <c r="O607" s="27" t="n"/>
      <c r="P607" s="27" t="n"/>
      <c r="Q607" s="27" t="n"/>
      <c r="R607" s="27" t="n"/>
      <c r="S607" s="27" t="n"/>
      <c r="T607" s="27" t="n"/>
    </row>
    <row r="608" ht="13.8" customFormat="1" customHeight="1" s="70">
      <c r="M608" s="27" t="n"/>
      <c r="N608" s="27" t="n"/>
      <c r="O608" s="27" t="n"/>
      <c r="P608" s="27" t="n"/>
      <c r="Q608" s="27" t="n"/>
      <c r="R608" s="27" t="n"/>
      <c r="S608" s="27" t="n"/>
      <c r="T608" s="27" t="n"/>
    </row>
    <row r="609" ht="13.8" customFormat="1" customHeight="1" s="70">
      <c r="M609" s="27" t="n"/>
      <c r="N609" s="27" t="n"/>
      <c r="O609" s="27" t="n"/>
      <c r="P609" s="27" t="n"/>
      <c r="Q609" s="27" t="n"/>
      <c r="R609" s="27" t="n"/>
      <c r="S609" s="27" t="n"/>
      <c r="T609" s="27" t="n"/>
    </row>
    <row r="610" ht="13.8" customFormat="1" customHeight="1" s="70">
      <c r="M610" s="27" t="n"/>
      <c r="N610" s="27" t="n"/>
      <c r="O610" s="27" t="n"/>
      <c r="P610" s="27" t="n"/>
      <c r="Q610" s="27" t="n"/>
      <c r="R610" s="27" t="n"/>
      <c r="S610" s="27" t="n"/>
      <c r="T610" s="27" t="n"/>
    </row>
    <row r="611" ht="13.8" customFormat="1" customHeight="1" s="70">
      <c r="M611" s="27" t="n"/>
      <c r="N611" s="27" t="n"/>
      <c r="O611" s="27" t="n"/>
      <c r="P611" s="27" t="n"/>
      <c r="Q611" s="27" t="n"/>
      <c r="R611" s="27" t="n"/>
      <c r="S611" s="27" t="n"/>
      <c r="T611" s="27" t="n"/>
    </row>
    <row r="612" ht="13.8" customFormat="1" customHeight="1" s="70">
      <c r="M612" s="27" t="n"/>
      <c r="N612" s="27" t="n"/>
      <c r="O612" s="27" t="n"/>
      <c r="P612" s="27" t="n"/>
      <c r="Q612" s="27" t="n"/>
      <c r="R612" s="27" t="n"/>
      <c r="S612" s="27" t="n"/>
      <c r="T612" s="27" t="n"/>
    </row>
    <row r="613" ht="13.8" customFormat="1" customHeight="1" s="70">
      <c r="M613" s="27" t="n"/>
      <c r="N613" s="27" t="n"/>
      <c r="O613" s="27" t="n"/>
      <c r="P613" s="27" t="n"/>
      <c r="Q613" s="27" t="n"/>
      <c r="R613" s="27" t="n"/>
      <c r="S613" s="27" t="n"/>
      <c r="T613" s="27" t="n"/>
    </row>
    <row r="614" ht="13.8" customFormat="1" customHeight="1" s="70">
      <c r="M614" s="27" t="n"/>
      <c r="N614" s="27" t="n"/>
      <c r="O614" s="27" t="n"/>
      <c r="P614" s="27" t="n"/>
      <c r="Q614" s="27" t="n"/>
      <c r="R614" s="27" t="n"/>
      <c r="S614" s="27" t="n"/>
      <c r="T614" s="27" t="n"/>
    </row>
    <row r="615" ht="13.8" customFormat="1" customHeight="1" s="70">
      <c r="M615" s="27" t="n"/>
      <c r="N615" s="27" t="n"/>
      <c r="O615" s="27" t="n"/>
      <c r="P615" s="27" t="n"/>
      <c r="Q615" s="27" t="n"/>
      <c r="R615" s="27" t="n"/>
      <c r="S615" s="27" t="n"/>
      <c r="T615" s="27" t="n"/>
    </row>
    <row r="616" ht="13.8" customFormat="1" customHeight="1" s="70">
      <c r="M616" s="27" t="n"/>
      <c r="N616" s="27" t="n"/>
      <c r="O616" s="27" t="n"/>
      <c r="P616" s="27" t="n"/>
      <c r="Q616" s="27" t="n"/>
      <c r="R616" s="27" t="n"/>
      <c r="S616" s="27" t="n"/>
      <c r="T616" s="27" t="n"/>
    </row>
    <row r="617" ht="13.8" customFormat="1" customHeight="1" s="70">
      <c r="M617" s="27" t="n"/>
      <c r="N617" s="27" t="n"/>
      <c r="O617" s="27" t="n"/>
      <c r="P617" s="27" t="n"/>
      <c r="Q617" s="27" t="n"/>
      <c r="R617" s="27" t="n"/>
      <c r="S617" s="27" t="n"/>
      <c r="T617" s="27" t="n"/>
    </row>
    <row r="618" ht="13.8" customFormat="1" customHeight="1" s="70">
      <c r="M618" s="27" t="n"/>
      <c r="N618" s="27" t="n"/>
      <c r="O618" s="27" t="n"/>
      <c r="P618" s="27" t="n"/>
      <c r="Q618" s="27" t="n"/>
      <c r="R618" s="27" t="n"/>
      <c r="S618" s="27" t="n"/>
      <c r="T618" s="27" t="n"/>
    </row>
    <row r="619" ht="13.8" customFormat="1" customHeight="1" s="70">
      <c r="M619" s="27" t="n"/>
      <c r="N619" s="27" t="n"/>
      <c r="O619" s="27" t="n"/>
      <c r="P619" s="27" t="n"/>
      <c r="Q619" s="27" t="n"/>
      <c r="R619" s="27" t="n"/>
      <c r="S619" s="27" t="n"/>
      <c r="T619" s="27" t="n"/>
    </row>
    <row r="620" ht="13.8" customFormat="1" customHeight="1" s="70">
      <c r="M620" s="27" t="n"/>
      <c r="N620" s="27" t="n"/>
      <c r="O620" s="27" t="n"/>
      <c r="P620" s="27" t="n"/>
      <c r="Q620" s="27" t="n"/>
      <c r="R620" s="27" t="n"/>
      <c r="S620" s="27" t="n"/>
      <c r="T620" s="27" t="n"/>
    </row>
    <row r="621" ht="13.8" customFormat="1" customHeight="1" s="70">
      <c r="M621" s="27" t="n"/>
      <c r="N621" s="27" t="n"/>
      <c r="O621" s="27" t="n"/>
      <c r="P621" s="27" t="n"/>
      <c r="Q621" s="27" t="n"/>
      <c r="R621" s="27" t="n"/>
      <c r="S621" s="27" t="n"/>
      <c r="T621" s="27" t="n"/>
    </row>
    <row r="622" ht="13.8" customFormat="1" customHeight="1" s="70">
      <c r="M622" s="27" t="n"/>
      <c r="N622" s="27" t="n"/>
      <c r="O622" s="27" t="n"/>
      <c r="P622" s="27" t="n"/>
      <c r="Q622" s="27" t="n"/>
      <c r="R622" s="27" t="n"/>
      <c r="S622" s="27" t="n"/>
      <c r="T622" s="27" t="n"/>
    </row>
    <row r="623" ht="13.8" customFormat="1" customHeight="1" s="70">
      <c r="M623" s="27" t="n"/>
      <c r="N623" s="27" t="n"/>
      <c r="O623" s="27" t="n"/>
      <c r="P623" s="27" t="n"/>
      <c r="Q623" s="27" t="n"/>
      <c r="R623" s="27" t="n"/>
      <c r="S623" s="27" t="n"/>
      <c r="T623" s="27" t="n"/>
    </row>
    <row r="624" ht="13.8" customFormat="1" customHeight="1" s="70">
      <c r="M624" s="27" t="n"/>
      <c r="N624" s="27" t="n"/>
      <c r="O624" s="27" t="n"/>
      <c r="P624" s="27" t="n"/>
      <c r="Q624" s="27" t="n"/>
      <c r="R624" s="27" t="n"/>
      <c r="S624" s="27" t="n"/>
      <c r="T624" s="27" t="n"/>
    </row>
    <row r="625" ht="13.8" customFormat="1" customHeight="1" s="70">
      <c r="M625" s="27" t="n"/>
      <c r="N625" s="27" t="n"/>
      <c r="O625" s="27" t="n"/>
      <c r="P625" s="27" t="n"/>
      <c r="Q625" s="27" t="n"/>
      <c r="R625" s="27" t="n"/>
      <c r="S625" s="27" t="n"/>
      <c r="T625" s="27" t="n"/>
    </row>
    <row r="626" ht="13.8" customFormat="1" customHeight="1" s="70">
      <c r="M626" s="27" t="n"/>
      <c r="N626" s="27" t="n"/>
      <c r="O626" s="27" t="n"/>
      <c r="P626" s="27" t="n"/>
      <c r="Q626" s="27" t="n"/>
      <c r="R626" s="27" t="n"/>
      <c r="S626" s="27" t="n"/>
      <c r="T626" s="27" t="n"/>
    </row>
    <row r="627" ht="13.8" customFormat="1" customHeight="1" s="70">
      <c r="M627" s="27" t="n"/>
      <c r="N627" s="27" t="n"/>
      <c r="O627" s="27" t="n"/>
      <c r="P627" s="27" t="n"/>
      <c r="Q627" s="27" t="n"/>
      <c r="R627" s="27" t="n"/>
      <c r="S627" s="27" t="n"/>
      <c r="T627" s="27" t="n"/>
    </row>
    <row r="628" ht="13.8" customFormat="1" customHeight="1" s="70">
      <c r="M628" s="27" t="n"/>
      <c r="N628" s="27" t="n"/>
      <c r="O628" s="27" t="n"/>
      <c r="P628" s="27" t="n"/>
      <c r="Q628" s="27" t="n"/>
      <c r="R628" s="27" t="n"/>
      <c r="S628" s="27" t="n"/>
      <c r="T628" s="27" t="n"/>
    </row>
    <row r="629" ht="13.8" customFormat="1" customHeight="1" s="70">
      <c r="M629" s="27" t="n"/>
      <c r="N629" s="27" t="n"/>
      <c r="O629" s="27" t="n"/>
      <c r="P629" s="27" t="n"/>
      <c r="Q629" s="27" t="n"/>
      <c r="R629" s="27" t="n"/>
      <c r="S629" s="27" t="n"/>
      <c r="T629" s="27" t="n"/>
    </row>
    <row r="630" ht="13.8" customFormat="1" customHeight="1" s="70">
      <c r="M630" s="27" t="n"/>
      <c r="N630" s="27" t="n"/>
      <c r="O630" s="27" t="n"/>
      <c r="P630" s="27" t="n"/>
      <c r="Q630" s="27" t="n"/>
      <c r="R630" s="27" t="n"/>
      <c r="S630" s="27" t="n"/>
      <c r="T630" s="27" t="n"/>
    </row>
    <row r="631" ht="13.8" customFormat="1" customHeight="1" s="70">
      <c r="M631" s="27" t="n"/>
      <c r="N631" s="27" t="n"/>
      <c r="O631" s="27" t="n"/>
      <c r="P631" s="27" t="n"/>
      <c r="Q631" s="27" t="n"/>
      <c r="R631" s="27" t="n"/>
      <c r="S631" s="27" t="n"/>
      <c r="T631" s="27" t="n"/>
    </row>
    <row r="632" ht="13.8" customFormat="1" customHeight="1" s="70">
      <c r="M632" s="27" t="n"/>
      <c r="N632" s="27" t="n"/>
      <c r="O632" s="27" t="n"/>
      <c r="P632" s="27" t="n"/>
      <c r="Q632" s="27" t="n"/>
      <c r="R632" s="27" t="n"/>
      <c r="S632" s="27" t="n"/>
      <c r="T632" s="27" t="n"/>
    </row>
    <row r="633" ht="13.8" customFormat="1" customHeight="1" s="70">
      <c r="M633" s="27" t="n"/>
      <c r="N633" s="27" t="n"/>
      <c r="O633" s="27" t="n"/>
      <c r="P633" s="27" t="n"/>
      <c r="Q633" s="27" t="n"/>
      <c r="R633" s="27" t="n"/>
      <c r="S633" s="27" t="n"/>
      <c r="T633" s="27" t="n"/>
    </row>
    <row r="634" ht="13.8" customFormat="1" customHeight="1" s="70">
      <c r="M634" s="27" t="n"/>
      <c r="N634" s="27" t="n"/>
      <c r="O634" s="27" t="n"/>
      <c r="P634" s="27" t="n"/>
      <c r="Q634" s="27" t="n"/>
      <c r="R634" s="27" t="n"/>
      <c r="S634" s="27" t="n"/>
      <c r="T634" s="27" t="n"/>
    </row>
    <row r="635" ht="13.8" customFormat="1" customHeight="1" s="70">
      <c r="M635" s="27" t="n"/>
      <c r="N635" s="27" t="n"/>
      <c r="O635" s="27" t="n"/>
      <c r="P635" s="27" t="n"/>
      <c r="Q635" s="27" t="n"/>
      <c r="R635" s="27" t="n"/>
      <c r="S635" s="27" t="n"/>
      <c r="T635" s="27" t="n"/>
    </row>
    <row r="636" ht="13.8" customFormat="1" customHeight="1" s="70">
      <c r="M636" s="27" t="n"/>
      <c r="N636" s="27" t="n"/>
      <c r="O636" s="27" t="n"/>
      <c r="P636" s="27" t="n"/>
      <c r="Q636" s="27" t="n"/>
      <c r="R636" s="27" t="n"/>
      <c r="S636" s="27" t="n"/>
      <c r="T636" s="27" t="n"/>
    </row>
    <row r="637" ht="13.8" customFormat="1" customHeight="1" s="70">
      <c r="M637" s="27" t="n"/>
      <c r="N637" s="27" t="n"/>
      <c r="O637" s="27" t="n"/>
      <c r="P637" s="27" t="n"/>
      <c r="Q637" s="27" t="n"/>
      <c r="R637" s="27" t="n"/>
      <c r="S637" s="27" t="n"/>
      <c r="T637" s="27" t="n"/>
    </row>
    <row r="638" ht="13.8" customFormat="1" customHeight="1" s="70">
      <c r="M638" s="27" t="n"/>
      <c r="N638" s="27" t="n"/>
      <c r="O638" s="27" t="n"/>
      <c r="P638" s="27" t="n"/>
      <c r="Q638" s="27" t="n"/>
      <c r="R638" s="27" t="n"/>
      <c r="S638" s="27" t="n"/>
      <c r="T638" s="27" t="n"/>
    </row>
    <row r="639" ht="13.8" customFormat="1" customHeight="1" s="70">
      <c r="M639" s="27" t="n"/>
      <c r="N639" s="27" t="n"/>
      <c r="O639" s="27" t="n"/>
      <c r="P639" s="27" t="n"/>
      <c r="Q639" s="27" t="n"/>
      <c r="R639" s="27" t="n"/>
      <c r="S639" s="27" t="n"/>
      <c r="T639" s="27" t="n"/>
    </row>
    <row r="640" ht="13.8" customFormat="1" customHeight="1" s="70">
      <c r="M640" s="27" t="n"/>
      <c r="N640" s="27" t="n"/>
      <c r="O640" s="27" t="n"/>
      <c r="P640" s="27" t="n"/>
      <c r="Q640" s="27" t="n"/>
      <c r="R640" s="27" t="n"/>
      <c r="S640" s="27" t="n"/>
      <c r="T640" s="27" t="n"/>
    </row>
    <row r="641" ht="13.8" customFormat="1" customHeight="1" s="70">
      <c r="M641" s="27" t="n"/>
      <c r="N641" s="27" t="n"/>
      <c r="O641" s="27" t="n"/>
      <c r="P641" s="27" t="n"/>
      <c r="Q641" s="27" t="n"/>
      <c r="R641" s="27" t="n"/>
      <c r="S641" s="27" t="n"/>
      <c r="T641" s="27" t="n"/>
    </row>
    <row r="642" ht="13.8" customFormat="1" customHeight="1" s="70">
      <c r="M642" s="27" t="n"/>
      <c r="N642" s="27" t="n"/>
      <c r="O642" s="27" t="n"/>
      <c r="P642" s="27" t="n"/>
      <c r="Q642" s="27" t="n"/>
      <c r="R642" s="27" t="n"/>
      <c r="S642" s="27" t="n"/>
      <c r="T642" s="27" t="n"/>
    </row>
    <row r="643" ht="13.8" customFormat="1" customHeight="1" s="70">
      <c r="M643" s="27" t="n"/>
      <c r="N643" s="27" t="n"/>
      <c r="O643" s="27" t="n"/>
      <c r="P643" s="27" t="n"/>
      <c r="Q643" s="27" t="n"/>
      <c r="R643" s="27" t="n"/>
      <c r="S643" s="27" t="n"/>
      <c r="T643" s="27" t="n"/>
    </row>
    <row r="644" ht="13.8" customFormat="1" customHeight="1" s="70">
      <c r="M644" s="27" t="n"/>
      <c r="N644" s="27" t="n"/>
      <c r="O644" s="27" t="n"/>
      <c r="P644" s="27" t="n"/>
      <c r="Q644" s="27" t="n"/>
      <c r="R644" s="27" t="n"/>
      <c r="S644" s="27" t="n"/>
      <c r="T644" s="27" t="n"/>
    </row>
    <row r="645" ht="13.8" customFormat="1" customHeight="1" s="70">
      <c r="M645" s="27" t="n"/>
      <c r="N645" s="27" t="n"/>
      <c r="O645" s="27" t="n"/>
      <c r="P645" s="27" t="n"/>
      <c r="Q645" s="27" t="n"/>
      <c r="R645" s="27" t="n"/>
      <c r="S645" s="27" t="n"/>
      <c r="T645" s="27" t="n"/>
    </row>
    <row r="646" ht="13.8" customFormat="1" customHeight="1" s="70">
      <c r="M646" s="27" t="n"/>
      <c r="N646" s="27" t="n"/>
      <c r="O646" s="27" t="n"/>
      <c r="P646" s="27" t="n"/>
      <c r="Q646" s="27" t="n"/>
      <c r="R646" s="27" t="n"/>
      <c r="S646" s="27" t="n"/>
      <c r="T646" s="27" t="n"/>
    </row>
    <row r="647" ht="13.8" customFormat="1" customHeight="1" s="70">
      <c r="M647" s="27" t="n"/>
      <c r="N647" s="27" t="n"/>
      <c r="O647" s="27" t="n"/>
      <c r="P647" s="27" t="n"/>
      <c r="Q647" s="27" t="n"/>
      <c r="R647" s="27" t="n"/>
      <c r="S647" s="27" t="n"/>
      <c r="T647" s="27" t="n"/>
    </row>
    <row r="648" ht="13.8" customFormat="1" customHeight="1" s="70">
      <c r="M648" s="27" t="n"/>
      <c r="N648" s="27" t="n"/>
      <c r="O648" s="27" t="n"/>
      <c r="P648" s="27" t="n"/>
      <c r="Q648" s="27" t="n"/>
      <c r="R648" s="27" t="n"/>
      <c r="S648" s="27" t="n"/>
      <c r="T648" s="27" t="n"/>
    </row>
    <row r="649" ht="13.8" customFormat="1" customHeight="1" s="70">
      <c r="M649" s="27" t="n"/>
      <c r="N649" s="27" t="n"/>
      <c r="O649" s="27" t="n"/>
      <c r="P649" s="27" t="n"/>
      <c r="Q649" s="27" t="n"/>
      <c r="R649" s="27" t="n"/>
      <c r="S649" s="27" t="n"/>
      <c r="T649" s="27" t="n"/>
    </row>
    <row r="650" ht="13.8" customFormat="1" customHeight="1" s="70">
      <c r="M650" s="27" t="n"/>
      <c r="N650" s="27" t="n"/>
      <c r="O650" s="27" t="n"/>
      <c r="P650" s="27" t="n"/>
      <c r="Q650" s="27" t="n"/>
      <c r="R650" s="27" t="n"/>
      <c r="S650" s="27" t="n"/>
      <c r="T650" s="27" t="n"/>
    </row>
    <row r="651" ht="13.8" customFormat="1" customHeight="1" s="70">
      <c r="M651" s="27" t="n"/>
      <c r="N651" s="27" t="n"/>
      <c r="O651" s="27" t="n"/>
      <c r="P651" s="27" t="n"/>
      <c r="Q651" s="27" t="n"/>
      <c r="R651" s="27" t="n"/>
      <c r="S651" s="27" t="n"/>
      <c r="T651" s="27" t="n"/>
    </row>
    <row r="652" ht="13.8" customFormat="1" customHeight="1" s="70">
      <c r="M652" s="27" t="n"/>
      <c r="N652" s="27" t="n"/>
      <c r="O652" s="27" t="n"/>
      <c r="P652" s="27" t="n"/>
      <c r="Q652" s="27" t="n"/>
      <c r="R652" s="27" t="n"/>
      <c r="S652" s="27" t="n"/>
      <c r="T652" s="27" t="n"/>
    </row>
    <row r="653" ht="13.8" customFormat="1" customHeight="1" s="70">
      <c r="M653" s="27" t="n"/>
      <c r="N653" s="27" t="n"/>
      <c r="O653" s="27" t="n"/>
      <c r="P653" s="27" t="n"/>
      <c r="Q653" s="27" t="n"/>
      <c r="R653" s="27" t="n"/>
      <c r="S653" s="27" t="n"/>
      <c r="T653" s="27" t="n"/>
    </row>
    <row r="654" ht="13.8" customFormat="1" customHeight="1" s="70">
      <c r="M654" s="27" t="n"/>
      <c r="N654" s="27" t="n"/>
      <c r="O654" s="27" t="n"/>
      <c r="P654" s="27" t="n"/>
      <c r="Q654" s="27" t="n"/>
      <c r="R654" s="27" t="n"/>
      <c r="S654" s="27" t="n"/>
      <c r="T654" s="27" t="n"/>
    </row>
    <row r="655" ht="13.8" customFormat="1" customHeight="1" s="70">
      <c r="M655" s="27" t="n"/>
      <c r="N655" s="27" t="n"/>
      <c r="O655" s="27" t="n"/>
      <c r="P655" s="27" t="n"/>
      <c r="Q655" s="27" t="n"/>
      <c r="R655" s="27" t="n"/>
      <c r="S655" s="27" t="n"/>
      <c r="T655" s="27" t="n"/>
    </row>
    <row r="656" ht="13.8" customFormat="1" customHeight="1" s="70">
      <c r="M656" s="27" t="n"/>
      <c r="N656" s="27" t="n"/>
      <c r="O656" s="27" t="n"/>
      <c r="P656" s="27" t="n"/>
      <c r="Q656" s="27" t="n"/>
      <c r="R656" s="27" t="n"/>
      <c r="S656" s="27" t="n"/>
      <c r="T656" s="27" t="n"/>
    </row>
    <row r="657" ht="13.8" customFormat="1" customHeight="1" s="70">
      <c r="M657" s="27" t="n"/>
      <c r="N657" s="27" t="n"/>
      <c r="O657" s="27" t="n"/>
      <c r="P657" s="27" t="n"/>
      <c r="Q657" s="27" t="n"/>
      <c r="R657" s="27" t="n"/>
      <c r="S657" s="27" t="n"/>
      <c r="T657" s="27" t="n"/>
    </row>
    <row r="658" ht="13.8" customFormat="1" customHeight="1" s="70">
      <c r="M658" s="27" t="n"/>
      <c r="N658" s="27" t="n"/>
      <c r="O658" s="27" t="n"/>
      <c r="P658" s="27" t="n"/>
      <c r="Q658" s="27" t="n"/>
      <c r="R658" s="27" t="n"/>
      <c r="S658" s="27" t="n"/>
      <c r="T658" s="27" t="n"/>
    </row>
    <row r="659" ht="13.8" customFormat="1" customHeight="1" s="70">
      <c r="M659" s="27" t="n"/>
      <c r="N659" s="27" t="n"/>
      <c r="O659" s="27" t="n"/>
      <c r="P659" s="27" t="n"/>
      <c r="Q659" s="27" t="n"/>
      <c r="R659" s="27" t="n"/>
      <c r="S659" s="27" t="n"/>
      <c r="T659" s="27" t="n"/>
    </row>
    <row r="660" ht="13.8" customFormat="1" customHeight="1" s="70">
      <c r="M660" s="27" t="n"/>
      <c r="N660" s="27" t="n"/>
      <c r="O660" s="27" t="n"/>
      <c r="P660" s="27" t="n"/>
      <c r="Q660" s="27" t="n"/>
      <c r="R660" s="27" t="n"/>
      <c r="S660" s="27" t="n"/>
      <c r="T660" s="27" t="n"/>
    </row>
    <row r="661" ht="13.8" customFormat="1" customHeight="1" s="70">
      <c r="M661" s="27" t="n"/>
      <c r="N661" s="27" t="n"/>
      <c r="O661" s="27" t="n"/>
      <c r="P661" s="27" t="n"/>
      <c r="Q661" s="27" t="n"/>
      <c r="R661" s="27" t="n"/>
      <c r="S661" s="27" t="n"/>
      <c r="T661" s="27" t="n"/>
    </row>
    <row r="662" ht="13.8" customFormat="1" customHeight="1" s="70">
      <c r="M662" s="27" t="n"/>
      <c r="N662" s="27" t="n"/>
      <c r="O662" s="27" t="n"/>
      <c r="P662" s="27" t="n"/>
      <c r="Q662" s="27" t="n"/>
      <c r="R662" s="27" t="n"/>
      <c r="S662" s="27" t="n"/>
      <c r="T662" s="27" t="n"/>
    </row>
    <row r="663" ht="13.8" customFormat="1" customHeight="1" s="70">
      <c r="M663" s="27" t="n"/>
      <c r="N663" s="27" t="n"/>
      <c r="O663" s="27" t="n"/>
      <c r="P663" s="27" t="n"/>
      <c r="Q663" s="27" t="n"/>
      <c r="R663" s="27" t="n"/>
      <c r="S663" s="27" t="n"/>
      <c r="T663" s="27" t="n"/>
    </row>
    <row r="664" ht="13.8" customFormat="1" customHeight="1" s="70">
      <c r="M664" s="27" t="n"/>
      <c r="N664" s="27" t="n"/>
      <c r="O664" s="27" t="n"/>
      <c r="P664" s="27" t="n"/>
      <c r="Q664" s="27" t="n"/>
      <c r="R664" s="27" t="n"/>
      <c r="S664" s="27" t="n"/>
      <c r="T664" s="27" t="n"/>
    </row>
    <row r="665" ht="13.8" customFormat="1" customHeight="1" s="70">
      <c r="M665" s="27" t="n"/>
      <c r="N665" s="27" t="n"/>
      <c r="O665" s="27" t="n"/>
      <c r="P665" s="27" t="n"/>
      <c r="Q665" s="27" t="n"/>
      <c r="R665" s="27" t="n"/>
      <c r="S665" s="27" t="n"/>
      <c r="T665" s="27" t="n"/>
    </row>
    <row r="666" ht="13.8" customFormat="1" customHeight="1" s="70">
      <c r="M666" s="27" t="n"/>
      <c r="N666" s="27" t="n"/>
      <c r="O666" s="27" t="n"/>
      <c r="P666" s="27" t="n"/>
      <c r="Q666" s="27" t="n"/>
      <c r="R666" s="27" t="n"/>
      <c r="S666" s="27" t="n"/>
      <c r="T666" s="27" t="n"/>
    </row>
    <row r="667" ht="13.8" customFormat="1" customHeight="1" s="70">
      <c r="M667" s="27" t="n"/>
      <c r="N667" s="27" t="n"/>
      <c r="O667" s="27" t="n"/>
      <c r="P667" s="27" t="n"/>
      <c r="Q667" s="27" t="n"/>
      <c r="R667" s="27" t="n"/>
      <c r="S667" s="27" t="n"/>
      <c r="T667" s="27" t="n"/>
    </row>
    <row r="668" ht="13.8" customFormat="1" customHeight="1" s="70">
      <c r="M668" s="27" t="n"/>
      <c r="N668" s="27" t="n"/>
      <c r="O668" s="27" t="n"/>
      <c r="P668" s="27" t="n"/>
      <c r="Q668" s="27" t="n"/>
      <c r="R668" s="27" t="n"/>
      <c r="S668" s="27" t="n"/>
      <c r="T668" s="27" t="n"/>
    </row>
    <row r="669" ht="13.8" customFormat="1" customHeight="1" s="70">
      <c r="M669" s="27" t="n"/>
      <c r="N669" s="27" t="n"/>
      <c r="O669" s="27" t="n"/>
      <c r="P669" s="27" t="n"/>
      <c r="Q669" s="27" t="n"/>
      <c r="R669" s="27" t="n"/>
      <c r="S669" s="27" t="n"/>
      <c r="T669" s="27" t="n"/>
    </row>
    <row r="670" ht="13.8" customFormat="1" customHeight="1" s="70">
      <c r="M670" s="27" t="n"/>
      <c r="N670" s="27" t="n"/>
      <c r="O670" s="27" t="n"/>
      <c r="P670" s="27" t="n"/>
      <c r="Q670" s="27" t="n"/>
      <c r="R670" s="27" t="n"/>
      <c r="S670" s="27" t="n"/>
      <c r="T670" s="27" t="n"/>
    </row>
    <row r="671" ht="13.8" customFormat="1" customHeight="1" s="70">
      <c r="M671" s="27" t="n"/>
      <c r="N671" s="27" t="n"/>
      <c r="O671" s="27" t="n"/>
      <c r="P671" s="27" t="n"/>
      <c r="Q671" s="27" t="n"/>
      <c r="R671" s="27" t="n"/>
      <c r="S671" s="27" t="n"/>
      <c r="T671" s="27" t="n"/>
    </row>
    <row r="672" ht="13.8" customFormat="1" customHeight="1" s="70">
      <c r="M672" s="27" t="n"/>
      <c r="N672" s="27" t="n"/>
      <c r="O672" s="27" t="n"/>
      <c r="P672" s="27" t="n"/>
      <c r="Q672" s="27" t="n"/>
      <c r="R672" s="27" t="n"/>
      <c r="S672" s="27" t="n"/>
      <c r="T672" s="27" t="n"/>
    </row>
    <row r="673" ht="13.8" customFormat="1" customHeight="1" s="70">
      <c r="M673" s="27" t="n"/>
      <c r="N673" s="27" t="n"/>
      <c r="O673" s="27" t="n"/>
      <c r="P673" s="27" t="n"/>
      <c r="Q673" s="27" t="n"/>
      <c r="R673" s="27" t="n"/>
      <c r="S673" s="27" t="n"/>
      <c r="T673" s="27" t="n"/>
    </row>
    <row r="674" ht="13.8" customFormat="1" customHeight="1" s="70">
      <c r="M674" s="27" t="n"/>
      <c r="N674" s="27" t="n"/>
      <c r="O674" s="27" t="n"/>
      <c r="P674" s="27" t="n"/>
      <c r="Q674" s="27" t="n"/>
      <c r="R674" s="27" t="n"/>
      <c r="S674" s="27" t="n"/>
      <c r="T674" s="27" t="n"/>
    </row>
    <row r="675" ht="13.8" customFormat="1" customHeight="1" s="70">
      <c r="M675" s="27" t="n"/>
      <c r="N675" s="27" t="n"/>
      <c r="O675" s="27" t="n"/>
      <c r="P675" s="27" t="n"/>
      <c r="Q675" s="27" t="n"/>
      <c r="R675" s="27" t="n"/>
      <c r="S675" s="27" t="n"/>
      <c r="T675" s="27" t="n"/>
    </row>
    <row r="676" ht="13.8" customFormat="1" customHeight="1" s="70">
      <c r="M676" s="27" t="n"/>
      <c r="N676" s="27" t="n"/>
      <c r="O676" s="27" t="n"/>
      <c r="P676" s="27" t="n"/>
      <c r="Q676" s="27" t="n"/>
      <c r="R676" s="27" t="n"/>
      <c r="S676" s="27" t="n"/>
      <c r="T676" s="27" t="n"/>
    </row>
    <row r="677" ht="13.8" customFormat="1" customHeight="1" s="70">
      <c r="M677" s="27" t="n"/>
      <c r="N677" s="27" t="n"/>
      <c r="O677" s="27" t="n"/>
      <c r="P677" s="27" t="n"/>
      <c r="Q677" s="27" t="n"/>
      <c r="R677" s="27" t="n"/>
      <c r="S677" s="27" t="n"/>
      <c r="T677" s="27" t="n"/>
    </row>
    <row r="678" ht="13.8" customFormat="1" customHeight="1" s="70">
      <c r="M678" s="27" t="n"/>
      <c r="N678" s="27" t="n"/>
      <c r="O678" s="27" t="n"/>
      <c r="P678" s="27" t="n"/>
      <c r="Q678" s="27" t="n"/>
      <c r="R678" s="27" t="n"/>
      <c r="S678" s="27" t="n"/>
      <c r="T678" s="27" t="n"/>
    </row>
    <row r="679" ht="13.8" customFormat="1" customHeight="1" s="70">
      <c r="M679" s="27" t="n"/>
      <c r="N679" s="27" t="n"/>
      <c r="O679" s="27" t="n"/>
      <c r="P679" s="27" t="n"/>
      <c r="Q679" s="27" t="n"/>
      <c r="R679" s="27" t="n"/>
      <c r="S679" s="27" t="n"/>
      <c r="T679" s="27" t="n"/>
    </row>
    <row r="680" ht="13.8" customFormat="1" customHeight="1" s="70">
      <c r="M680" s="27" t="n"/>
      <c r="N680" s="27" t="n"/>
      <c r="O680" s="27" t="n"/>
      <c r="P680" s="27" t="n"/>
      <c r="Q680" s="27" t="n"/>
      <c r="R680" s="27" t="n"/>
      <c r="S680" s="27" t="n"/>
      <c r="T680" s="27" t="n"/>
    </row>
    <row r="681" ht="13.8" customFormat="1" customHeight="1" s="70">
      <c r="M681" s="27" t="n"/>
      <c r="N681" s="27" t="n"/>
      <c r="O681" s="27" t="n"/>
      <c r="P681" s="27" t="n"/>
      <c r="Q681" s="27" t="n"/>
      <c r="R681" s="27" t="n"/>
      <c r="S681" s="27" t="n"/>
      <c r="T681" s="27" t="n"/>
    </row>
    <row r="682" ht="13.8" customFormat="1" customHeight="1" s="70">
      <c r="M682" s="27" t="n"/>
      <c r="N682" s="27" t="n"/>
      <c r="O682" s="27" t="n"/>
      <c r="P682" s="27" t="n"/>
      <c r="Q682" s="27" t="n"/>
      <c r="R682" s="27" t="n"/>
      <c r="S682" s="27" t="n"/>
      <c r="T682" s="27" t="n"/>
    </row>
    <row r="683" ht="13.8" customFormat="1" customHeight="1" s="70">
      <c r="M683" s="27" t="n"/>
      <c r="N683" s="27" t="n"/>
      <c r="O683" s="27" t="n"/>
      <c r="P683" s="27" t="n"/>
      <c r="Q683" s="27" t="n"/>
      <c r="R683" s="27" t="n"/>
      <c r="S683" s="27" t="n"/>
      <c r="T683" s="27" t="n"/>
    </row>
    <row r="684" ht="13.8" customFormat="1" customHeight="1" s="70">
      <c r="M684" s="27" t="n"/>
      <c r="N684" s="27" t="n"/>
      <c r="O684" s="27" t="n"/>
      <c r="P684" s="27" t="n"/>
      <c r="Q684" s="27" t="n"/>
      <c r="R684" s="27" t="n"/>
      <c r="S684" s="27" t="n"/>
      <c r="T684" s="27" t="n"/>
    </row>
    <row r="685" ht="13.8" customFormat="1" customHeight="1" s="70">
      <c r="M685" s="27" t="n"/>
      <c r="N685" s="27" t="n"/>
      <c r="O685" s="27" t="n"/>
      <c r="P685" s="27" t="n"/>
      <c r="Q685" s="27" t="n"/>
      <c r="R685" s="27" t="n"/>
      <c r="S685" s="27" t="n"/>
      <c r="T685" s="27" t="n"/>
    </row>
    <row r="686" ht="13.8" customFormat="1" customHeight="1" s="70">
      <c r="M686" s="27" t="n"/>
      <c r="N686" s="27" t="n"/>
      <c r="O686" s="27" t="n"/>
      <c r="P686" s="27" t="n"/>
      <c r="Q686" s="27" t="n"/>
      <c r="R686" s="27" t="n"/>
      <c r="S686" s="27" t="n"/>
      <c r="T686" s="27" t="n"/>
    </row>
    <row r="687" ht="13.8" customFormat="1" customHeight="1" s="70">
      <c r="M687" s="27" t="n"/>
      <c r="N687" s="27" t="n"/>
      <c r="O687" s="27" t="n"/>
      <c r="P687" s="27" t="n"/>
      <c r="Q687" s="27" t="n"/>
      <c r="R687" s="27" t="n"/>
      <c r="S687" s="27" t="n"/>
      <c r="T687" s="27" t="n"/>
    </row>
    <row r="688" ht="13.8" customFormat="1" customHeight="1" s="70">
      <c r="M688" s="27" t="n"/>
      <c r="N688" s="27" t="n"/>
      <c r="O688" s="27" t="n"/>
      <c r="P688" s="27" t="n"/>
      <c r="Q688" s="27" t="n"/>
      <c r="R688" s="27" t="n"/>
      <c r="S688" s="27" t="n"/>
      <c r="T688" s="27" t="n"/>
    </row>
    <row r="689" ht="13.8" customFormat="1" customHeight="1" s="70">
      <c r="M689" s="27" t="n"/>
      <c r="N689" s="27" t="n"/>
      <c r="O689" s="27" t="n"/>
      <c r="P689" s="27" t="n"/>
      <c r="Q689" s="27" t="n"/>
      <c r="R689" s="27" t="n"/>
      <c r="S689" s="27" t="n"/>
      <c r="T689" s="27" t="n"/>
    </row>
    <row r="690" ht="13.8" customFormat="1" customHeight="1" s="70">
      <c r="M690" s="27" t="n"/>
      <c r="N690" s="27" t="n"/>
      <c r="O690" s="27" t="n"/>
      <c r="P690" s="27" t="n"/>
      <c r="Q690" s="27" t="n"/>
      <c r="R690" s="27" t="n"/>
      <c r="S690" s="27" t="n"/>
      <c r="T690" s="27" t="n"/>
    </row>
    <row r="691" ht="13.8" customFormat="1" customHeight="1" s="70">
      <c r="M691" s="27" t="n"/>
      <c r="N691" s="27" t="n"/>
      <c r="O691" s="27" t="n"/>
      <c r="P691" s="27" t="n"/>
      <c r="Q691" s="27" t="n"/>
      <c r="R691" s="27" t="n"/>
      <c r="S691" s="27" t="n"/>
      <c r="T691" s="27" t="n"/>
    </row>
    <row r="692" ht="13.8" customFormat="1" customHeight="1" s="70">
      <c r="M692" s="27" t="n"/>
      <c r="N692" s="27" t="n"/>
      <c r="O692" s="27" t="n"/>
      <c r="P692" s="27" t="n"/>
      <c r="Q692" s="27" t="n"/>
      <c r="R692" s="27" t="n"/>
      <c r="S692" s="27" t="n"/>
      <c r="T692" s="27" t="n"/>
    </row>
    <row r="693" ht="13.8" customFormat="1" customHeight="1" s="70">
      <c r="M693" s="27" t="n"/>
      <c r="N693" s="27" t="n"/>
      <c r="O693" s="27" t="n"/>
      <c r="P693" s="27" t="n"/>
      <c r="Q693" s="27" t="n"/>
      <c r="R693" s="27" t="n"/>
      <c r="S693" s="27" t="n"/>
      <c r="T693" s="27" t="n"/>
    </row>
    <row r="694" ht="13.8" customFormat="1" customHeight="1" s="70">
      <c r="M694" s="27" t="n"/>
      <c r="N694" s="27" t="n"/>
      <c r="O694" s="27" t="n"/>
      <c r="P694" s="27" t="n"/>
      <c r="Q694" s="27" t="n"/>
      <c r="R694" s="27" t="n"/>
      <c r="S694" s="27" t="n"/>
      <c r="T694" s="27" t="n"/>
    </row>
    <row r="695" ht="13.8" customFormat="1" customHeight="1" s="70">
      <c r="M695" s="27" t="n"/>
      <c r="N695" s="27" t="n"/>
      <c r="O695" s="27" t="n"/>
      <c r="P695" s="27" t="n"/>
      <c r="Q695" s="27" t="n"/>
      <c r="R695" s="27" t="n"/>
      <c r="S695" s="27" t="n"/>
      <c r="T695" s="27" t="n"/>
    </row>
    <row r="696" ht="13.8" customFormat="1" customHeight="1" s="70">
      <c r="M696" s="27" t="n"/>
      <c r="N696" s="27" t="n"/>
      <c r="O696" s="27" t="n"/>
      <c r="P696" s="27" t="n"/>
      <c r="Q696" s="27" t="n"/>
      <c r="R696" s="27" t="n"/>
      <c r="S696" s="27" t="n"/>
      <c r="T696" s="27" t="n"/>
    </row>
    <row r="697" ht="13.8" customFormat="1" customHeight="1" s="70">
      <c r="M697" s="27" t="n"/>
      <c r="N697" s="27" t="n"/>
      <c r="O697" s="27" t="n"/>
      <c r="P697" s="27" t="n"/>
      <c r="Q697" s="27" t="n"/>
      <c r="R697" s="27" t="n"/>
      <c r="S697" s="27" t="n"/>
      <c r="T697" s="27" t="n"/>
    </row>
    <row r="698" ht="13.8" customFormat="1" customHeight="1" s="70">
      <c r="M698" s="27" t="n"/>
      <c r="N698" s="27" t="n"/>
      <c r="O698" s="27" t="n"/>
      <c r="P698" s="27" t="n"/>
      <c r="Q698" s="27" t="n"/>
      <c r="R698" s="27" t="n"/>
      <c r="S698" s="27" t="n"/>
      <c r="T698" s="27" t="n"/>
    </row>
    <row r="699" ht="13.8" customFormat="1" customHeight="1" s="70">
      <c r="M699" s="27" t="n"/>
      <c r="N699" s="27" t="n"/>
      <c r="O699" s="27" t="n"/>
      <c r="P699" s="27" t="n"/>
      <c r="Q699" s="27" t="n"/>
      <c r="R699" s="27" t="n"/>
      <c r="S699" s="27" t="n"/>
      <c r="T699" s="27" t="n"/>
    </row>
    <row r="700" ht="13.8" customFormat="1" customHeight="1" s="70">
      <c r="M700" s="27" t="n"/>
      <c r="N700" s="27" t="n"/>
      <c r="O700" s="27" t="n"/>
      <c r="P700" s="27" t="n"/>
      <c r="Q700" s="27" t="n"/>
      <c r="R700" s="27" t="n"/>
      <c r="S700" s="27" t="n"/>
      <c r="T700" s="27" t="n"/>
    </row>
    <row r="701" ht="13.8" customFormat="1" customHeight="1" s="70">
      <c r="M701" s="27" t="n"/>
      <c r="N701" s="27" t="n"/>
      <c r="O701" s="27" t="n"/>
      <c r="P701" s="27" t="n"/>
      <c r="Q701" s="27" t="n"/>
      <c r="R701" s="27" t="n"/>
      <c r="S701" s="27" t="n"/>
      <c r="T701" s="27" t="n"/>
    </row>
    <row r="702" ht="13.8" customFormat="1" customHeight="1" s="70">
      <c r="M702" s="27" t="n"/>
      <c r="N702" s="27" t="n"/>
      <c r="O702" s="27" t="n"/>
      <c r="P702" s="27" t="n"/>
      <c r="Q702" s="27" t="n"/>
      <c r="R702" s="27" t="n"/>
      <c r="S702" s="27" t="n"/>
      <c r="T702" s="27" t="n"/>
    </row>
    <row r="703" ht="13.8" customFormat="1" customHeight="1" s="70">
      <c r="M703" s="27" t="n"/>
      <c r="N703" s="27" t="n"/>
      <c r="O703" s="27" t="n"/>
      <c r="P703" s="27" t="n"/>
      <c r="Q703" s="27" t="n"/>
      <c r="R703" s="27" t="n"/>
      <c r="S703" s="27" t="n"/>
      <c r="T703" s="27" t="n"/>
    </row>
    <row r="704" ht="13.8" customFormat="1" customHeight="1" s="70">
      <c r="M704" s="27" t="n"/>
      <c r="N704" s="27" t="n"/>
      <c r="O704" s="27" t="n"/>
      <c r="P704" s="27" t="n"/>
      <c r="Q704" s="27" t="n"/>
      <c r="R704" s="27" t="n"/>
      <c r="S704" s="27" t="n"/>
      <c r="T704" s="27" t="n"/>
    </row>
    <row r="705" ht="13.8" customFormat="1" customHeight="1" s="70">
      <c r="M705" s="27" t="n"/>
      <c r="N705" s="27" t="n"/>
      <c r="O705" s="27" t="n"/>
      <c r="P705" s="27" t="n"/>
      <c r="Q705" s="27" t="n"/>
      <c r="R705" s="27" t="n"/>
      <c r="S705" s="27" t="n"/>
      <c r="T705" s="27" t="n"/>
    </row>
    <row r="706" ht="13.8" customFormat="1" customHeight="1" s="70">
      <c r="M706" s="27" t="n"/>
      <c r="N706" s="27" t="n"/>
      <c r="O706" s="27" t="n"/>
      <c r="P706" s="27" t="n"/>
      <c r="Q706" s="27" t="n"/>
      <c r="R706" s="27" t="n"/>
      <c r="S706" s="27" t="n"/>
      <c r="T706" s="27" t="n"/>
    </row>
    <row r="707" ht="13.8" customFormat="1" customHeight="1" s="70">
      <c r="M707" s="27" t="n"/>
      <c r="N707" s="27" t="n"/>
      <c r="O707" s="27" t="n"/>
      <c r="P707" s="27" t="n"/>
      <c r="Q707" s="27" t="n"/>
      <c r="R707" s="27" t="n"/>
      <c r="S707" s="27" t="n"/>
      <c r="T707" s="27" t="n"/>
    </row>
    <row r="708" ht="13.8" customFormat="1" customHeight="1" s="70">
      <c r="M708" s="27" t="n"/>
      <c r="N708" s="27" t="n"/>
      <c r="O708" s="27" t="n"/>
      <c r="P708" s="27" t="n"/>
      <c r="Q708" s="27" t="n"/>
      <c r="R708" s="27" t="n"/>
      <c r="S708" s="27" t="n"/>
      <c r="T708" s="27" t="n"/>
    </row>
    <row r="709" ht="13.8" customFormat="1" customHeight="1" s="70">
      <c r="M709" s="27" t="n"/>
      <c r="N709" s="27" t="n"/>
      <c r="O709" s="27" t="n"/>
      <c r="P709" s="27" t="n"/>
      <c r="Q709" s="27" t="n"/>
      <c r="R709" s="27" t="n"/>
      <c r="S709" s="27" t="n"/>
      <c r="T709" s="27" t="n"/>
    </row>
    <row r="710" ht="13.8" customFormat="1" customHeight="1" s="70">
      <c r="M710" s="27" t="n"/>
      <c r="N710" s="27" t="n"/>
      <c r="O710" s="27" t="n"/>
      <c r="P710" s="27" t="n"/>
      <c r="Q710" s="27" t="n"/>
      <c r="R710" s="27" t="n"/>
      <c r="S710" s="27" t="n"/>
      <c r="T710" s="27" t="n"/>
    </row>
    <row r="711" ht="13.8" customFormat="1" customHeight="1" s="70">
      <c r="M711" s="27" t="n"/>
      <c r="N711" s="27" t="n"/>
      <c r="O711" s="27" t="n"/>
      <c r="P711" s="27" t="n"/>
      <c r="Q711" s="27" t="n"/>
      <c r="R711" s="27" t="n"/>
      <c r="S711" s="27" t="n"/>
      <c r="T711" s="27" t="n"/>
    </row>
    <row r="712" ht="13.8" customFormat="1" customHeight="1" s="70">
      <c r="M712" s="27" t="n"/>
      <c r="N712" s="27" t="n"/>
      <c r="O712" s="27" t="n"/>
      <c r="P712" s="27" t="n"/>
      <c r="Q712" s="27" t="n"/>
      <c r="R712" s="27" t="n"/>
      <c r="S712" s="27" t="n"/>
      <c r="T712" s="27" t="n"/>
    </row>
    <row r="713" ht="13.8" customFormat="1" customHeight="1" s="70">
      <c r="M713" s="27" t="n"/>
      <c r="N713" s="27" t="n"/>
      <c r="O713" s="27" t="n"/>
      <c r="P713" s="27" t="n"/>
      <c r="Q713" s="27" t="n"/>
      <c r="R713" s="27" t="n"/>
      <c r="S713" s="27" t="n"/>
      <c r="T713" s="27" t="n"/>
    </row>
    <row r="714" ht="13.8" customFormat="1" customHeight="1" s="70">
      <c r="M714" s="27" t="n"/>
      <c r="N714" s="27" t="n"/>
      <c r="O714" s="27" t="n"/>
      <c r="P714" s="27" t="n"/>
      <c r="Q714" s="27" t="n"/>
      <c r="R714" s="27" t="n"/>
      <c r="S714" s="27" t="n"/>
      <c r="T714" s="27" t="n"/>
    </row>
    <row r="715" ht="13.8" customFormat="1" customHeight="1" s="70">
      <c r="M715" s="27" t="n"/>
      <c r="N715" s="27" t="n"/>
      <c r="O715" s="27" t="n"/>
      <c r="P715" s="27" t="n"/>
      <c r="Q715" s="27" t="n"/>
      <c r="R715" s="27" t="n"/>
      <c r="S715" s="27" t="n"/>
      <c r="T715" s="27" t="n"/>
    </row>
    <row r="716" ht="13.8" customFormat="1" customHeight="1" s="70">
      <c r="M716" s="27" t="n"/>
      <c r="N716" s="27" t="n"/>
      <c r="O716" s="27" t="n"/>
      <c r="P716" s="27" t="n"/>
      <c r="Q716" s="27" t="n"/>
      <c r="R716" s="27" t="n"/>
      <c r="S716" s="27" t="n"/>
      <c r="T716" s="27" t="n"/>
    </row>
    <row r="717" ht="13.8" customFormat="1" customHeight="1" s="70">
      <c r="M717" s="27" t="n"/>
      <c r="N717" s="27" t="n"/>
      <c r="O717" s="27" t="n"/>
      <c r="P717" s="27" t="n"/>
      <c r="Q717" s="27" t="n"/>
      <c r="R717" s="27" t="n"/>
      <c r="S717" s="27" t="n"/>
      <c r="T717" s="27" t="n"/>
    </row>
    <row r="718" ht="13.8" customFormat="1" customHeight="1" s="70">
      <c r="M718" s="27" t="n"/>
      <c r="N718" s="27" t="n"/>
      <c r="O718" s="27" t="n"/>
      <c r="P718" s="27" t="n"/>
      <c r="Q718" s="27" t="n"/>
      <c r="R718" s="27" t="n"/>
      <c r="S718" s="27" t="n"/>
      <c r="T718" s="27" t="n"/>
    </row>
    <row r="719" ht="13.8" customFormat="1" customHeight="1" s="70">
      <c r="M719" s="27" t="n"/>
      <c r="N719" s="27" t="n"/>
      <c r="O719" s="27" t="n"/>
      <c r="P719" s="27" t="n"/>
      <c r="Q719" s="27" t="n"/>
      <c r="R719" s="27" t="n"/>
      <c r="S719" s="27" t="n"/>
      <c r="T719" s="27" t="n"/>
    </row>
    <row r="720" ht="13.8" customFormat="1" customHeight="1" s="70">
      <c r="M720" s="27" t="n"/>
      <c r="N720" s="27" t="n"/>
      <c r="O720" s="27" t="n"/>
      <c r="P720" s="27" t="n"/>
      <c r="Q720" s="27" t="n"/>
      <c r="R720" s="27" t="n"/>
      <c r="S720" s="27" t="n"/>
      <c r="T720" s="27" t="n"/>
    </row>
    <row r="721" ht="13.8" customFormat="1" customHeight="1" s="70">
      <c r="M721" s="27" t="n"/>
      <c r="N721" s="27" t="n"/>
      <c r="O721" s="27" t="n"/>
      <c r="P721" s="27" t="n"/>
      <c r="Q721" s="27" t="n"/>
      <c r="R721" s="27" t="n"/>
      <c r="S721" s="27" t="n"/>
      <c r="T721" s="27" t="n"/>
    </row>
    <row r="722" ht="13.8" customFormat="1" customHeight="1" s="70">
      <c r="M722" s="27" t="n"/>
      <c r="N722" s="27" t="n"/>
      <c r="O722" s="27" t="n"/>
      <c r="P722" s="27" t="n"/>
      <c r="Q722" s="27" t="n"/>
      <c r="R722" s="27" t="n"/>
      <c r="S722" s="27" t="n"/>
      <c r="T722" s="27" t="n"/>
    </row>
    <row r="723" ht="13.8" customFormat="1" customHeight="1" s="70">
      <c r="M723" s="27" t="n"/>
      <c r="N723" s="27" t="n"/>
      <c r="O723" s="27" t="n"/>
      <c r="P723" s="27" t="n"/>
      <c r="Q723" s="27" t="n"/>
      <c r="R723" s="27" t="n"/>
      <c r="S723" s="27" t="n"/>
      <c r="T723" s="27" t="n"/>
    </row>
    <row r="724" ht="13.8" customFormat="1" customHeight="1" s="70">
      <c r="M724" s="27" t="n"/>
      <c r="N724" s="27" t="n"/>
      <c r="O724" s="27" t="n"/>
      <c r="P724" s="27" t="n"/>
      <c r="Q724" s="27" t="n"/>
      <c r="R724" s="27" t="n"/>
      <c r="S724" s="27" t="n"/>
      <c r="T724" s="27" t="n"/>
    </row>
    <row r="725" ht="13.8" customFormat="1" customHeight="1" s="70">
      <c r="M725" s="27" t="n"/>
      <c r="N725" s="27" t="n"/>
      <c r="O725" s="27" t="n"/>
      <c r="P725" s="27" t="n"/>
      <c r="Q725" s="27" t="n"/>
      <c r="R725" s="27" t="n"/>
      <c r="S725" s="27" t="n"/>
      <c r="T725" s="27" t="n"/>
    </row>
    <row r="726" ht="13.8" customFormat="1" customHeight="1" s="70">
      <c r="M726" s="27" t="n"/>
      <c r="N726" s="27" t="n"/>
      <c r="O726" s="27" t="n"/>
      <c r="P726" s="27" t="n"/>
      <c r="Q726" s="27" t="n"/>
      <c r="R726" s="27" t="n"/>
      <c r="S726" s="27" t="n"/>
      <c r="T726" s="27" t="n"/>
    </row>
    <row r="727" ht="13.8" customFormat="1" customHeight="1" s="70">
      <c r="M727" s="27" t="n"/>
      <c r="N727" s="27" t="n"/>
      <c r="O727" s="27" t="n"/>
      <c r="P727" s="27" t="n"/>
      <c r="Q727" s="27" t="n"/>
      <c r="R727" s="27" t="n"/>
      <c r="S727" s="27" t="n"/>
      <c r="T727" s="27" t="n"/>
    </row>
    <row r="728" ht="13.8" customFormat="1" customHeight="1" s="70">
      <c r="M728" s="27" t="n"/>
      <c r="N728" s="27" t="n"/>
      <c r="O728" s="27" t="n"/>
      <c r="P728" s="27" t="n"/>
      <c r="Q728" s="27" t="n"/>
      <c r="R728" s="27" t="n"/>
      <c r="S728" s="27" t="n"/>
      <c r="T728" s="27" t="n"/>
    </row>
    <row r="729" ht="13.8" customFormat="1" customHeight="1" s="70">
      <c r="M729" s="27" t="n"/>
      <c r="N729" s="27" t="n"/>
      <c r="O729" s="27" t="n"/>
      <c r="P729" s="27" t="n"/>
      <c r="Q729" s="27" t="n"/>
      <c r="R729" s="27" t="n"/>
      <c r="S729" s="27" t="n"/>
      <c r="T729" s="27" t="n"/>
    </row>
    <row r="730" ht="13.8" customFormat="1" customHeight="1" s="70">
      <c r="M730" s="27" t="n"/>
      <c r="N730" s="27" t="n"/>
      <c r="O730" s="27" t="n"/>
      <c r="P730" s="27" t="n"/>
      <c r="Q730" s="27" t="n"/>
      <c r="R730" s="27" t="n"/>
      <c r="S730" s="27" t="n"/>
      <c r="T730" s="27" t="n"/>
    </row>
    <row r="731" ht="13.8" customFormat="1" customHeight="1" s="70">
      <c r="M731" s="27" t="n"/>
      <c r="N731" s="27" t="n"/>
      <c r="O731" s="27" t="n"/>
      <c r="P731" s="27" t="n"/>
      <c r="Q731" s="27" t="n"/>
      <c r="R731" s="27" t="n"/>
      <c r="S731" s="27" t="n"/>
      <c r="T731" s="27" t="n"/>
    </row>
    <row r="732" ht="13.8" customFormat="1" customHeight="1" s="70">
      <c r="M732" s="27" t="n"/>
      <c r="N732" s="27" t="n"/>
      <c r="O732" s="27" t="n"/>
      <c r="P732" s="27" t="n"/>
      <c r="Q732" s="27" t="n"/>
      <c r="R732" s="27" t="n"/>
      <c r="S732" s="27" t="n"/>
      <c r="T732" s="27" t="n"/>
    </row>
    <row r="733" ht="13.8" customFormat="1" customHeight="1" s="70">
      <c r="M733" s="27" t="n"/>
      <c r="N733" s="27" t="n"/>
      <c r="O733" s="27" t="n"/>
      <c r="P733" s="27" t="n"/>
      <c r="Q733" s="27" t="n"/>
      <c r="R733" s="27" t="n"/>
      <c r="S733" s="27" t="n"/>
      <c r="T733" s="27" t="n"/>
    </row>
    <row r="734" ht="13.8" customFormat="1" customHeight="1" s="70">
      <c r="M734" s="27" t="n"/>
      <c r="N734" s="27" t="n"/>
      <c r="O734" s="27" t="n"/>
      <c r="P734" s="27" t="n"/>
      <c r="Q734" s="27" t="n"/>
      <c r="R734" s="27" t="n"/>
      <c r="S734" s="27" t="n"/>
      <c r="T734" s="27" t="n"/>
    </row>
    <row r="735" ht="13.8" customFormat="1" customHeight="1" s="70">
      <c r="M735" s="27" t="n"/>
      <c r="N735" s="27" t="n"/>
      <c r="O735" s="27" t="n"/>
      <c r="P735" s="27" t="n"/>
      <c r="Q735" s="27" t="n"/>
      <c r="R735" s="27" t="n"/>
      <c r="S735" s="27" t="n"/>
      <c r="T735" s="27" t="n"/>
    </row>
    <row r="736" ht="13.8" customFormat="1" customHeight="1" s="70">
      <c r="M736" s="27" t="n"/>
      <c r="N736" s="27" t="n"/>
      <c r="O736" s="27" t="n"/>
      <c r="P736" s="27" t="n"/>
      <c r="Q736" s="27" t="n"/>
      <c r="R736" s="27" t="n"/>
      <c r="S736" s="27" t="n"/>
      <c r="T736" s="27" t="n"/>
    </row>
    <row r="737" ht="13.8" customFormat="1" customHeight="1" s="70">
      <c r="M737" s="27" t="n"/>
      <c r="N737" s="27" t="n"/>
      <c r="O737" s="27" t="n"/>
      <c r="P737" s="27" t="n"/>
      <c r="Q737" s="27" t="n"/>
      <c r="R737" s="27" t="n"/>
      <c r="S737" s="27" t="n"/>
      <c r="T737" s="27" t="n"/>
    </row>
    <row r="738" ht="13.8" customFormat="1" customHeight="1" s="70">
      <c r="M738" s="27" t="n"/>
      <c r="N738" s="27" t="n"/>
      <c r="O738" s="27" t="n"/>
      <c r="P738" s="27" t="n"/>
      <c r="Q738" s="27" t="n"/>
      <c r="R738" s="27" t="n"/>
      <c r="S738" s="27" t="n"/>
      <c r="T738" s="27" t="n"/>
    </row>
    <row r="739" ht="13.8" customFormat="1" customHeight="1" s="70">
      <c r="M739" s="27" t="n"/>
      <c r="N739" s="27" t="n"/>
      <c r="O739" s="27" t="n"/>
      <c r="P739" s="27" t="n"/>
      <c r="Q739" s="27" t="n"/>
      <c r="R739" s="27" t="n"/>
      <c r="S739" s="27" t="n"/>
      <c r="T739" s="27" t="n"/>
    </row>
    <row r="740" ht="13.8" customFormat="1" customHeight="1" s="70">
      <c r="M740" s="27" t="n"/>
      <c r="N740" s="27" t="n"/>
      <c r="O740" s="27" t="n"/>
      <c r="P740" s="27" t="n"/>
      <c r="Q740" s="27" t="n"/>
      <c r="R740" s="27" t="n"/>
      <c r="S740" s="27" t="n"/>
      <c r="T740" s="27" t="n"/>
    </row>
    <row r="741" ht="13.8" customFormat="1" customHeight="1" s="70">
      <c r="M741" s="27" t="n"/>
      <c r="N741" s="27" t="n"/>
      <c r="O741" s="27" t="n"/>
      <c r="P741" s="27" t="n"/>
      <c r="Q741" s="27" t="n"/>
      <c r="R741" s="27" t="n"/>
      <c r="S741" s="27" t="n"/>
      <c r="T741" s="27" t="n"/>
    </row>
    <row r="742" ht="13.8" customFormat="1" customHeight="1" s="70">
      <c r="M742" s="27" t="n"/>
      <c r="N742" s="27" t="n"/>
      <c r="O742" s="27" t="n"/>
      <c r="P742" s="27" t="n"/>
      <c r="Q742" s="27" t="n"/>
      <c r="R742" s="27" t="n"/>
      <c r="S742" s="27" t="n"/>
      <c r="T742" s="27" t="n"/>
    </row>
    <row r="743" ht="13.8" customFormat="1" customHeight="1" s="70">
      <c r="M743" s="27" t="n"/>
      <c r="N743" s="27" t="n"/>
      <c r="O743" s="27" t="n"/>
      <c r="P743" s="27" t="n"/>
      <c r="Q743" s="27" t="n"/>
      <c r="R743" s="27" t="n"/>
      <c r="S743" s="27" t="n"/>
      <c r="T743" s="27" t="n"/>
    </row>
    <row r="744" ht="13.8" customFormat="1" customHeight="1" s="70">
      <c r="M744" s="27" t="n"/>
      <c r="N744" s="27" t="n"/>
      <c r="O744" s="27" t="n"/>
      <c r="P744" s="27" t="n"/>
      <c r="Q744" s="27" t="n"/>
      <c r="R744" s="27" t="n"/>
      <c r="S744" s="27" t="n"/>
      <c r="T744" s="27" t="n"/>
    </row>
    <row r="745" ht="13.8" customFormat="1" customHeight="1" s="70">
      <c r="M745" s="27" t="n"/>
      <c r="N745" s="27" t="n"/>
      <c r="O745" s="27" t="n"/>
      <c r="P745" s="27" t="n"/>
      <c r="Q745" s="27" t="n"/>
      <c r="R745" s="27" t="n"/>
      <c r="S745" s="27" t="n"/>
      <c r="T745" s="27" t="n"/>
    </row>
    <row r="746" ht="13.8" customFormat="1" customHeight="1" s="70">
      <c r="M746" s="27" t="n"/>
      <c r="N746" s="27" t="n"/>
      <c r="O746" s="27" t="n"/>
      <c r="P746" s="27" t="n"/>
      <c r="Q746" s="27" t="n"/>
      <c r="R746" s="27" t="n"/>
      <c r="S746" s="27" t="n"/>
      <c r="T746" s="27" t="n"/>
    </row>
    <row r="747" ht="13.8" customFormat="1" customHeight="1" s="70">
      <c r="M747" s="27" t="n"/>
      <c r="N747" s="27" t="n"/>
      <c r="O747" s="27" t="n"/>
      <c r="P747" s="27" t="n"/>
      <c r="Q747" s="27" t="n"/>
      <c r="R747" s="27" t="n"/>
      <c r="S747" s="27" t="n"/>
      <c r="T747" s="27" t="n"/>
    </row>
    <row r="748" ht="13.8" customFormat="1" customHeight="1" s="70">
      <c r="M748" s="27" t="n"/>
      <c r="N748" s="27" t="n"/>
      <c r="O748" s="27" t="n"/>
      <c r="P748" s="27" t="n"/>
      <c r="Q748" s="27" t="n"/>
      <c r="R748" s="27" t="n"/>
      <c r="S748" s="27" t="n"/>
      <c r="T748" s="27" t="n"/>
    </row>
    <row r="749" ht="13.8" customFormat="1" customHeight="1" s="70">
      <c r="M749" s="27" t="n"/>
      <c r="N749" s="27" t="n"/>
      <c r="O749" s="27" t="n"/>
      <c r="P749" s="27" t="n"/>
      <c r="Q749" s="27" t="n"/>
      <c r="R749" s="27" t="n"/>
      <c r="S749" s="27" t="n"/>
      <c r="T749" s="27" t="n"/>
    </row>
    <row r="750" ht="13.8" customFormat="1" customHeight="1" s="70">
      <c r="M750" s="27" t="n"/>
      <c r="N750" s="27" t="n"/>
      <c r="O750" s="27" t="n"/>
      <c r="P750" s="27" t="n"/>
      <c r="Q750" s="27" t="n"/>
      <c r="R750" s="27" t="n"/>
      <c r="S750" s="27" t="n"/>
      <c r="T750" s="27" t="n"/>
    </row>
    <row r="751" ht="13.8" customFormat="1" customHeight="1" s="70">
      <c r="M751" s="27" t="n"/>
      <c r="N751" s="27" t="n"/>
      <c r="O751" s="27" t="n"/>
      <c r="P751" s="27" t="n"/>
      <c r="Q751" s="27" t="n"/>
      <c r="R751" s="27" t="n"/>
      <c r="S751" s="27" t="n"/>
      <c r="T751" s="27" t="n"/>
    </row>
    <row r="752" ht="13.8" customFormat="1" customHeight="1" s="70">
      <c r="M752" s="27" t="n"/>
      <c r="N752" s="27" t="n"/>
      <c r="O752" s="27" t="n"/>
      <c r="P752" s="27" t="n"/>
      <c r="Q752" s="27" t="n"/>
      <c r="R752" s="27" t="n"/>
      <c r="S752" s="27" t="n"/>
      <c r="T752" s="27" t="n"/>
    </row>
    <row r="753" ht="13.8" customFormat="1" customHeight="1" s="70">
      <c r="M753" s="27" t="n"/>
      <c r="N753" s="27" t="n"/>
      <c r="O753" s="27" t="n"/>
      <c r="P753" s="27" t="n"/>
      <c r="Q753" s="27" t="n"/>
      <c r="R753" s="27" t="n"/>
      <c r="S753" s="27" t="n"/>
      <c r="T753" s="27" t="n"/>
    </row>
    <row r="754" ht="13.8" customFormat="1" customHeight="1" s="70">
      <c r="M754" s="27" t="n"/>
      <c r="N754" s="27" t="n"/>
      <c r="O754" s="27" t="n"/>
      <c r="P754" s="27" t="n"/>
      <c r="Q754" s="27" t="n"/>
      <c r="R754" s="27" t="n"/>
      <c r="S754" s="27" t="n"/>
      <c r="T754" s="27" t="n"/>
    </row>
    <row r="755" ht="13.8" customFormat="1" customHeight="1" s="70">
      <c r="M755" s="27" t="n"/>
      <c r="N755" s="27" t="n"/>
      <c r="O755" s="27" t="n"/>
      <c r="P755" s="27" t="n"/>
      <c r="Q755" s="27" t="n"/>
      <c r="R755" s="27" t="n"/>
      <c r="S755" s="27" t="n"/>
      <c r="T755" s="27" t="n"/>
    </row>
    <row r="756" ht="13.8" customFormat="1" customHeight="1" s="70">
      <c r="M756" s="27" t="n"/>
      <c r="N756" s="27" t="n"/>
      <c r="O756" s="27" t="n"/>
      <c r="P756" s="27" t="n"/>
      <c r="Q756" s="27" t="n"/>
      <c r="R756" s="27" t="n"/>
      <c r="S756" s="27" t="n"/>
      <c r="T756" s="27" t="n"/>
    </row>
    <row r="757" ht="13.8" customFormat="1" customHeight="1" s="70">
      <c r="M757" s="27" t="n"/>
      <c r="N757" s="27" t="n"/>
      <c r="O757" s="27" t="n"/>
      <c r="P757" s="27" t="n"/>
      <c r="Q757" s="27" t="n"/>
      <c r="R757" s="27" t="n"/>
      <c r="S757" s="27" t="n"/>
      <c r="T757" s="27" t="n"/>
    </row>
    <row r="758" ht="13.8" customFormat="1" customHeight="1" s="70">
      <c r="M758" s="27" t="n"/>
      <c r="N758" s="27" t="n"/>
      <c r="O758" s="27" t="n"/>
      <c r="P758" s="27" t="n"/>
      <c r="Q758" s="27" t="n"/>
      <c r="R758" s="27" t="n"/>
      <c r="S758" s="27" t="n"/>
      <c r="T758" s="27" t="n"/>
    </row>
    <row r="759" ht="13.8" customFormat="1" customHeight="1" s="70">
      <c r="M759" s="27" t="n"/>
      <c r="N759" s="27" t="n"/>
      <c r="O759" s="27" t="n"/>
      <c r="P759" s="27" t="n"/>
      <c r="Q759" s="27" t="n"/>
      <c r="R759" s="27" t="n"/>
      <c r="S759" s="27" t="n"/>
      <c r="T759" s="27" t="n"/>
    </row>
    <row r="760" ht="13.8" customFormat="1" customHeight="1" s="70">
      <c r="M760" s="27" t="n"/>
      <c r="N760" s="27" t="n"/>
      <c r="O760" s="27" t="n"/>
      <c r="P760" s="27" t="n"/>
      <c r="Q760" s="27" t="n"/>
      <c r="R760" s="27" t="n"/>
      <c r="S760" s="27" t="n"/>
      <c r="T760" s="27" t="n"/>
    </row>
    <row r="761" ht="13.8" customFormat="1" customHeight="1" s="70">
      <c r="M761" s="27" t="n"/>
      <c r="N761" s="27" t="n"/>
      <c r="O761" s="27" t="n"/>
      <c r="P761" s="27" t="n"/>
      <c r="Q761" s="27" t="n"/>
      <c r="R761" s="27" t="n"/>
      <c r="S761" s="27" t="n"/>
      <c r="T761" s="27" t="n"/>
    </row>
    <row r="762" ht="13.8" customFormat="1" customHeight="1" s="70">
      <c r="M762" s="27" t="n"/>
      <c r="N762" s="27" t="n"/>
      <c r="O762" s="27" t="n"/>
      <c r="P762" s="27" t="n"/>
      <c r="Q762" s="27" t="n"/>
      <c r="R762" s="27" t="n"/>
      <c r="S762" s="27" t="n"/>
      <c r="T762" s="27" t="n"/>
    </row>
    <row r="763" ht="13.8" customFormat="1" customHeight="1" s="70">
      <c r="M763" s="27" t="n"/>
      <c r="N763" s="27" t="n"/>
      <c r="O763" s="27" t="n"/>
      <c r="P763" s="27" t="n"/>
      <c r="Q763" s="27" t="n"/>
      <c r="R763" s="27" t="n"/>
      <c r="S763" s="27" t="n"/>
      <c r="T763" s="27" t="n"/>
    </row>
    <row r="764" ht="13.8" customFormat="1" customHeight="1" s="70">
      <c r="M764" s="27" t="n"/>
      <c r="N764" s="27" t="n"/>
      <c r="O764" s="27" t="n"/>
      <c r="P764" s="27" t="n"/>
      <c r="Q764" s="27" t="n"/>
      <c r="R764" s="27" t="n"/>
      <c r="S764" s="27" t="n"/>
      <c r="T764" s="27" t="n"/>
    </row>
    <row r="765" ht="13.8" customFormat="1" customHeight="1" s="70">
      <c r="M765" s="27" t="n"/>
      <c r="N765" s="27" t="n"/>
      <c r="O765" s="27" t="n"/>
      <c r="P765" s="27" t="n"/>
      <c r="Q765" s="27" t="n"/>
      <c r="R765" s="27" t="n"/>
      <c r="S765" s="27" t="n"/>
      <c r="T765" s="27" t="n"/>
    </row>
    <row r="766" ht="13.8" customFormat="1" customHeight="1" s="70">
      <c r="M766" s="27" t="n"/>
      <c r="N766" s="27" t="n"/>
      <c r="O766" s="27" t="n"/>
      <c r="P766" s="27" t="n"/>
      <c r="Q766" s="27" t="n"/>
      <c r="R766" s="27" t="n"/>
      <c r="S766" s="27" t="n"/>
      <c r="T766" s="27" t="n"/>
    </row>
    <row r="767" ht="13.8" customFormat="1" customHeight="1" s="70">
      <c r="M767" s="27" t="n"/>
      <c r="N767" s="27" t="n"/>
      <c r="O767" s="27" t="n"/>
      <c r="P767" s="27" t="n"/>
      <c r="Q767" s="27" t="n"/>
      <c r="R767" s="27" t="n"/>
      <c r="S767" s="27" t="n"/>
      <c r="T767" s="27" t="n"/>
    </row>
    <row r="768" ht="13.8" customFormat="1" customHeight="1" s="70">
      <c r="M768" s="27" t="n"/>
      <c r="N768" s="27" t="n"/>
      <c r="O768" s="27" t="n"/>
      <c r="P768" s="27" t="n"/>
      <c r="Q768" s="27" t="n"/>
      <c r="R768" s="27" t="n"/>
      <c r="S768" s="27" t="n"/>
      <c r="T768" s="27" t="n"/>
    </row>
    <row r="769" ht="13.8" customFormat="1" customHeight="1" s="70">
      <c r="M769" s="27" t="n"/>
      <c r="N769" s="27" t="n"/>
      <c r="O769" s="27" t="n"/>
      <c r="P769" s="27" t="n"/>
      <c r="Q769" s="27" t="n"/>
      <c r="R769" s="27" t="n"/>
      <c r="S769" s="27" t="n"/>
      <c r="T769" s="27" t="n"/>
    </row>
    <row r="770" ht="13.8" customFormat="1" customHeight="1" s="70">
      <c r="M770" s="27" t="n"/>
      <c r="N770" s="27" t="n"/>
      <c r="O770" s="27" t="n"/>
      <c r="P770" s="27" t="n"/>
      <c r="Q770" s="27" t="n"/>
      <c r="R770" s="27" t="n"/>
      <c r="S770" s="27" t="n"/>
      <c r="T770" s="27" t="n"/>
    </row>
    <row r="771" ht="13.8" customFormat="1" customHeight="1" s="70">
      <c r="M771" s="27" t="n"/>
      <c r="N771" s="27" t="n"/>
      <c r="O771" s="27" t="n"/>
      <c r="P771" s="27" t="n"/>
      <c r="Q771" s="27" t="n"/>
      <c r="R771" s="27" t="n"/>
      <c r="S771" s="27" t="n"/>
      <c r="T771" s="27" t="n"/>
    </row>
    <row r="772" ht="13.8" customFormat="1" customHeight="1" s="70">
      <c r="M772" s="27" t="n"/>
      <c r="N772" s="27" t="n"/>
      <c r="O772" s="27" t="n"/>
      <c r="P772" s="27" t="n"/>
      <c r="Q772" s="27" t="n"/>
      <c r="R772" s="27" t="n"/>
      <c r="S772" s="27" t="n"/>
      <c r="T772" s="27" t="n"/>
    </row>
    <row r="773" ht="13.8" customFormat="1" customHeight="1" s="70">
      <c r="M773" s="27" t="n"/>
      <c r="N773" s="27" t="n"/>
      <c r="O773" s="27" t="n"/>
      <c r="P773" s="27" t="n"/>
      <c r="Q773" s="27" t="n"/>
      <c r="R773" s="27" t="n"/>
      <c r="S773" s="27" t="n"/>
      <c r="T773" s="27" t="n"/>
    </row>
    <row r="774" ht="13.8" customFormat="1" customHeight="1" s="70">
      <c r="M774" s="27" t="n"/>
      <c r="N774" s="27" t="n"/>
      <c r="O774" s="27" t="n"/>
      <c r="P774" s="27" t="n"/>
      <c r="Q774" s="27" t="n"/>
      <c r="R774" s="27" t="n"/>
      <c r="S774" s="27" t="n"/>
      <c r="T774" s="27" t="n"/>
    </row>
    <row r="775" ht="13.8" customFormat="1" customHeight="1" s="70">
      <c r="M775" s="27" t="n"/>
      <c r="N775" s="27" t="n"/>
      <c r="O775" s="27" t="n"/>
      <c r="P775" s="27" t="n"/>
      <c r="Q775" s="27" t="n"/>
      <c r="R775" s="27" t="n"/>
      <c r="S775" s="27" t="n"/>
      <c r="T775" s="27" t="n"/>
    </row>
    <row r="776" ht="13.8" customFormat="1" customHeight="1" s="70">
      <c r="M776" s="27" t="n"/>
      <c r="N776" s="27" t="n"/>
      <c r="O776" s="27" t="n"/>
      <c r="P776" s="27" t="n"/>
      <c r="Q776" s="27" t="n"/>
      <c r="R776" s="27" t="n"/>
      <c r="S776" s="27" t="n"/>
      <c r="T776" s="27" t="n"/>
    </row>
    <row r="777" ht="13.8" customFormat="1" customHeight="1" s="70">
      <c r="M777" s="27" t="n"/>
      <c r="N777" s="27" t="n"/>
      <c r="O777" s="27" t="n"/>
      <c r="P777" s="27" t="n"/>
      <c r="Q777" s="27" t="n"/>
      <c r="R777" s="27" t="n"/>
      <c r="S777" s="27" t="n"/>
      <c r="T777" s="27" t="n"/>
    </row>
    <row r="778" ht="13.8" customFormat="1" customHeight="1" s="70">
      <c r="M778" s="27" t="n"/>
      <c r="N778" s="27" t="n"/>
      <c r="O778" s="27" t="n"/>
      <c r="P778" s="27" t="n"/>
      <c r="Q778" s="27" t="n"/>
      <c r="R778" s="27" t="n"/>
      <c r="S778" s="27" t="n"/>
      <c r="T778" s="27" t="n"/>
    </row>
    <row r="779" ht="13.8" customFormat="1" customHeight="1" s="70">
      <c r="M779" s="27" t="n"/>
      <c r="N779" s="27" t="n"/>
      <c r="O779" s="27" t="n"/>
      <c r="P779" s="27" t="n"/>
      <c r="Q779" s="27" t="n"/>
      <c r="R779" s="27" t="n"/>
      <c r="S779" s="27" t="n"/>
      <c r="T779" s="27" t="n"/>
    </row>
    <row r="780" ht="13.8" customFormat="1" customHeight="1" s="70">
      <c r="M780" s="27" t="n"/>
      <c r="N780" s="27" t="n"/>
      <c r="O780" s="27" t="n"/>
      <c r="P780" s="27" t="n"/>
      <c r="Q780" s="27" t="n"/>
      <c r="R780" s="27" t="n"/>
      <c r="S780" s="27" t="n"/>
      <c r="T780" s="27" t="n"/>
    </row>
    <row r="781" ht="13.8" customFormat="1" customHeight="1" s="70">
      <c r="M781" s="27" t="n"/>
      <c r="N781" s="27" t="n"/>
      <c r="O781" s="27" t="n"/>
      <c r="P781" s="27" t="n"/>
      <c r="Q781" s="27" t="n"/>
      <c r="R781" s="27" t="n"/>
      <c r="S781" s="27" t="n"/>
      <c r="T781" s="27" t="n"/>
    </row>
    <row r="782" ht="13.8" customFormat="1" customHeight="1" s="70">
      <c r="M782" s="27" t="n"/>
      <c r="N782" s="27" t="n"/>
      <c r="O782" s="27" t="n"/>
      <c r="P782" s="27" t="n"/>
      <c r="Q782" s="27" t="n"/>
      <c r="R782" s="27" t="n"/>
      <c r="S782" s="27" t="n"/>
      <c r="T782" s="27" t="n"/>
    </row>
    <row r="783" ht="13.8" customFormat="1" customHeight="1" s="70">
      <c r="M783" s="27" t="n"/>
      <c r="N783" s="27" t="n"/>
      <c r="O783" s="27" t="n"/>
      <c r="P783" s="27" t="n"/>
      <c r="Q783" s="27" t="n"/>
      <c r="R783" s="27" t="n"/>
      <c r="S783" s="27" t="n"/>
      <c r="T783" s="27" t="n"/>
    </row>
    <row r="784" ht="13.8" customFormat="1" customHeight="1" s="70">
      <c r="M784" s="27" t="n"/>
      <c r="N784" s="27" t="n"/>
      <c r="O784" s="27" t="n"/>
      <c r="P784" s="27" t="n"/>
      <c r="Q784" s="27" t="n"/>
      <c r="R784" s="27" t="n"/>
      <c r="S784" s="27" t="n"/>
      <c r="T784" s="27" t="n"/>
    </row>
    <row r="785" ht="13.8" customFormat="1" customHeight="1" s="70">
      <c r="M785" s="27" t="n"/>
      <c r="N785" s="27" t="n"/>
      <c r="O785" s="27" t="n"/>
      <c r="P785" s="27" t="n"/>
      <c r="Q785" s="27" t="n"/>
      <c r="R785" s="27" t="n"/>
      <c r="S785" s="27" t="n"/>
      <c r="T785" s="27" t="n"/>
    </row>
    <row r="786" ht="13.8" customFormat="1" customHeight="1" s="70">
      <c r="M786" s="27" t="n"/>
      <c r="N786" s="27" t="n"/>
      <c r="O786" s="27" t="n"/>
      <c r="P786" s="27" t="n"/>
      <c r="Q786" s="27" t="n"/>
      <c r="R786" s="27" t="n"/>
      <c r="S786" s="27" t="n"/>
      <c r="T786" s="27" t="n"/>
    </row>
    <row r="787" ht="13.8" customFormat="1" customHeight="1" s="70">
      <c r="M787" s="27" t="n"/>
      <c r="N787" s="27" t="n"/>
      <c r="O787" s="27" t="n"/>
      <c r="P787" s="27" t="n"/>
      <c r="Q787" s="27" t="n"/>
      <c r="R787" s="27" t="n"/>
      <c r="S787" s="27" t="n"/>
      <c r="T787" s="27" t="n"/>
    </row>
    <row r="788" ht="13.8" customFormat="1" customHeight="1" s="70">
      <c r="M788" s="27" t="n"/>
      <c r="N788" s="27" t="n"/>
      <c r="O788" s="27" t="n"/>
      <c r="P788" s="27" t="n"/>
      <c r="Q788" s="27" t="n"/>
      <c r="R788" s="27" t="n"/>
      <c r="S788" s="27" t="n"/>
      <c r="T788" s="27" t="n"/>
    </row>
    <row r="789" ht="13.8" customFormat="1" customHeight="1" s="70">
      <c r="M789" s="27" t="n"/>
      <c r="N789" s="27" t="n"/>
      <c r="O789" s="27" t="n"/>
      <c r="P789" s="27" t="n"/>
      <c r="Q789" s="27" t="n"/>
      <c r="R789" s="27" t="n"/>
      <c r="S789" s="27" t="n"/>
      <c r="T789" s="27" t="n"/>
    </row>
    <row r="790" ht="13.8" customFormat="1" customHeight="1" s="70">
      <c r="M790" s="27" t="n"/>
      <c r="N790" s="27" t="n"/>
      <c r="O790" s="27" t="n"/>
      <c r="P790" s="27" t="n"/>
      <c r="Q790" s="27" t="n"/>
      <c r="R790" s="27" t="n"/>
      <c r="S790" s="27" t="n"/>
      <c r="T790" s="27" t="n"/>
    </row>
    <row r="791" ht="13.8" customFormat="1" customHeight="1" s="70">
      <c r="M791" s="27" t="n"/>
      <c r="N791" s="27" t="n"/>
      <c r="O791" s="27" t="n"/>
      <c r="P791" s="27" t="n"/>
      <c r="Q791" s="27" t="n"/>
      <c r="R791" s="27" t="n"/>
      <c r="S791" s="27" t="n"/>
      <c r="T791" s="27" t="n"/>
    </row>
    <row r="792" ht="13.8" customFormat="1" customHeight="1" s="70">
      <c r="M792" s="27" t="n"/>
      <c r="N792" s="27" t="n"/>
      <c r="O792" s="27" t="n"/>
      <c r="P792" s="27" t="n"/>
      <c r="Q792" s="27" t="n"/>
      <c r="R792" s="27" t="n"/>
      <c r="S792" s="27" t="n"/>
      <c r="T792" s="27" t="n"/>
    </row>
    <row r="793" ht="13.8" customFormat="1" customHeight="1" s="70">
      <c r="M793" s="27" t="n"/>
      <c r="N793" s="27" t="n"/>
      <c r="O793" s="27" t="n"/>
      <c r="P793" s="27" t="n"/>
      <c r="Q793" s="27" t="n"/>
      <c r="R793" s="27" t="n"/>
      <c r="S793" s="27" t="n"/>
      <c r="T793" s="27" t="n"/>
    </row>
    <row r="794" ht="13.8" customFormat="1" customHeight="1" s="70">
      <c r="M794" s="27" t="n"/>
      <c r="N794" s="27" t="n"/>
      <c r="O794" s="27" t="n"/>
      <c r="P794" s="27" t="n"/>
      <c r="Q794" s="27" t="n"/>
      <c r="R794" s="27" t="n"/>
      <c r="S794" s="27" t="n"/>
      <c r="T794" s="27" t="n"/>
    </row>
    <row r="795" ht="13.8" customFormat="1" customHeight="1" s="70">
      <c r="M795" s="27" t="n"/>
      <c r="N795" s="27" t="n"/>
      <c r="O795" s="27" t="n"/>
      <c r="P795" s="27" t="n"/>
      <c r="Q795" s="27" t="n"/>
      <c r="R795" s="27" t="n"/>
      <c r="S795" s="27" t="n"/>
      <c r="T795" s="27" t="n"/>
    </row>
    <row r="796" ht="13.8" customFormat="1" customHeight="1" s="70">
      <c r="M796" s="27" t="n"/>
      <c r="N796" s="27" t="n"/>
      <c r="O796" s="27" t="n"/>
      <c r="P796" s="27" t="n"/>
      <c r="Q796" s="27" t="n"/>
      <c r="R796" s="27" t="n"/>
      <c r="S796" s="27" t="n"/>
      <c r="T796" s="27" t="n"/>
    </row>
    <row r="797" ht="13.8" customFormat="1" customHeight="1" s="70">
      <c r="M797" s="27" t="n"/>
      <c r="N797" s="27" t="n"/>
      <c r="O797" s="27" t="n"/>
      <c r="P797" s="27" t="n"/>
      <c r="Q797" s="27" t="n"/>
      <c r="R797" s="27" t="n"/>
      <c r="S797" s="27" t="n"/>
      <c r="T797" s="27" t="n"/>
    </row>
    <row r="798" ht="13.8" customFormat="1" customHeight="1" s="70">
      <c r="M798" s="27" t="n"/>
      <c r="N798" s="27" t="n"/>
      <c r="O798" s="27" t="n"/>
      <c r="P798" s="27" t="n"/>
      <c r="Q798" s="27" t="n"/>
      <c r="R798" s="27" t="n"/>
      <c r="S798" s="27" t="n"/>
      <c r="T798" s="27" t="n"/>
    </row>
    <row r="799" ht="13.8" customFormat="1" customHeight="1" s="70">
      <c r="M799" s="27" t="n"/>
      <c r="N799" s="27" t="n"/>
      <c r="O799" s="27" t="n"/>
      <c r="P799" s="27" t="n"/>
      <c r="Q799" s="27" t="n"/>
      <c r="R799" s="27" t="n"/>
      <c r="S799" s="27" t="n"/>
      <c r="T799" s="27" t="n"/>
    </row>
    <row r="800" ht="13.8" customFormat="1" customHeight="1" s="70">
      <c r="M800" s="27" t="n"/>
      <c r="N800" s="27" t="n"/>
      <c r="O800" s="27" t="n"/>
      <c r="P800" s="27" t="n"/>
      <c r="Q800" s="27" t="n"/>
      <c r="R800" s="27" t="n"/>
      <c r="S800" s="27" t="n"/>
      <c r="T800" s="27" t="n"/>
    </row>
    <row r="801" ht="13.8" customFormat="1" customHeight="1" s="70">
      <c r="M801" s="27" t="n"/>
      <c r="N801" s="27" t="n"/>
      <c r="O801" s="27" t="n"/>
      <c r="P801" s="27" t="n"/>
      <c r="Q801" s="27" t="n"/>
      <c r="R801" s="27" t="n"/>
      <c r="S801" s="27" t="n"/>
      <c r="T801" s="27" t="n"/>
    </row>
    <row r="802" ht="13.8" customFormat="1" customHeight="1" s="70">
      <c r="M802" s="27" t="n"/>
      <c r="N802" s="27" t="n"/>
      <c r="O802" s="27" t="n"/>
      <c r="P802" s="27" t="n"/>
      <c r="Q802" s="27" t="n"/>
      <c r="R802" s="27" t="n"/>
      <c r="S802" s="27" t="n"/>
      <c r="T802" s="27" t="n"/>
    </row>
    <row r="803" ht="13.8" customFormat="1" customHeight="1" s="70">
      <c r="M803" s="27" t="n"/>
      <c r="N803" s="27" t="n"/>
      <c r="O803" s="27" t="n"/>
      <c r="P803" s="27" t="n"/>
      <c r="Q803" s="27" t="n"/>
      <c r="R803" s="27" t="n"/>
      <c r="S803" s="27" t="n"/>
      <c r="T803" s="27" t="n"/>
    </row>
    <row r="804" ht="13.8" customFormat="1" customHeight="1" s="70">
      <c r="M804" s="27" t="n"/>
      <c r="N804" s="27" t="n"/>
      <c r="O804" s="27" t="n"/>
      <c r="P804" s="27" t="n"/>
      <c r="Q804" s="27" t="n"/>
      <c r="R804" s="27" t="n"/>
      <c r="S804" s="27" t="n"/>
      <c r="T804" s="27" t="n"/>
    </row>
    <row r="805" ht="13.8" customFormat="1" customHeight="1" s="70">
      <c r="M805" s="27" t="n"/>
      <c r="N805" s="27" t="n"/>
      <c r="O805" s="27" t="n"/>
      <c r="P805" s="27" t="n"/>
      <c r="Q805" s="27" t="n"/>
      <c r="R805" s="27" t="n"/>
      <c r="S805" s="27" t="n"/>
      <c r="T805" s="27" t="n"/>
    </row>
    <row r="806" ht="13.8" customFormat="1" customHeight="1" s="70">
      <c r="M806" s="27" t="n"/>
      <c r="N806" s="27" t="n"/>
      <c r="O806" s="27" t="n"/>
      <c r="P806" s="27" t="n"/>
      <c r="Q806" s="27" t="n"/>
      <c r="R806" s="27" t="n"/>
      <c r="S806" s="27" t="n"/>
      <c r="T806" s="27" t="n"/>
    </row>
    <row r="807" ht="13.8" customFormat="1" customHeight="1" s="70">
      <c r="M807" s="27" t="n"/>
      <c r="N807" s="27" t="n"/>
      <c r="O807" s="27" t="n"/>
      <c r="P807" s="27" t="n"/>
      <c r="Q807" s="27" t="n"/>
      <c r="R807" s="27" t="n"/>
      <c r="S807" s="27" t="n"/>
      <c r="T807" s="27" t="n"/>
    </row>
    <row r="808" ht="13.8" customFormat="1" customHeight="1" s="70">
      <c r="M808" s="27" t="n"/>
      <c r="N808" s="27" t="n"/>
      <c r="O808" s="27" t="n"/>
      <c r="P808" s="27" t="n"/>
      <c r="Q808" s="27" t="n"/>
      <c r="R808" s="27" t="n"/>
      <c r="S808" s="27" t="n"/>
      <c r="T808" s="27" t="n"/>
    </row>
    <row r="809" ht="13.8" customFormat="1" customHeight="1" s="70">
      <c r="M809" s="27" t="n"/>
      <c r="N809" s="27" t="n"/>
      <c r="O809" s="27" t="n"/>
      <c r="P809" s="27" t="n"/>
      <c r="Q809" s="27" t="n"/>
      <c r="R809" s="27" t="n"/>
      <c r="S809" s="27" t="n"/>
      <c r="T809" s="27" t="n"/>
    </row>
    <row r="810" ht="13.8" customFormat="1" customHeight="1" s="70">
      <c r="M810" s="27" t="n"/>
      <c r="N810" s="27" t="n"/>
      <c r="O810" s="27" t="n"/>
      <c r="P810" s="27" t="n"/>
      <c r="Q810" s="27" t="n"/>
      <c r="R810" s="27" t="n"/>
      <c r="S810" s="27" t="n"/>
      <c r="T810" s="27" t="n"/>
    </row>
    <row r="811" ht="13.8" customFormat="1" customHeight="1" s="70">
      <c r="M811" s="27" t="n"/>
      <c r="N811" s="27" t="n"/>
      <c r="O811" s="27" t="n"/>
      <c r="P811" s="27" t="n"/>
      <c r="Q811" s="27" t="n"/>
      <c r="R811" s="27" t="n"/>
      <c r="S811" s="27" t="n"/>
      <c r="T811" s="27" t="n"/>
    </row>
    <row r="812" ht="13.8" customFormat="1" customHeight="1" s="70">
      <c r="M812" s="27" t="n"/>
      <c r="N812" s="27" t="n"/>
      <c r="O812" s="27" t="n"/>
      <c r="P812" s="27" t="n"/>
      <c r="Q812" s="27" t="n"/>
      <c r="R812" s="27" t="n"/>
      <c r="S812" s="27" t="n"/>
      <c r="T812" s="27" t="n"/>
    </row>
    <row r="813" ht="13.8" customFormat="1" customHeight="1" s="70">
      <c r="M813" s="27" t="n"/>
      <c r="N813" s="27" t="n"/>
      <c r="O813" s="27" t="n"/>
      <c r="P813" s="27" t="n"/>
      <c r="Q813" s="27" t="n"/>
      <c r="R813" s="27" t="n"/>
      <c r="S813" s="27" t="n"/>
      <c r="T813" s="27" t="n"/>
    </row>
    <row r="814" ht="13.8" customFormat="1" customHeight="1" s="70">
      <c r="M814" s="27" t="n"/>
      <c r="N814" s="27" t="n"/>
      <c r="O814" s="27" t="n"/>
      <c r="P814" s="27" t="n"/>
      <c r="Q814" s="27" t="n"/>
      <c r="R814" s="27" t="n"/>
      <c r="S814" s="27" t="n"/>
      <c r="T814" s="27" t="n"/>
    </row>
    <row r="815" ht="13.8" customFormat="1" customHeight="1" s="70">
      <c r="M815" s="27" t="n"/>
      <c r="N815" s="27" t="n"/>
      <c r="O815" s="27" t="n"/>
      <c r="P815" s="27" t="n"/>
      <c r="Q815" s="27" t="n"/>
      <c r="R815" s="27" t="n"/>
      <c r="S815" s="27" t="n"/>
      <c r="T815" s="27" t="n"/>
    </row>
    <row r="816" ht="13.8" customFormat="1" customHeight="1" s="70">
      <c r="M816" s="27" t="n"/>
      <c r="N816" s="27" t="n"/>
      <c r="O816" s="27" t="n"/>
      <c r="P816" s="27" t="n"/>
      <c r="Q816" s="27" t="n"/>
      <c r="R816" s="27" t="n"/>
      <c r="S816" s="27" t="n"/>
      <c r="T816" s="27" t="n"/>
    </row>
    <row r="817" ht="13.8" customFormat="1" customHeight="1" s="70">
      <c r="M817" s="27" t="n"/>
      <c r="N817" s="27" t="n"/>
      <c r="O817" s="27" t="n"/>
      <c r="P817" s="27" t="n"/>
      <c r="Q817" s="27" t="n"/>
      <c r="R817" s="27" t="n"/>
      <c r="S817" s="27" t="n"/>
      <c r="T817" s="27" t="n"/>
    </row>
    <row r="818" ht="13.8" customFormat="1" customHeight="1" s="70">
      <c r="M818" s="27" t="n"/>
      <c r="N818" s="27" t="n"/>
      <c r="O818" s="27" t="n"/>
      <c r="P818" s="27" t="n"/>
      <c r="Q818" s="27" t="n"/>
      <c r="R818" s="27" t="n"/>
      <c r="S818" s="27" t="n"/>
      <c r="T818" s="27" t="n"/>
    </row>
    <row r="819" ht="13.8" customFormat="1" customHeight="1" s="70">
      <c r="M819" s="27" t="n"/>
      <c r="N819" s="27" t="n"/>
      <c r="O819" s="27" t="n"/>
      <c r="P819" s="27" t="n"/>
      <c r="Q819" s="27" t="n"/>
      <c r="R819" s="27" t="n"/>
      <c r="S819" s="27" t="n"/>
      <c r="T819" s="27" t="n"/>
    </row>
    <row r="820" ht="13.8" customFormat="1" customHeight="1" s="70">
      <c r="M820" s="27" t="n"/>
      <c r="N820" s="27" t="n"/>
      <c r="O820" s="27" t="n"/>
      <c r="P820" s="27" t="n"/>
      <c r="Q820" s="27" t="n"/>
      <c r="R820" s="27" t="n"/>
      <c r="S820" s="27" t="n"/>
      <c r="T820" s="27" t="n"/>
    </row>
    <row r="821" ht="13.8" customFormat="1" customHeight="1" s="70">
      <c r="M821" s="27" t="n"/>
      <c r="N821" s="27" t="n"/>
      <c r="O821" s="27" t="n"/>
      <c r="P821" s="27" t="n"/>
      <c r="Q821" s="27" t="n"/>
      <c r="R821" s="27" t="n"/>
      <c r="S821" s="27" t="n"/>
      <c r="T821" s="27" t="n"/>
    </row>
    <row r="822" ht="13.8" customFormat="1" customHeight="1" s="70">
      <c r="M822" s="27" t="n"/>
      <c r="N822" s="27" t="n"/>
      <c r="O822" s="27" t="n"/>
      <c r="P822" s="27" t="n"/>
      <c r="Q822" s="27" t="n"/>
      <c r="R822" s="27" t="n"/>
      <c r="S822" s="27" t="n"/>
      <c r="T822" s="27" t="n"/>
    </row>
    <row r="823" ht="13.8" customFormat="1" customHeight="1" s="70">
      <c r="M823" s="27" t="n"/>
      <c r="N823" s="27" t="n"/>
      <c r="O823" s="27" t="n"/>
      <c r="P823" s="27" t="n"/>
      <c r="Q823" s="27" t="n"/>
      <c r="R823" s="27" t="n"/>
      <c r="S823" s="27" t="n"/>
      <c r="T823" s="27" t="n"/>
    </row>
    <row r="824" ht="13.8" customFormat="1" customHeight="1" s="70">
      <c r="M824" s="27" t="n"/>
      <c r="N824" s="27" t="n"/>
      <c r="O824" s="27" t="n"/>
      <c r="P824" s="27" t="n"/>
      <c r="Q824" s="27" t="n"/>
      <c r="R824" s="27" t="n"/>
      <c r="S824" s="27" t="n"/>
      <c r="T824" s="27" t="n"/>
    </row>
    <row r="825" ht="13.8" customFormat="1" customHeight="1" s="70">
      <c r="M825" s="27" t="n"/>
      <c r="N825" s="27" t="n"/>
      <c r="O825" s="27" t="n"/>
      <c r="P825" s="27" t="n"/>
      <c r="Q825" s="27" t="n"/>
      <c r="R825" s="27" t="n"/>
      <c r="S825" s="27" t="n"/>
      <c r="T825" s="27" t="n"/>
    </row>
    <row r="826" ht="13.8" customFormat="1" customHeight="1" s="70">
      <c r="M826" s="27" t="n"/>
      <c r="N826" s="27" t="n"/>
      <c r="O826" s="27" t="n"/>
      <c r="P826" s="27" t="n"/>
      <c r="Q826" s="27" t="n"/>
      <c r="R826" s="27" t="n"/>
      <c r="S826" s="27" t="n"/>
      <c r="T826" s="27" t="n"/>
    </row>
    <row r="827" ht="13.8" customFormat="1" customHeight="1" s="70">
      <c r="M827" s="27" t="n"/>
      <c r="N827" s="27" t="n"/>
      <c r="O827" s="27" t="n"/>
      <c r="P827" s="27" t="n"/>
      <c r="Q827" s="27" t="n"/>
      <c r="R827" s="27" t="n"/>
      <c r="S827" s="27" t="n"/>
      <c r="T827" s="27" t="n"/>
    </row>
    <row r="828" ht="13.8" customFormat="1" customHeight="1" s="70">
      <c r="M828" s="27" t="n"/>
      <c r="N828" s="27" t="n"/>
      <c r="O828" s="27" t="n"/>
      <c r="P828" s="27" t="n"/>
      <c r="Q828" s="27" t="n"/>
      <c r="R828" s="27" t="n"/>
      <c r="S828" s="27" t="n"/>
      <c r="T828" s="27" t="n"/>
    </row>
    <row r="829" ht="13.8" customFormat="1" customHeight="1" s="70">
      <c r="M829" s="27" t="n"/>
      <c r="N829" s="27" t="n"/>
      <c r="O829" s="27" t="n"/>
      <c r="P829" s="27" t="n"/>
      <c r="Q829" s="27" t="n"/>
      <c r="R829" s="27" t="n"/>
      <c r="S829" s="27" t="n"/>
      <c r="T829" s="27" t="n"/>
    </row>
    <row r="830" ht="13.8" customFormat="1" customHeight="1" s="70">
      <c r="M830" s="27" t="n"/>
      <c r="N830" s="27" t="n"/>
      <c r="O830" s="27" t="n"/>
      <c r="P830" s="27" t="n"/>
      <c r="Q830" s="27" t="n"/>
      <c r="R830" s="27" t="n"/>
      <c r="S830" s="27" t="n"/>
      <c r="T830" s="27" t="n"/>
    </row>
    <row r="831" ht="13.8" customFormat="1" customHeight="1" s="70">
      <c r="M831" s="27" t="n"/>
      <c r="N831" s="27" t="n"/>
      <c r="O831" s="27" t="n"/>
      <c r="P831" s="27" t="n"/>
      <c r="Q831" s="27" t="n"/>
      <c r="R831" s="27" t="n"/>
      <c r="S831" s="27" t="n"/>
      <c r="T831" s="27" t="n"/>
    </row>
    <row r="832" ht="13.8" customFormat="1" customHeight="1" s="70">
      <c r="M832" s="27" t="n"/>
      <c r="N832" s="27" t="n"/>
      <c r="O832" s="27" t="n"/>
      <c r="P832" s="27" t="n"/>
      <c r="Q832" s="27" t="n"/>
      <c r="R832" s="27" t="n"/>
      <c r="S832" s="27" t="n"/>
      <c r="T832" s="27" t="n"/>
    </row>
    <row r="833" ht="13.8" customFormat="1" customHeight="1" s="70">
      <c r="M833" s="27" t="n"/>
      <c r="N833" s="27" t="n"/>
      <c r="O833" s="27" t="n"/>
      <c r="P833" s="27" t="n"/>
      <c r="Q833" s="27" t="n"/>
      <c r="R833" s="27" t="n"/>
      <c r="S833" s="27" t="n"/>
      <c r="T833" s="27" t="n"/>
    </row>
    <row r="834" ht="13.8" customFormat="1" customHeight="1" s="70">
      <c r="M834" s="27" t="n"/>
      <c r="N834" s="27" t="n"/>
      <c r="O834" s="27" t="n"/>
      <c r="P834" s="27" t="n"/>
      <c r="Q834" s="27" t="n"/>
      <c r="R834" s="27" t="n"/>
      <c r="S834" s="27" t="n"/>
      <c r="T834" s="27" t="n"/>
    </row>
    <row r="835" ht="13.8" customFormat="1" customHeight="1" s="70">
      <c r="M835" s="27" t="n"/>
      <c r="N835" s="27" t="n"/>
      <c r="O835" s="27" t="n"/>
      <c r="P835" s="27" t="n"/>
      <c r="Q835" s="27" t="n"/>
      <c r="R835" s="27" t="n"/>
      <c r="S835" s="27" t="n"/>
      <c r="T835" s="27" t="n"/>
    </row>
    <row r="836" ht="13.8" customFormat="1" customHeight="1" s="70">
      <c r="M836" s="27" t="n"/>
      <c r="N836" s="27" t="n"/>
      <c r="O836" s="27" t="n"/>
      <c r="P836" s="27" t="n"/>
      <c r="Q836" s="27" t="n"/>
      <c r="R836" s="27" t="n"/>
      <c r="S836" s="27" t="n"/>
      <c r="T836" s="27" t="n"/>
    </row>
    <row r="837" ht="13.8" customFormat="1" customHeight="1" s="70">
      <c r="M837" s="27" t="n"/>
      <c r="N837" s="27" t="n"/>
      <c r="O837" s="27" t="n"/>
      <c r="P837" s="27" t="n"/>
      <c r="Q837" s="27" t="n"/>
      <c r="R837" s="27" t="n"/>
      <c r="S837" s="27" t="n"/>
      <c r="T837" s="27" t="n"/>
    </row>
    <row r="838" ht="13.8" customFormat="1" customHeight="1" s="70">
      <c r="M838" s="27" t="n"/>
      <c r="N838" s="27" t="n"/>
      <c r="O838" s="27" t="n"/>
      <c r="P838" s="27" t="n"/>
      <c r="Q838" s="27" t="n"/>
      <c r="R838" s="27" t="n"/>
      <c r="S838" s="27" t="n"/>
      <c r="T838" s="27" t="n"/>
    </row>
    <row r="839" ht="13.8" customFormat="1" customHeight="1" s="70">
      <c r="M839" s="27" t="n"/>
      <c r="N839" s="27" t="n"/>
      <c r="O839" s="27" t="n"/>
      <c r="P839" s="27" t="n"/>
      <c r="Q839" s="27" t="n"/>
      <c r="R839" s="27" t="n"/>
      <c r="S839" s="27" t="n"/>
      <c r="T839" s="27" t="n"/>
    </row>
    <row r="840" ht="13.8" customFormat="1" customHeight="1" s="70">
      <c r="M840" s="27" t="n"/>
      <c r="N840" s="27" t="n"/>
      <c r="O840" s="27" t="n"/>
      <c r="P840" s="27" t="n"/>
      <c r="Q840" s="27" t="n"/>
      <c r="R840" s="27" t="n"/>
      <c r="S840" s="27" t="n"/>
      <c r="T840" s="27" t="n"/>
    </row>
    <row r="841" ht="13.8" customFormat="1" customHeight="1" s="70">
      <c r="M841" s="27" t="n"/>
      <c r="N841" s="27" t="n"/>
      <c r="O841" s="27" t="n"/>
      <c r="P841" s="27" t="n"/>
      <c r="Q841" s="27" t="n"/>
      <c r="R841" s="27" t="n"/>
      <c r="S841" s="27" t="n"/>
      <c r="T841" s="27" t="n"/>
    </row>
    <row r="842" ht="13.8" customFormat="1" customHeight="1" s="70">
      <c r="M842" s="27" t="n"/>
      <c r="N842" s="27" t="n"/>
      <c r="O842" s="27" t="n"/>
      <c r="P842" s="27" t="n"/>
      <c r="Q842" s="27" t="n"/>
      <c r="R842" s="27" t="n"/>
      <c r="S842" s="27" t="n"/>
      <c r="T842" s="27" t="n"/>
    </row>
    <row r="843" ht="13.8" customFormat="1" customHeight="1" s="70">
      <c r="M843" s="27" t="n"/>
      <c r="N843" s="27" t="n"/>
      <c r="O843" s="27" t="n"/>
      <c r="P843" s="27" t="n"/>
      <c r="Q843" s="27" t="n"/>
      <c r="R843" s="27" t="n"/>
      <c r="S843" s="27" t="n"/>
      <c r="T843" s="27" t="n"/>
    </row>
    <row r="844" ht="13.8" customFormat="1" customHeight="1" s="70">
      <c r="M844" s="27" t="n"/>
      <c r="N844" s="27" t="n"/>
      <c r="O844" s="27" t="n"/>
      <c r="P844" s="27" t="n"/>
      <c r="Q844" s="27" t="n"/>
      <c r="R844" s="27" t="n"/>
      <c r="S844" s="27" t="n"/>
      <c r="T844" s="27" t="n"/>
    </row>
    <row r="845" ht="13.8" customFormat="1" customHeight="1" s="70">
      <c r="M845" s="27" t="n"/>
      <c r="N845" s="27" t="n"/>
      <c r="O845" s="27" t="n"/>
      <c r="P845" s="27" t="n"/>
      <c r="Q845" s="27" t="n"/>
      <c r="R845" s="27" t="n"/>
      <c r="S845" s="27" t="n"/>
      <c r="T845" s="27" t="n"/>
    </row>
    <row r="846" ht="13.8" customFormat="1" customHeight="1" s="70">
      <c r="M846" s="27" t="n"/>
      <c r="N846" s="27" t="n"/>
      <c r="O846" s="27" t="n"/>
      <c r="P846" s="27" t="n"/>
      <c r="Q846" s="27" t="n"/>
      <c r="R846" s="27" t="n"/>
      <c r="S846" s="27" t="n"/>
      <c r="T846" s="27" t="n"/>
    </row>
    <row r="847" ht="13.8" customFormat="1" customHeight="1" s="70">
      <c r="M847" s="27" t="n"/>
      <c r="N847" s="27" t="n"/>
      <c r="O847" s="27" t="n"/>
      <c r="P847" s="27" t="n"/>
      <c r="Q847" s="27" t="n"/>
      <c r="R847" s="27" t="n"/>
      <c r="S847" s="27" t="n"/>
      <c r="T847" s="27" t="n"/>
    </row>
    <row r="848" ht="13.8" customFormat="1" customHeight="1" s="70">
      <c r="M848" s="27" t="n"/>
      <c r="N848" s="27" t="n"/>
      <c r="O848" s="27" t="n"/>
      <c r="P848" s="27" t="n"/>
      <c r="Q848" s="27" t="n"/>
      <c r="R848" s="27" t="n"/>
      <c r="S848" s="27" t="n"/>
      <c r="T848" s="27" t="n"/>
    </row>
    <row r="849" ht="13.8" customFormat="1" customHeight="1" s="70">
      <c r="M849" s="27" t="n"/>
      <c r="N849" s="27" t="n"/>
      <c r="O849" s="27" t="n"/>
      <c r="P849" s="27" t="n"/>
      <c r="Q849" s="27" t="n"/>
      <c r="R849" s="27" t="n"/>
      <c r="S849" s="27" t="n"/>
      <c r="T849" s="27" t="n"/>
    </row>
    <row r="850" ht="13.8" customFormat="1" customHeight="1" s="70">
      <c r="M850" s="27" t="n"/>
      <c r="N850" s="27" t="n"/>
      <c r="O850" s="27" t="n"/>
      <c r="P850" s="27" t="n"/>
      <c r="Q850" s="27" t="n"/>
      <c r="R850" s="27" t="n"/>
      <c r="S850" s="27" t="n"/>
      <c r="T850" s="27" t="n"/>
    </row>
    <row r="851" ht="13.8" customFormat="1" customHeight="1" s="70">
      <c r="M851" s="27" t="n"/>
      <c r="N851" s="27" t="n"/>
      <c r="O851" s="27" t="n"/>
      <c r="P851" s="27" t="n"/>
      <c r="Q851" s="27" t="n"/>
      <c r="R851" s="27" t="n"/>
      <c r="S851" s="27" t="n"/>
      <c r="T851" s="27" t="n"/>
    </row>
    <row r="852" ht="13.8" customFormat="1" customHeight="1" s="70">
      <c r="M852" s="27" t="n"/>
      <c r="N852" s="27" t="n"/>
      <c r="O852" s="27" t="n"/>
      <c r="P852" s="27" t="n"/>
      <c r="Q852" s="27" t="n"/>
      <c r="R852" s="27" t="n"/>
      <c r="S852" s="27" t="n"/>
      <c r="T852" s="27" t="n"/>
    </row>
    <row r="853" ht="13.8" customFormat="1" customHeight="1" s="70">
      <c r="M853" s="27" t="n"/>
      <c r="N853" s="27" t="n"/>
      <c r="O853" s="27" t="n"/>
      <c r="P853" s="27" t="n"/>
      <c r="Q853" s="27" t="n"/>
      <c r="R853" s="27" t="n"/>
      <c r="S853" s="27" t="n"/>
      <c r="T853" s="27" t="n"/>
    </row>
    <row r="854" ht="13.8" customFormat="1" customHeight="1" s="70">
      <c r="M854" s="27" t="n"/>
      <c r="N854" s="27" t="n"/>
      <c r="O854" s="27" t="n"/>
      <c r="P854" s="27" t="n"/>
      <c r="Q854" s="27" t="n"/>
      <c r="R854" s="27" t="n"/>
      <c r="S854" s="27" t="n"/>
      <c r="T854" s="27" t="n"/>
    </row>
    <row r="855" ht="13.8" customFormat="1" customHeight="1" s="70">
      <c r="M855" s="27" t="n"/>
      <c r="N855" s="27" t="n"/>
      <c r="O855" s="27" t="n"/>
      <c r="P855" s="27" t="n"/>
      <c r="Q855" s="27" t="n"/>
      <c r="R855" s="27" t="n"/>
      <c r="S855" s="27" t="n"/>
      <c r="T855" s="27" t="n"/>
    </row>
    <row r="856" ht="13.8" customFormat="1" customHeight="1" s="70">
      <c r="M856" s="27" t="n"/>
      <c r="N856" s="27" t="n"/>
      <c r="O856" s="27" t="n"/>
      <c r="P856" s="27" t="n"/>
      <c r="Q856" s="27" t="n"/>
      <c r="R856" s="27" t="n"/>
      <c r="S856" s="27" t="n"/>
      <c r="T856" s="27" t="n"/>
    </row>
    <row r="857" ht="13.8" customFormat="1" customHeight="1" s="70">
      <c r="M857" s="27" t="n"/>
      <c r="N857" s="27" t="n"/>
      <c r="O857" s="27" t="n"/>
      <c r="P857" s="27" t="n"/>
      <c r="Q857" s="27" t="n"/>
      <c r="R857" s="27" t="n"/>
      <c r="S857" s="27" t="n"/>
      <c r="T857" s="27" t="n"/>
    </row>
    <row r="858" ht="13.8" customFormat="1" customHeight="1" s="70">
      <c r="M858" s="27" t="n"/>
      <c r="N858" s="27" t="n"/>
      <c r="O858" s="27" t="n"/>
      <c r="P858" s="27" t="n"/>
      <c r="Q858" s="27" t="n"/>
      <c r="R858" s="27" t="n"/>
      <c r="S858" s="27" t="n"/>
      <c r="T858" s="27" t="n"/>
    </row>
    <row r="859" ht="13.8" customFormat="1" customHeight="1" s="70">
      <c r="M859" s="27" t="n"/>
      <c r="N859" s="27" t="n"/>
      <c r="O859" s="27" t="n"/>
      <c r="P859" s="27" t="n"/>
      <c r="Q859" s="27" t="n"/>
      <c r="R859" s="27" t="n"/>
      <c r="S859" s="27" t="n"/>
      <c r="T859" s="27" t="n"/>
    </row>
    <row r="860" ht="13.8" customFormat="1" customHeight="1" s="70">
      <c r="M860" s="27" t="n"/>
      <c r="N860" s="27" t="n"/>
      <c r="O860" s="27" t="n"/>
      <c r="P860" s="27" t="n"/>
      <c r="Q860" s="27" t="n"/>
      <c r="R860" s="27" t="n"/>
      <c r="S860" s="27" t="n"/>
      <c r="T860" s="27" t="n"/>
    </row>
    <row r="861" ht="13.8" customFormat="1" customHeight="1" s="70">
      <c r="M861" s="27" t="n"/>
      <c r="N861" s="27" t="n"/>
      <c r="O861" s="27" t="n"/>
      <c r="P861" s="27" t="n"/>
      <c r="Q861" s="27" t="n"/>
      <c r="R861" s="27" t="n"/>
      <c r="S861" s="27" t="n"/>
      <c r="T861" s="27" t="n"/>
    </row>
    <row r="862" ht="13.8" customFormat="1" customHeight="1" s="70">
      <c r="M862" s="27" t="n"/>
      <c r="N862" s="27" t="n"/>
      <c r="O862" s="27" t="n"/>
      <c r="P862" s="27" t="n"/>
      <c r="Q862" s="27" t="n"/>
      <c r="R862" s="27" t="n"/>
      <c r="S862" s="27" t="n"/>
      <c r="T862" s="27" t="n"/>
    </row>
    <row r="863" ht="13.8" customFormat="1" customHeight="1" s="70">
      <c r="M863" s="27" t="n"/>
      <c r="N863" s="27" t="n"/>
      <c r="O863" s="27" t="n"/>
      <c r="P863" s="27" t="n"/>
      <c r="Q863" s="27" t="n"/>
      <c r="R863" s="27" t="n"/>
      <c r="S863" s="27" t="n"/>
      <c r="T863" s="27" t="n"/>
    </row>
    <row r="864" ht="13.8" customFormat="1" customHeight="1" s="70">
      <c r="M864" s="27" t="n"/>
      <c r="N864" s="27" t="n"/>
      <c r="O864" s="27" t="n"/>
      <c r="P864" s="27" t="n"/>
      <c r="Q864" s="27" t="n"/>
      <c r="R864" s="27" t="n"/>
      <c r="S864" s="27" t="n"/>
      <c r="T864" s="27" t="n"/>
    </row>
    <row r="865" ht="13.8" customFormat="1" customHeight="1" s="70">
      <c r="M865" s="27" t="n"/>
      <c r="N865" s="27" t="n"/>
      <c r="O865" s="27" t="n"/>
      <c r="P865" s="27" t="n"/>
      <c r="Q865" s="27" t="n"/>
      <c r="R865" s="27" t="n"/>
      <c r="S865" s="27" t="n"/>
      <c r="T865" s="27" t="n"/>
    </row>
    <row r="866" ht="13.8" customFormat="1" customHeight="1" s="70">
      <c r="M866" s="27" t="n"/>
      <c r="N866" s="27" t="n"/>
      <c r="O866" s="27" t="n"/>
      <c r="P866" s="27" t="n"/>
      <c r="Q866" s="27" t="n"/>
      <c r="R866" s="27" t="n"/>
      <c r="S866" s="27" t="n"/>
      <c r="T866" s="27" t="n"/>
    </row>
    <row r="867" ht="13.8" customFormat="1" customHeight="1" s="70">
      <c r="M867" s="27" t="n"/>
      <c r="N867" s="27" t="n"/>
      <c r="O867" s="27" t="n"/>
      <c r="P867" s="27" t="n"/>
      <c r="Q867" s="27" t="n"/>
      <c r="R867" s="27" t="n"/>
      <c r="S867" s="27" t="n"/>
      <c r="T867" s="27" t="n"/>
    </row>
    <row r="868" ht="13.8" customFormat="1" customHeight="1" s="70">
      <c r="M868" s="27" t="n"/>
      <c r="N868" s="27" t="n"/>
      <c r="O868" s="27" t="n"/>
      <c r="P868" s="27" t="n"/>
      <c r="Q868" s="27" t="n"/>
      <c r="R868" s="27" t="n"/>
      <c r="S868" s="27" t="n"/>
      <c r="T868" s="27" t="n"/>
    </row>
    <row r="869" ht="13.8" customFormat="1" customHeight="1" s="70">
      <c r="M869" s="27" t="n"/>
      <c r="N869" s="27" t="n"/>
      <c r="O869" s="27" t="n"/>
      <c r="P869" s="27" t="n"/>
      <c r="Q869" s="27" t="n"/>
      <c r="R869" s="27" t="n"/>
      <c r="S869" s="27" t="n"/>
      <c r="T869" s="27" t="n"/>
    </row>
    <row r="870" ht="13.8" customFormat="1" customHeight="1" s="70">
      <c r="M870" s="27" t="n"/>
      <c r="N870" s="27" t="n"/>
      <c r="O870" s="27" t="n"/>
      <c r="P870" s="27" t="n"/>
      <c r="Q870" s="27" t="n"/>
      <c r="R870" s="27" t="n"/>
      <c r="S870" s="27" t="n"/>
      <c r="T870" s="27" t="n"/>
    </row>
    <row r="871" ht="13.8" customFormat="1" customHeight="1" s="70">
      <c r="M871" s="27" t="n"/>
      <c r="N871" s="27" t="n"/>
      <c r="O871" s="27" t="n"/>
      <c r="P871" s="27" t="n"/>
      <c r="Q871" s="27" t="n"/>
      <c r="R871" s="27" t="n"/>
      <c r="S871" s="27" t="n"/>
      <c r="T871" s="27" t="n"/>
    </row>
    <row r="872" ht="13.8" customFormat="1" customHeight="1" s="70">
      <c r="M872" s="27" t="n"/>
      <c r="N872" s="27" t="n"/>
      <c r="O872" s="27" t="n"/>
      <c r="P872" s="27" t="n"/>
      <c r="Q872" s="27" t="n"/>
      <c r="R872" s="27" t="n"/>
      <c r="S872" s="27" t="n"/>
      <c r="T872" s="27" t="n"/>
    </row>
    <row r="873" ht="13.8" customFormat="1" customHeight="1" s="70">
      <c r="M873" s="27" t="n"/>
      <c r="N873" s="27" t="n"/>
      <c r="O873" s="27" t="n"/>
      <c r="P873" s="27" t="n"/>
      <c r="Q873" s="27" t="n"/>
      <c r="R873" s="27" t="n"/>
      <c r="S873" s="27" t="n"/>
      <c r="T873" s="27" t="n"/>
    </row>
    <row r="874" ht="13.8" customFormat="1" customHeight="1" s="70">
      <c r="M874" s="27" t="n"/>
      <c r="N874" s="27" t="n"/>
      <c r="O874" s="27" t="n"/>
      <c r="P874" s="27" t="n"/>
      <c r="Q874" s="27" t="n"/>
      <c r="R874" s="27" t="n"/>
      <c r="S874" s="27" t="n"/>
      <c r="T874" s="27" t="n"/>
    </row>
    <row r="875" ht="13.8" customFormat="1" customHeight="1" s="70">
      <c r="M875" s="27" t="n"/>
      <c r="N875" s="27" t="n"/>
      <c r="O875" s="27" t="n"/>
      <c r="P875" s="27" t="n"/>
      <c r="Q875" s="27" t="n"/>
      <c r="R875" s="27" t="n"/>
      <c r="S875" s="27" t="n"/>
      <c r="T875" s="27" t="n"/>
    </row>
    <row r="876" ht="13.8" customFormat="1" customHeight="1" s="70">
      <c r="M876" s="27" t="n"/>
      <c r="N876" s="27" t="n"/>
      <c r="O876" s="27" t="n"/>
      <c r="P876" s="27" t="n"/>
      <c r="Q876" s="27" t="n"/>
      <c r="R876" s="27" t="n"/>
      <c r="S876" s="27" t="n"/>
      <c r="T876" s="27" t="n"/>
    </row>
    <row r="877" ht="13.8" customFormat="1" customHeight="1" s="70">
      <c r="M877" s="27" t="n"/>
      <c r="N877" s="27" t="n"/>
      <c r="O877" s="27" t="n"/>
      <c r="P877" s="27" t="n"/>
      <c r="Q877" s="27" t="n"/>
      <c r="R877" s="27" t="n"/>
      <c r="S877" s="27" t="n"/>
      <c r="T877" s="27" t="n"/>
    </row>
    <row r="878" ht="13.8" customFormat="1" customHeight="1" s="70">
      <c r="M878" s="27" t="n"/>
      <c r="N878" s="27" t="n"/>
      <c r="O878" s="27" t="n"/>
      <c r="P878" s="27" t="n"/>
      <c r="Q878" s="27" t="n"/>
      <c r="R878" s="27" t="n"/>
      <c r="S878" s="27" t="n"/>
      <c r="T878" s="27" t="n"/>
    </row>
    <row r="879" ht="13.8" customFormat="1" customHeight="1" s="70">
      <c r="M879" s="27" t="n"/>
      <c r="N879" s="27" t="n"/>
      <c r="O879" s="27" t="n"/>
      <c r="P879" s="27" t="n"/>
      <c r="Q879" s="27" t="n"/>
      <c r="R879" s="27" t="n"/>
      <c r="S879" s="27" t="n"/>
      <c r="T879" s="27" t="n"/>
    </row>
    <row r="880" ht="13.8" customFormat="1" customHeight="1" s="70">
      <c r="M880" s="27" t="n"/>
      <c r="N880" s="27" t="n"/>
      <c r="O880" s="27" t="n"/>
      <c r="P880" s="27" t="n"/>
      <c r="Q880" s="27" t="n"/>
      <c r="R880" s="27" t="n"/>
      <c r="S880" s="27" t="n"/>
      <c r="T880" s="27" t="n"/>
    </row>
    <row r="881" ht="13.8" customFormat="1" customHeight="1" s="70">
      <c r="M881" s="27" t="n"/>
      <c r="N881" s="27" t="n"/>
      <c r="O881" s="27" t="n"/>
      <c r="P881" s="27" t="n"/>
      <c r="Q881" s="27" t="n"/>
      <c r="R881" s="27" t="n"/>
      <c r="S881" s="27" t="n"/>
      <c r="T881" s="27" t="n"/>
    </row>
    <row r="882" ht="13.8" customFormat="1" customHeight="1" s="70">
      <c r="M882" s="27" t="n"/>
      <c r="N882" s="27" t="n"/>
      <c r="O882" s="27" t="n"/>
      <c r="P882" s="27" t="n"/>
      <c r="Q882" s="27" t="n"/>
      <c r="R882" s="27" t="n"/>
      <c r="S882" s="27" t="n"/>
      <c r="T882" s="27" t="n"/>
    </row>
    <row r="883" ht="13.8" customFormat="1" customHeight="1" s="70">
      <c r="M883" s="27" t="n"/>
      <c r="N883" s="27" t="n"/>
      <c r="O883" s="27" t="n"/>
      <c r="P883" s="27" t="n"/>
      <c r="Q883" s="27" t="n"/>
      <c r="R883" s="27" t="n"/>
      <c r="S883" s="27" t="n"/>
      <c r="T883" s="27" t="n"/>
    </row>
    <row r="884" ht="13.8" customFormat="1" customHeight="1" s="70">
      <c r="M884" s="27" t="n"/>
      <c r="N884" s="27" t="n"/>
      <c r="O884" s="27" t="n"/>
      <c r="P884" s="27" t="n"/>
      <c r="Q884" s="27" t="n"/>
      <c r="R884" s="27" t="n"/>
      <c r="S884" s="27" t="n"/>
      <c r="T884" s="27" t="n"/>
    </row>
    <row r="885" ht="13.8" customFormat="1" customHeight="1" s="70">
      <c r="M885" s="27" t="n"/>
      <c r="N885" s="27" t="n"/>
      <c r="O885" s="27" t="n"/>
      <c r="P885" s="27" t="n"/>
      <c r="Q885" s="27" t="n"/>
      <c r="R885" s="27" t="n"/>
      <c r="S885" s="27" t="n"/>
      <c r="T885" s="27" t="n"/>
    </row>
    <row r="886" ht="13.8" customFormat="1" customHeight="1" s="70">
      <c r="M886" s="27" t="n"/>
      <c r="N886" s="27" t="n"/>
      <c r="O886" s="27" t="n"/>
      <c r="P886" s="27" t="n"/>
      <c r="Q886" s="27" t="n"/>
      <c r="R886" s="27" t="n"/>
      <c r="S886" s="27" t="n"/>
      <c r="T886" s="27" t="n"/>
    </row>
    <row r="887" ht="13.8" customFormat="1" customHeight="1" s="70">
      <c r="M887" s="27" t="n"/>
      <c r="N887" s="27" t="n"/>
      <c r="O887" s="27" t="n"/>
      <c r="P887" s="27" t="n"/>
      <c r="Q887" s="27" t="n"/>
      <c r="R887" s="27" t="n"/>
      <c r="S887" s="27" t="n"/>
      <c r="T887" s="27" t="n"/>
    </row>
    <row r="888" ht="13.8" customFormat="1" customHeight="1" s="70">
      <c r="M888" s="27" t="n"/>
      <c r="N888" s="27" t="n"/>
      <c r="O888" s="27" t="n"/>
      <c r="P888" s="27" t="n"/>
      <c r="Q888" s="27" t="n"/>
      <c r="R888" s="27" t="n"/>
      <c r="S888" s="27" t="n"/>
      <c r="T888" s="27" t="n"/>
    </row>
    <row r="889" ht="13.8" customFormat="1" customHeight="1" s="70">
      <c r="M889" s="27" t="n"/>
      <c r="N889" s="27" t="n"/>
      <c r="O889" s="27" t="n"/>
      <c r="P889" s="27" t="n"/>
      <c r="Q889" s="27" t="n"/>
      <c r="R889" s="27" t="n"/>
      <c r="S889" s="27" t="n"/>
      <c r="T889" s="27" t="n"/>
    </row>
    <row r="890" ht="13.8" customFormat="1" customHeight="1" s="70">
      <c r="M890" s="27" t="n"/>
      <c r="N890" s="27" t="n"/>
      <c r="O890" s="27" t="n"/>
      <c r="P890" s="27" t="n"/>
      <c r="Q890" s="27" t="n"/>
      <c r="R890" s="27" t="n"/>
      <c r="S890" s="27" t="n"/>
      <c r="T890" s="27" t="n"/>
    </row>
    <row r="891" ht="13.8" customFormat="1" customHeight="1" s="70">
      <c r="M891" s="27" t="n"/>
      <c r="N891" s="27" t="n"/>
      <c r="O891" s="27" t="n"/>
      <c r="P891" s="27" t="n"/>
      <c r="Q891" s="27" t="n"/>
      <c r="R891" s="27" t="n"/>
      <c r="S891" s="27" t="n"/>
      <c r="T891" s="27" t="n"/>
    </row>
    <row r="892" ht="13.8" customFormat="1" customHeight="1" s="70">
      <c r="M892" s="27" t="n"/>
      <c r="N892" s="27" t="n"/>
      <c r="O892" s="27" t="n"/>
      <c r="P892" s="27" t="n"/>
      <c r="Q892" s="27" t="n"/>
      <c r="R892" s="27" t="n"/>
      <c r="S892" s="27" t="n"/>
      <c r="T892" s="27" t="n"/>
    </row>
    <row r="893" ht="13.8" customFormat="1" customHeight="1" s="70">
      <c r="M893" s="27" t="n"/>
      <c r="N893" s="27" t="n"/>
      <c r="O893" s="27" t="n"/>
      <c r="P893" s="27" t="n"/>
      <c r="Q893" s="27" t="n"/>
      <c r="R893" s="27" t="n"/>
      <c r="S893" s="27" t="n"/>
      <c r="T893" s="27" t="n"/>
    </row>
    <row r="894" ht="13.8" customFormat="1" customHeight="1" s="70">
      <c r="M894" s="27" t="n"/>
      <c r="N894" s="27" t="n"/>
      <c r="O894" s="27" t="n"/>
      <c r="P894" s="27" t="n"/>
      <c r="Q894" s="27" t="n"/>
      <c r="R894" s="27" t="n"/>
      <c r="S894" s="27" t="n"/>
      <c r="T894" s="27" t="n"/>
    </row>
    <row r="895" ht="13.8" customFormat="1" customHeight="1" s="70">
      <c r="M895" s="27" t="n"/>
      <c r="N895" s="27" t="n"/>
      <c r="O895" s="27" t="n"/>
      <c r="P895" s="27" t="n"/>
      <c r="Q895" s="27" t="n"/>
      <c r="R895" s="27" t="n"/>
      <c r="S895" s="27" t="n"/>
      <c r="T895" s="27" t="n"/>
    </row>
    <row r="896" ht="13.8" customFormat="1" customHeight="1" s="70">
      <c r="M896" s="27" t="n"/>
      <c r="N896" s="27" t="n"/>
      <c r="O896" s="27" t="n"/>
      <c r="P896" s="27" t="n"/>
      <c r="Q896" s="27" t="n"/>
      <c r="R896" s="27" t="n"/>
      <c r="S896" s="27" t="n"/>
      <c r="T896" s="27" t="n"/>
    </row>
    <row r="897" ht="13.8" customFormat="1" customHeight="1" s="70">
      <c r="M897" s="27" t="n"/>
      <c r="N897" s="27" t="n"/>
      <c r="O897" s="27" t="n"/>
      <c r="P897" s="27" t="n"/>
      <c r="Q897" s="27" t="n"/>
      <c r="R897" s="27" t="n"/>
      <c r="S897" s="27" t="n"/>
      <c r="T897" s="27" t="n"/>
    </row>
    <row r="898" ht="13.8" customFormat="1" customHeight="1" s="70">
      <c r="M898" s="27" t="n"/>
      <c r="N898" s="27" t="n"/>
      <c r="O898" s="27" t="n"/>
      <c r="P898" s="27" t="n"/>
      <c r="Q898" s="27" t="n"/>
      <c r="R898" s="27" t="n"/>
      <c r="S898" s="27" t="n"/>
      <c r="T898" s="27" t="n"/>
    </row>
    <row r="899" ht="13.8" customFormat="1" customHeight="1" s="70">
      <c r="M899" s="27" t="n"/>
      <c r="N899" s="27" t="n"/>
      <c r="O899" s="27" t="n"/>
      <c r="P899" s="27" t="n"/>
      <c r="Q899" s="27" t="n"/>
      <c r="R899" s="27" t="n"/>
      <c r="S899" s="27" t="n"/>
      <c r="T899" s="27" t="n"/>
    </row>
    <row r="900" ht="13.8" customFormat="1" customHeight="1" s="70">
      <c r="M900" s="27" t="n"/>
      <c r="N900" s="27" t="n"/>
      <c r="O900" s="27" t="n"/>
      <c r="P900" s="27" t="n"/>
      <c r="Q900" s="27" t="n"/>
      <c r="R900" s="27" t="n"/>
      <c r="S900" s="27" t="n"/>
      <c r="T900" s="27" t="n"/>
    </row>
    <row r="901" ht="13.8" customFormat="1" customHeight="1" s="70">
      <c r="M901" s="27" t="n"/>
      <c r="N901" s="27" t="n"/>
      <c r="O901" s="27" t="n"/>
      <c r="P901" s="27" t="n"/>
      <c r="Q901" s="27" t="n"/>
      <c r="R901" s="27" t="n"/>
      <c r="S901" s="27" t="n"/>
      <c r="T901" s="27" t="n"/>
    </row>
    <row r="902" ht="13.8" customFormat="1" customHeight="1" s="70">
      <c r="M902" s="27" t="n"/>
      <c r="N902" s="27" t="n"/>
      <c r="O902" s="27" t="n"/>
      <c r="P902" s="27" t="n"/>
      <c r="Q902" s="27" t="n"/>
      <c r="R902" s="27" t="n"/>
      <c r="S902" s="27" t="n"/>
      <c r="T902" s="27" t="n"/>
    </row>
    <row r="903" ht="13.8" customFormat="1" customHeight="1" s="70">
      <c r="M903" s="27" t="n"/>
      <c r="N903" s="27" t="n"/>
      <c r="O903" s="27" t="n"/>
      <c r="P903" s="27" t="n"/>
      <c r="Q903" s="27" t="n"/>
      <c r="R903" s="27" t="n"/>
      <c r="S903" s="27" t="n"/>
      <c r="T903" s="27" t="n"/>
    </row>
    <row r="904" ht="13.8" customFormat="1" customHeight="1" s="70">
      <c r="M904" s="27" t="n"/>
      <c r="N904" s="27" t="n"/>
      <c r="O904" s="27" t="n"/>
      <c r="P904" s="27" t="n"/>
      <c r="Q904" s="27" t="n"/>
      <c r="R904" s="27" t="n"/>
      <c r="S904" s="27" t="n"/>
      <c r="T904" s="27" t="n"/>
    </row>
    <row r="905" ht="13.8" customFormat="1" customHeight="1" s="70">
      <c r="M905" s="27" t="n"/>
      <c r="N905" s="27" t="n"/>
      <c r="O905" s="27" t="n"/>
      <c r="P905" s="27" t="n"/>
      <c r="Q905" s="27" t="n"/>
      <c r="R905" s="27" t="n"/>
      <c r="S905" s="27" t="n"/>
      <c r="T905" s="27" t="n"/>
    </row>
    <row r="906" ht="13.8" customFormat="1" customHeight="1" s="70">
      <c r="M906" s="27" t="n"/>
      <c r="N906" s="27" t="n"/>
      <c r="O906" s="27" t="n"/>
      <c r="P906" s="27" t="n"/>
      <c r="Q906" s="27" t="n"/>
      <c r="R906" s="27" t="n"/>
      <c r="S906" s="27" t="n"/>
      <c r="T906" s="27" t="n"/>
    </row>
    <row r="907" ht="13.8" customFormat="1" customHeight="1" s="70">
      <c r="M907" s="27" t="n"/>
      <c r="N907" s="27" t="n"/>
      <c r="O907" s="27" t="n"/>
      <c r="P907" s="27" t="n"/>
      <c r="Q907" s="27" t="n"/>
      <c r="R907" s="27" t="n"/>
      <c r="S907" s="27" t="n"/>
      <c r="T907" s="27" t="n"/>
    </row>
    <row r="908" ht="13.8" customFormat="1" customHeight="1" s="70">
      <c r="M908" s="27" t="n"/>
      <c r="N908" s="27" t="n"/>
      <c r="O908" s="27" t="n"/>
      <c r="P908" s="27" t="n"/>
      <c r="Q908" s="27" t="n"/>
      <c r="R908" s="27" t="n"/>
      <c r="S908" s="27" t="n"/>
      <c r="T908" s="27" t="n"/>
    </row>
    <row r="909" ht="13.8" customFormat="1" customHeight="1" s="70">
      <c r="M909" s="27" t="n"/>
      <c r="N909" s="27" t="n"/>
      <c r="O909" s="27" t="n"/>
      <c r="P909" s="27" t="n"/>
      <c r="Q909" s="27" t="n"/>
      <c r="R909" s="27" t="n"/>
      <c r="S909" s="27" t="n"/>
      <c r="T909" s="27" t="n"/>
    </row>
    <row r="910" ht="13.8" customFormat="1" customHeight="1" s="70">
      <c r="M910" s="27" t="n"/>
      <c r="N910" s="27" t="n"/>
      <c r="O910" s="27" t="n"/>
      <c r="P910" s="27" t="n"/>
      <c r="Q910" s="27" t="n"/>
      <c r="R910" s="27" t="n"/>
      <c r="S910" s="27" t="n"/>
      <c r="T910" s="27" t="n"/>
    </row>
    <row r="911" ht="13.8" customFormat="1" customHeight="1" s="70">
      <c r="M911" s="27" t="n"/>
      <c r="N911" s="27" t="n"/>
      <c r="O911" s="27" t="n"/>
      <c r="P911" s="27" t="n"/>
      <c r="Q911" s="27" t="n"/>
      <c r="R911" s="27" t="n"/>
      <c r="S911" s="27" t="n"/>
      <c r="T911" s="27" t="n"/>
    </row>
    <row r="912" ht="13.8" customFormat="1" customHeight="1" s="70">
      <c r="M912" s="27" t="n"/>
      <c r="N912" s="27" t="n"/>
      <c r="O912" s="27" t="n"/>
      <c r="P912" s="27" t="n"/>
      <c r="Q912" s="27" t="n"/>
      <c r="R912" s="27" t="n"/>
      <c r="S912" s="27" t="n"/>
      <c r="T912" s="27" t="n"/>
    </row>
    <row r="913" ht="13.8" customFormat="1" customHeight="1" s="70">
      <c r="M913" s="27" t="n"/>
      <c r="N913" s="27" t="n"/>
      <c r="O913" s="27" t="n"/>
      <c r="P913" s="27" t="n"/>
      <c r="Q913" s="27" t="n"/>
      <c r="R913" s="27" t="n"/>
      <c r="S913" s="27" t="n"/>
      <c r="T913" s="27" t="n"/>
    </row>
    <row r="914" ht="13.8" customFormat="1" customHeight="1" s="70">
      <c r="M914" s="27" t="n"/>
      <c r="N914" s="27" t="n"/>
      <c r="O914" s="27" t="n"/>
      <c r="P914" s="27" t="n"/>
      <c r="Q914" s="27" t="n"/>
      <c r="R914" s="27" t="n"/>
      <c r="S914" s="27" t="n"/>
      <c r="T914" s="27" t="n"/>
    </row>
    <row r="915" ht="13.8" customFormat="1" customHeight="1" s="70">
      <c r="M915" s="27" t="n"/>
      <c r="N915" s="27" t="n"/>
      <c r="O915" s="27" t="n"/>
      <c r="P915" s="27" t="n"/>
      <c r="Q915" s="27" t="n"/>
      <c r="R915" s="27" t="n"/>
      <c r="S915" s="27" t="n"/>
      <c r="T915" s="27" t="n"/>
    </row>
    <row r="916" ht="13.8" customFormat="1" customHeight="1" s="70">
      <c r="M916" s="27" t="n"/>
      <c r="N916" s="27" t="n"/>
      <c r="O916" s="27" t="n"/>
      <c r="P916" s="27" t="n"/>
      <c r="Q916" s="27" t="n"/>
      <c r="R916" s="27" t="n"/>
      <c r="S916" s="27" t="n"/>
      <c r="T916" s="27" t="n"/>
    </row>
    <row r="917" ht="13.8" customFormat="1" customHeight="1" s="70">
      <c r="M917" s="27" t="n"/>
      <c r="N917" s="27" t="n"/>
      <c r="O917" s="27" t="n"/>
      <c r="P917" s="27" t="n"/>
      <c r="Q917" s="27" t="n"/>
      <c r="R917" s="27" t="n"/>
      <c r="S917" s="27" t="n"/>
      <c r="T917" s="27" t="n"/>
    </row>
    <row r="918" ht="13.8" customFormat="1" customHeight="1" s="70">
      <c r="M918" s="27" t="n"/>
      <c r="N918" s="27" t="n"/>
      <c r="O918" s="27" t="n"/>
      <c r="P918" s="27" t="n"/>
      <c r="Q918" s="27" t="n"/>
      <c r="R918" s="27" t="n"/>
      <c r="S918" s="27" t="n"/>
      <c r="T918" s="27" t="n"/>
    </row>
    <row r="919" ht="13.8" customFormat="1" customHeight="1" s="70">
      <c r="M919" s="27" t="n"/>
      <c r="N919" s="27" t="n"/>
      <c r="O919" s="27" t="n"/>
      <c r="P919" s="27" t="n"/>
      <c r="Q919" s="27" t="n"/>
      <c r="R919" s="27" t="n"/>
      <c r="S919" s="27" t="n"/>
      <c r="T919" s="27" t="n"/>
    </row>
    <row r="920" ht="13.8" customFormat="1" customHeight="1" s="70">
      <c r="M920" s="27" t="n"/>
      <c r="N920" s="27" t="n"/>
      <c r="O920" s="27" t="n"/>
      <c r="P920" s="27" t="n"/>
      <c r="Q920" s="27" t="n"/>
      <c r="R920" s="27" t="n"/>
      <c r="S920" s="27" t="n"/>
      <c r="T920" s="27" t="n"/>
    </row>
    <row r="921" ht="13.8" customFormat="1" customHeight="1" s="70">
      <c r="M921" s="27" t="n"/>
      <c r="N921" s="27" t="n"/>
      <c r="O921" s="27" t="n"/>
      <c r="P921" s="27" t="n"/>
      <c r="Q921" s="27" t="n"/>
      <c r="R921" s="27" t="n"/>
      <c r="S921" s="27" t="n"/>
      <c r="T921" s="27" t="n"/>
    </row>
    <row r="922" ht="13.8" customFormat="1" customHeight="1" s="70">
      <c r="M922" s="27" t="n"/>
      <c r="N922" s="27" t="n"/>
      <c r="O922" s="27" t="n"/>
      <c r="P922" s="27" t="n"/>
      <c r="Q922" s="27" t="n"/>
      <c r="R922" s="27" t="n"/>
      <c r="S922" s="27" t="n"/>
      <c r="T922" s="27" t="n"/>
    </row>
    <row r="923" ht="13.8" customFormat="1" customHeight="1" s="70">
      <c r="M923" s="27" t="n"/>
      <c r="N923" s="27" t="n"/>
      <c r="O923" s="27" t="n"/>
      <c r="P923" s="27" t="n"/>
      <c r="Q923" s="27" t="n"/>
      <c r="R923" s="27" t="n"/>
      <c r="S923" s="27" t="n"/>
      <c r="T923" s="27" t="n"/>
    </row>
    <row r="924" ht="13.8" customFormat="1" customHeight="1" s="70">
      <c r="M924" s="27" t="n"/>
      <c r="N924" s="27" t="n"/>
      <c r="O924" s="27" t="n"/>
      <c r="P924" s="27" t="n"/>
      <c r="Q924" s="27" t="n"/>
      <c r="R924" s="27" t="n"/>
      <c r="S924" s="27" t="n"/>
      <c r="T924" s="27" t="n"/>
    </row>
    <row r="925" ht="13.8" customFormat="1" customHeight="1" s="70">
      <c r="M925" s="27" t="n"/>
      <c r="N925" s="27" t="n"/>
      <c r="O925" s="27" t="n"/>
      <c r="P925" s="27" t="n"/>
      <c r="Q925" s="27" t="n"/>
      <c r="R925" s="27" t="n"/>
      <c r="S925" s="27" t="n"/>
      <c r="T925" s="27" t="n"/>
    </row>
    <row r="926" ht="13.8" customFormat="1" customHeight="1" s="70">
      <c r="M926" s="27" t="n"/>
      <c r="N926" s="27" t="n"/>
      <c r="O926" s="27" t="n"/>
      <c r="P926" s="27" t="n"/>
      <c r="Q926" s="27" t="n"/>
      <c r="R926" s="27" t="n"/>
      <c r="S926" s="27" t="n"/>
      <c r="T926" s="27" t="n"/>
    </row>
    <row r="927" ht="13.8" customFormat="1" customHeight="1" s="70">
      <c r="M927" s="27" t="n"/>
      <c r="N927" s="27" t="n"/>
      <c r="O927" s="27" t="n"/>
      <c r="P927" s="27" t="n"/>
      <c r="Q927" s="27" t="n"/>
      <c r="R927" s="27" t="n"/>
      <c r="S927" s="27" t="n"/>
      <c r="T927" s="27" t="n"/>
    </row>
    <row r="928" ht="13.8" customFormat="1" customHeight="1" s="70">
      <c r="M928" s="27" t="n"/>
      <c r="N928" s="27" t="n"/>
      <c r="O928" s="27" t="n"/>
      <c r="P928" s="27" t="n"/>
      <c r="Q928" s="27" t="n"/>
      <c r="R928" s="27" t="n"/>
      <c r="S928" s="27" t="n"/>
      <c r="T928" s="27" t="n"/>
    </row>
    <row r="929" ht="13.8" customFormat="1" customHeight="1" s="70">
      <c r="M929" s="27" t="n"/>
      <c r="N929" s="27" t="n"/>
      <c r="O929" s="27" t="n"/>
      <c r="P929" s="27" t="n"/>
      <c r="Q929" s="27" t="n"/>
      <c r="R929" s="27" t="n"/>
      <c r="S929" s="27" t="n"/>
      <c r="T929" s="27" t="n"/>
    </row>
    <row r="930" ht="13.8" customFormat="1" customHeight="1" s="70">
      <c r="M930" s="27" t="n"/>
      <c r="N930" s="27" t="n"/>
      <c r="O930" s="27" t="n"/>
      <c r="P930" s="27" t="n"/>
      <c r="Q930" s="27" t="n"/>
      <c r="R930" s="27" t="n"/>
      <c r="S930" s="27" t="n"/>
      <c r="T930" s="27" t="n"/>
    </row>
    <row r="931" ht="13.8" customFormat="1" customHeight="1" s="70">
      <c r="M931" s="27" t="n"/>
      <c r="N931" s="27" t="n"/>
      <c r="O931" s="27" t="n"/>
      <c r="P931" s="27" t="n"/>
      <c r="Q931" s="27" t="n"/>
      <c r="R931" s="27" t="n"/>
      <c r="S931" s="27" t="n"/>
      <c r="T931" s="27" t="n"/>
    </row>
    <row r="932" ht="13.8" customFormat="1" customHeight="1" s="70">
      <c r="M932" s="27" t="n"/>
      <c r="N932" s="27" t="n"/>
      <c r="O932" s="27" t="n"/>
      <c r="P932" s="27" t="n"/>
      <c r="Q932" s="27" t="n"/>
      <c r="R932" s="27" t="n"/>
      <c r="S932" s="27" t="n"/>
      <c r="T932" s="27" t="n"/>
    </row>
    <row r="933" ht="13.8" customFormat="1" customHeight="1" s="70">
      <c r="M933" s="27" t="n"/>
      <c r="N933" s="27" t="n"/>
      <c r="O933" s="27" t="n"/>
      <c r="P933" s="27" t="n"/>
      <c r="Q933" s="27" t="n"/>
      <c r="R933" s="27" t="n"/>
      <c r="S933" s="27" t="n"/>
      <c r="T933" s="27" t="n"/>
    </row>
    <row r="934" ht="13.8" customFormat="1" customHeight="1" s="70">
      <c r="M934" s="27" t="n"/>
      <c r="N934" s="27" t="n"/>
      <c r="O934" s="27" t="n"/>
      <c r="P934" s="27" t="n"/>
      <c r="Q934" s="27" t="n"/>
      <c r="R934" s="27" t="n"/>
      <c r="S934" s="27" t="n"/>
      <c r="T934" s="27" t="n"/>
    </row>
    <row r="935" ht="13.8" customFormat="1" customHeight="1" s="70">
      <c r="M935" s="27" t="n"/>
      <c r="N935" s="27" t="n"/>
      <c r="O935" s="27" t="n"/>
      <c r="P935" s="27" t="n"/>
      <c r="Q935" s="27" t="n"/>
      <c r="R935" s="27" t="n"/>
      <c r="S935" s="27" t="n"/>
      <c r="T935" s="27" t="n"/>
    </row>
    <row r="936" ht="13.8" customFormat="1" customHeight="1" s="70">
      <c r="M936" s="27" t="n"/>
      <c r="N936" s="27" t="n"/>
      <c r="O936" s="27" t="n"/>
      <c r="P936" s="27" t="n"/>
      <c r="Q936" s="27" t="n"/>
      <c r="R936" s="27" t="n"/>
      <c r="S936" s="27" t="n"/>
      <c r="T936" s="27" t="n"/>
    </row>
    <row r="937" ht="13.8" customFormat="1" customHeight="1" s="70">
      <c r="M937" s="27" t="n"/>
      <c r="N937" s="27" t="n"/>
      <c r="O937" s="27" t="n"/>
      <c r="P937" s="27" t="n"/>
      <c r="Q937" s="27" t="n"/>
      <c r="R937" s="27" t="n"/>
      <c r="S937" s="27" t="n"/>
      <c r="T937" s="27" t="n"/>
    </row>
    <row r="938" ht="13.8" customFormat="1" customHeight="1" s="70">
      <c r="M938" s="27" t="n"/>
      <c r="N938" s="27" t="n"/>
      <c r="O938" s="27" t="n"/>
      <c r="P938" s="27" t="n"/>
      <c r="Q938" s="27" t="n"/>
      <c r="R938" s="27" t="n"/>
      <c r="S938" s="27" t="n"/>
      <c r="T938" s="27" t="n"/>
    </row>
    <row r="939" ht="13.8" customFormat="1" customHeight="1" s="70">
      <c r="M939" s="27" t="n"/>
      <c r="N939" s="27" t="n"/>
      <c r="O939" s="27" t="n"/>
      <c r="P939" s="27" t="n"/>
      <c r="Q939" s="27" t="n"/>
      <c r="R939" s="27" t="n"/>
      <c r="S939" s="27" t="n"/>
      <c r="T939" s="27" t="n"/>
    </row>
    <row r="940" ht="13.8" customFormat="1" customHeight="1" s="70">
      <c r="M940" s="27" t="n"/>
      <c r="N940" s="27" t="n"/>
      <c r="O940" s="27" t="n"/>
      <c r="P940" s="27" t="n"/>
      <c r="Q940" s="27" t="n"/>
      <c r="R940" s="27" t="n"/>
      <c r="S940" s="27" t="n"/>
      <c r="T940" s="27" t="n"/>
    </row>
    <row r="941" ht="13.8" customFormat="1" customHeight="1" s="70">
      <c r="M941" s="27" t="n"/>
      <c r="N941" s="27" t="n"/>
      <c r="O941" s="27" t="n"/>
      <c r="P941" s="27" t="n"/>
      <c r="Q941" s="27" t="n"/>
      <c r="R941" s="27" t="n"/>
      <c r="S941" s="27" t="n"/>
      <c r="T941" s="27" t="n"/>
    </row>
    <row r="942" ht="13.8" customFormat="1" customHeight="1" s="70">
      <c r="M942" s="27" t="n"/>
      <c r="N942" s="27" t="n"/>
      <c r="O942" s="27" t="n"/>
      <c r="P942" s="27" t="n"/>
      <c r="Q942" s="27" t="n"/>
      <c r="R942" s="27" t="n"/>
      <c r="S942" s="27" t="n"/>
      <c r="T942" s="27" t="n"/>
    </row>
    <row r="943" ht="13.8" customFormat="1" customHeight="1" s="70">
      <c r="M943" s="27" t="n"/>
      <c r="N943" s="27" t="n"/>
      <c r="O943" s="27" t="n"/>
      <c r="P943" s="27" t="n"/>
      <c r="Q943" s="27" t="n"/>
      <c r="R943" s="27" t="n"/>
      <c r="S943" s="27" t="n"/>
      <c r="T943" s="27" t="n"/>
    </row>
    <row r="944" ht="13.8" customFormat="1" customHeight="1" s="70">
      <c r="M944" s="27" t="n"/>
      <c r="N944" s="27" t="n"/>
      <c r="O944" s="27" t="n"/>
      <c r="P944" s="27" t="n"/>
      <c r="Q944" s="27" t="n"/>
      <c r="R944" s="27" t="n"/>
      <c r="S944" s="27" t="n"/>
      <c r="T944" s="27" t="n"/>
    </row>
    <row r="945" ht="13.8" customFormat="1" customHeight="1" s="70">
      <c r="M945" s="27" t="n"/>
      <c r="N945" s="27" t="n"/>
      <c r="O945" s="27" t="n"/>
      <c r="P945" s="27" t="n"/>
      <c r="Q945" s="27" t="n"/>
      <c r="R945" s="27" t="n"/>
      <c r="S945" s="27" t="n"/>
      <c r="T945" s="27" t="n"/>
    </row>
    <row r="946" ht="13.8" customFormat="1" customHeight="1" s="70">
      <c r="M946" s="27" t="n"/>
      <c r="N946" s="27" t="n"/>
      <c r="O946" s="27" t="n"/>
      <c r="P946" s="27" t="n"/>
      <c r="Q946" s="27" t="n"/>
      <c r="R946" s="27" t="n"/>
      <c r="S946" s="27" t="n"/>
      <c r="T946" s="27" t="n"/>
    </row>
    <row r="947" ht="13.8" customFormat="1" customHeight="1" s="70">
      <c r="M947" s="27" t="n"/>
      <c r="N947" s="27" t="n"/>
      <c r="O947" s="27" t="n"/>
      <c r="P947" s="27" t="n"/>
      <c r="Q947" s="27" t="n"/>
      <c r="R947" s="27" t="n"/>
      <c r="S947" s="27" t="n"/>
      <c r="T947" s="27" t="n"/>
    </row>
    <row r="948" ht="13.8" customFormat="1" customHeight="1" s="70">
      <c r="M948" s="27" t="n"/>
      <c r="N948" s="27" t="n"/>
      <c r="O948" s="27" t="n"/>
      <c r="P948" s="27" t="n"/>
      <c r="Q948" s="27" t="n"/>
      <c r="R948" s="27" t="n"/>
      <c r="S948" s="27" t="n"/>
      <c r="T948" s="27" t="n"/>
    </row>
    <row r="949" ht="13.8" customFormat="1" customHeight="1" s="70">
      <c r="M949" s="27" t="n"/>
      <c r="N949" s="27" t="n"/>
      <c r="O949" s="27" t="n"/>
      <c r="P949" s="27" t="n"/>
      <c r="Q949" s="27" t="n"/>
      <c r="R949" s="27" t="n"/>
      <c r="S949" s="27" t="n"/>
      <c r="T949" s="27" t="n"/>
    </row>
    <row r="950" ht="13.8" customFormat="1" customHeight="1" s="70">
      <c r="M950" s="27" t="n"/>
      <c r="N950" s="27" t="n"/>
      <c r="O950" s="27" t="n"/>
      <c r="P950" s="27" t="n"/>
      <c r="Q950" s="27" t="n"/>
      <c r="R950" s="27" t="n"/>
      <c r="S950" s="27" t="n"/>
      <c r="T950" s="27" t="n"/>
    </row>
    <row r="951" ht="13.8" customFormat="1" customHeight="1" s="70">
      <c r="M951" s="27" t="n"/>
      <c r="N951" s="27" t="n"/>
      <c r="O951" s="27" t="n"/>
      <c r="P951" s="27" t="n"/>
      <c r="Q951" s="27" t="n"/>
      <c r="R951" s="27" t="n"/>
      <c r="S951" s="27" t="n"/>
      <c r="T951" s="27" t="n"/>
    </row>
    <row r="952" ht="13.8" customFormat="1" customHeight="1" s="70">
      <c r="M952" s="27" t="n"/>
      <c r="N952" s="27" t="n"/>
      <c r="O952" s="27" t="n"/>
      <c r="P952" s="27" t="n"/>
      <c r="Q952" s="27" t="n"/>
      <c r="R952" s="27" t="n"/>
      <c r="S952" s="27" t="n"/>
      <c r="T952" s="27" t="n"/>
    </row>
    <row r="953" ht="13.8" customFormat="1" customHeight="1" s="70">
      <c r="M953" s="27" t="n"/>
      <c r="N953" s="27" t="n"/>
      <c r="O953" s="27" t="n"/>
      <c r="P953" s="27" t="n"/>
      <c r="Q953" s="27" t="n"/>
      <c r="R953" s="27" t="n"/>
      <c r="S953" s="27" t="n"/>
      <c r="T953" s="27" t="n"/>
    </row>
    <row r="954" ht="13.8" customFormat="1" customHeight="1" s="70">
      <c r="M954" s="27" t="n"/>
      <c r="N954" s="27" t="n"/>
      <c r="O954" s="27" t="n"/>
      <c r="P954" s="27" t="n"/>
      <c r="Q954" s="27" t="n"/>
      <c r="R954" s="27" t="n"/>
      <c r="S954" s="27" t="n"/>
      <c r="T954" s="27" t="n"/>
    </row>
    <row r="955" ht="13.8" customFormat="1" customHeight="1" s="70">
      <c r="M955" s="27" t="n"/>
      <c r="N955" s="27" t="n"/>
      <c r="O955" s="27" t="n"/>
      <c r="P955" s="27" t="n"/>
      <c r="Q955" s="27" t="n"/>
      <c r="R955" s="27" t="n"/>
      <c r="S955" s="27" t="n"/>
      <c r="T955" s="27" t="n"/>
    </row>
    <row r="956" ht="13.8" customFormat="1" customHeight="1" s="70">
      <c r="M956" s="27" t="n"/>
      <c r="N956" s="27" t="n"/>
      <c r="O956" s="27" t="n"/>
      <c r="P956" s="27" t="n"/>
      <c r="Q956" s="27" t="n"/>
      <c r="R956" s="27" t="n"/>
      <c r="S956" s="27" t="n"/>
      <c r="T956" s="27" t="n"/>
    </row>
    <row r="957" ht="13.8" customFormat="1" customHeight="1" s="70">
      <c r="M957" s="27" t="n"/>
      <c r="N957" s="27" t="n"/>
      <c r="O957" s="27" t="n"/>
      <c r="P957" s="27" t="n"/>
      <c r="Q957" s="27" t="n"/>
      <c r="R957" s="27" t="n"/>
      <c r="S957" s="27" t="n"/>
      <c r="T957" s="27" t="n"/>
    </row>
    <row r="958" ht="13.8" customFormat="1" customHeight="1" s="70">
      <c r="M958" s="27" t="n"/>
      <c r="N958" s="27" t="n"/>
      <c r="O958" s="27" t="n"/>
      <c r="P958" s="27" t="n"/>
      <c r="Q958" s="27" t="n"/>
      <c r="R958" s="27" t="n"/>
      <c r="S958" s="27" t="n"/>
      <c r="T958" s="27" t="n"/>
    </row>
    <row r="959" ht="13.8" customFormat="1" customHeight="1" s="70">
      <c r="M959" s="27" t="n"/>
      <c r="N959" s="27" t="n"/>
      <c r="O959" s="27" t="n"/>
      <c r="P959" s="27" t="n"/>
      <c r="Q959" s="27" t="n"/>
      <c r="R959" s="27" t="n"/>
      <c r="S959" s="27" t="n"/>
      <c r="T959" s="27" t="n"/>
    </row>
    <row r="960" ht="13.8" customFormat="1" customHeight="1" s="70">
      <c r="M960" s="27" t="n"/>
      <c r="N960" s="27" t="n"/>
      <c r="O960" s="27" t="n"/>
      <c r="P960" s="27" t="n"/>
      <c r="Q960" s="27" t="n"/>
      <c r="R960" s="27" t="n"/>
      <c r="S960" s="27" t="n"/>
      <c r="T960" s="27" t="n"/>
    </row>
    <row r="961" ht="13.8" customFormat="1" customHeight="1" s="70">
      <c r="M961" s="27" t="n"/>
      <c r="N961" s="27" t="n"/>
      <c r="O961" s="27" t="n"/>
      <c r="P961" s="27" t="n"/>
      <c r="Q961" s="27" t="n"/>
      <c r="R961" s="27" t="n"/>
      <c r="S961" s="27" t="n"/>
      <c r="T961" s="27" t="n"/>
    </row>
    <row r="962" ht="13.8" customFormat="1" customHeight="1" s="70">
      <c r="M962" s="27" t="n"/>
      <c r="N962" s="27" t="n"/>
      <c r="O962" s="27" t="n"/>
      <c r="P962" s="27" t="n"/>
      <c r="Q962" s="27" t="n"/>
      <c r="R962" s="27" t="n"/>
      <c r="S962" s="27" t="n"/>
      <c r="T962" s="27" t="n"/>
    </row>
    <row r="963" ht="13.8" customFormat="1" customHeight="1" s="70">
      <c r="M963" s="27" t="n"/>
      <c r="N963" s="27" t="n"/>
      <c r="O963" s="27" t="n"/>
      <c r="P963" s="27" t="n"/>
      <c r="Q963" s="27" t="n"/>
      <c r="R963" s="27" t="n"/>
      <c r="S963" s="27" t="n"/>
      <c r="T963" s="27" t="n"/>
    </row>
    <row r="964" ht="13.8" customFormat="1" customHeight="1" s="70">
      <c r="M964" s="27" t="n"/>
      <c r="N964" s="27" t="n"/>
      <c r="O964" s="27" t="n"/>
      <c r="P964" s="27" t="n"/>
      <c r="Q964" s="27" t="n"/>
      <c r="R964" s="27" t="n"/>
      <c r="S964" s="27" t="n"/>
      <c r="T964" s="27" t="n"/>
    </row>
    <row r="965" ht="13.8" customFormat="1" customHeight="1" s="70">
      <c r="M965" s="27" t="n"/>
      <c r="N965" s="27" t="n"/>
      <c r="O965" s="27" t="n"/>
      <c r="P965" s="27" t="n"/>
      <c r="Q965" s="27" t="n"/>
      <c r="R965" s="27" t="n"/>
      <c r="S965" s="27" t="n"/>
      <c r="T965" s="27" t="n"/>
    </row>
    <row r="966" ht="13.8" customFormat="1" customHeight="1" s="70">
      <c r="M966" s="27" t="n"/>
      <c r="N966" s="27" t="n"/>
      <c r="O966" s="27" t="n"/>
      <c r="P966" s="27" t="n"/>
      <c r="Q966" s="27" t="n"/>
      <c r="R966" s="27" t="n"/>
      <c r="S966" s="27" t="n"/>
      <c r="T966" s="27" t="n"/>
    </row>
    <row r="967" ht="13.8" customFormat="1" customHeight="1" s="70">
      <c r="M967" s="27" t="n"/>
      <c r="N967" s="27" t="n"/>
      <c r="O967" s="27" t="n"/>
      <c r="P967" s="27" t="n"/>
      <c r="Q967" s="27" t="n"/>
      <c r="R967" s="27" t="n"/>
      <c r="S967" s="27" t="n"/>
      <c r="T967" s="27" t="n"/>
    </row>
    <row r="968" ht="13.8" customFormat="1" customHeight="1" s="70">
      <c r="M968" s="27" t="n"/>
      <c r="N968" s="27" t="n"/>
      <c r="O968" s="27" t="n"/>
      <c r="P968" s="27" t="n"/>
      <c r="Q968" s="27" t="n"/>
      <c r="R968" s="27" t="n"/>
      <c r="S968" s="27" t="n"/>
      <c r="T968" s="27" t="n"/>
    </row>
    <row r="969" ht="13.8" customFormat="1" customHeight="1" s="70">
      <c r="M969" s="27" t="n"/>
      <c r="N969" s="27" t="n"/>
      <c r="O969" s="27" t="n"/>
      <c r="P969" s="27" t="n"/>
      <c r="Q969" s="27" t="n"/>
      <c r="R969" s="27" t="n"/>
      <c r="S969" s="27" t="n"/>
      <c r="T969" s="27" t="n"/>
    </row>
    <row r="970" ht="13.8" customFormat="1" customHeight="1" s="70">
      <c r="M970" s="27" t="n"/>
      <c r="N970" s="27" t="n"/>
      <c r="O970" s="27" t="n"/>
      <c r="P970" s="27" t="n"/>
      <c r="Q970" s="27" t="n"/>
      <c r="R970" s="27" t="n"/>
      <c r="S970" s="27" t="n"/>
      <c r="T970" s="27" t="n"/>
    </row>
    <row r="971" ht="13.8" customFormat="1" customHeight="1" s="70">
      <c r="M971" s="27" t="n"/>
      <c r="N971" s="27" t="n"/>
      <c r="O971" s="27" t="n"/>
      <c r="P971" s="27" t="n"/>
      <c r="Q971" s="27" t="n"/>
      <c r="R971" s="27" t="n"/>
      <c r="S971" s="27" t="n"/>
      <c r="T971" s="27" t="n"/>
    </row>
    <row r="972" ht="13.8" customFormat="1" customHeight="1" s="70">
      <c r="M972" s="27" t="n"/>
      <c r="N972" s="27" t="n"/>
      <c r="O972" s="27" t="n"/>
      <c r="P972" s="27" t="n"/>
      <c r="Q972" s="27" t="n"/>
      <c r="R972" s="27" t="n"/>
      <c r="S972" s="27" t="n"/>
      <c r="T972" s="27" t="n"/>
    </row>
    <row r="973" ht="13.8" customFormat="1" customHeight="1" s="70">
      <c r="M973" s="27" t="n"/>
      <c r="N973" s="27" t="n"/>
      <c r="O973" s="27" t="n"/>
      <c r="P973" s="27" t="n"/>
      <c r="Q973" s="27" t="n"/>
      <c r="R973" s="27" t="n"/>
      <c r="S973" s="27" t="n"/>
      <c r="T973" s="27" t="n"/>
    </row>
    <row r="974" ht="13.8" customFormat="1" customHeight="1" s="70">
      <c r="M974" s="27" t="n"/>
      <c r="N974" s="27" t="n"/>
      <c r="O974" s="27" t="n"/>
      <c r="P974" s="27" t="n"/>
      <c r="Q974" s="27" t="n"/>
      <c r="R974" s="27" t="n"/>
      <c r="S974" s="27" t="n"/>
      <c r="T974" s="27" t="n"/>
    </row>
    <row r="975" ht="13.8" customFormat="1" customHeight="1" s="70">
      <c r="M975" s="27" t="n"/>
      <c r="N975" s="27" t="n"/>
      <c r="O975" s="27" t="n"/>
      <c r="P975" s="27" t="n"/>
      <c r="Q975" s="27" t="n"/>
      <c r="R975" s="27" t="n"/>
      <c r="S975" s="27" t="n"/>
      <c r="T975" s="27" t="n"/>
    </row>
    <row r="976" ht="13.8" customFormat="1" customHeight="1" s="70">
      <c r="M976" s="27" t="n"/>
      <c r="N976" s="27" t="n"/>
      <c r="O976" s="27" t="n"/>
      <c r="P976" s="27" t="n"/>
      <c r="Q976" s="27" t="n"/>
      <c r="R976" s="27" t="n"/>
      <c r="S976" s="27" t="n"/>
      <c r="T976" s="27" t="n"/>
    </row>
    <row r="977" ht="13.8" customFormat="1" customHeight="1" s="70">
      <c r="M977" s="27" t="n"/>
      <c r="N977" s="27" t="n"/>
      <c r="O977" s="27" t="n"/>
      <c r="P977" s="27" t="n"/>
      <c r="Q977" s="27" t="n"/>
      <c r="R977" s="27" t="n"/>
      <c r="S977" s="27" t="n"/>
      <c r="T977" s="27" t="n"/>
    </row>
    <row r="978" ht="13.8" customFormat="1" customHeight="1" s="70">
      <c r="M978" s="27" t="n"/>
      <c r="N978" s="27" t="n"/>
      <c r="O978" s="27" t="n"/>
      <c r="P978" s="27" t="n"/>
      <c r="Q978" s="27" t="n"/>
      <c r="R978" s="27" t="n"/>
      <c r="S978" s="27" t="n"/>
      <c r="T978" s="27" t="n"/>
    </row>
    <row r="979" ht="13.8" customFormat="1" customHeight="1" s="70">
      <c r="M979" s="27" t="n"/>
      <c r="N979" s="27" t="n"/>
      <c r="O979" s="27" t="n"/>
      <c r="P979" s="27" t="n"/>
      <c r="Q979" s="27" t="n"/>
      <c r="R979" s="27" t="n"/>
      <c r="S979" s="27" t="n"/>
      <c r="T979" s="27" t="n"/>
    </row>
    <row r="980" ht="13.8" customFormat="1" customHeight="1" s="70">
      <c r="M980" s="27" t="n"/>
      <c r="N980" s="27" t="n"/>
      <c r="O980" s="27" t="n"/>
      <c r="P980" s="27" t="n"/>
      <c r="Q980" s="27" t="n"/>
      <c r="R980" s="27" t="n"/>
      <c r="S980" s="27" t="n"/>
      <c r="T980" s="27" t="n"/>
    </row>
    <row r="981" ht="13.8" customFormat="1" customHeight="1" s="70">
      <c r="M981" s="27" t="n"/>
      <c r="N981" s="27" t="n"/>
      <c r="O981" s="27" t="n"/>
      <c r="P981" s="27" t="n"/>
      <c r="Q981" s="27" t="n"/>
      <c r="R981" s="27" t="n"/>
      <c r="S981" s="27" t="n"/>
      <c r="T981" s="27" t="n"/>
    </row>
    <row r="982" ht="13.8" customFormat="1" customHeight="1" s="70">
      <c r="M982" s="27" t="n"/>
      <c r="N982" s="27" t="n"/>
      <c r="O982" s="27" t="n"/>
      <c r="P982" s="27" t="n"/>
      <c r="Q982" s="27" t="n"/>
      <c r="R982" s="27" t="n"/>
      <c r="S982" s="27" t="n"/>
      <c r="T982" s="27" t="n"/>
    </row>
    <row r="983" ht="13.8" customFormat="1" customHeight="1" s="70">
      <c r="M983" s="27" t="n"/>
      <c r="N983" s="27" t="n"/>
      <c r="O983" s="27" t="n"/>
      <c r="P983" s="27" t="n"/>
      <c r="Q983" s="27" t="n"/>
      <c r="R983" s="27" t="n"/>
      <c r="S983" s="27" t="n"/>
      <c r="T983" s="27" t="n"/>
    </row>
    <row r="984" ht="13.8" customFormat="1" customHeight="1" s="70">
      <c r="M984" s="27" t="n"/>
      <c r="N984" s="27" t="n"/>
      <c r="O984" s="27" t="n"/>
      <c r="P984" s="27" t="n"/>
      <c r="Q984" s="27" t="n"/>
      <c r="R984" s="27" t="n"/>
      <c r="S984" s="27" t="n"/>
      <c r="T984" s="27" t="n"/>
    </row>
    <row r="985" ht="13.8" customFormat="1" customHeight="1" s="70">
      <c r="M985" s="27" t="n"/>
      <c r="N985" s="27" t="n"/>
      <c r="O985" s="27" t="n"/>
      <c r="P985" s="27" t="n"/>
      <c r="Q985" s="27" t="n"/>
      <c r="R985" s="27" t="n"/>
      <c r="S985" s="27" t="n"/>
      <c r="T985" s="27" t="n"/>
    </row>
    <row r="986" ht="13.8" customFormat="1" customHeight="1" s="70">
      <c r="M986" s="27" t="n"/>
      <c r="N986" s="27" t="n"/>
      <c r="O986" s="27" t="n"/>
      <c r="P986" s="27" t="n"/>
      <c r="Q986" s="27" t="n"/>
      <c r="R986" s="27" t="n"/>
      <c r="S986" s="27" t="n"/>
      <c r="T986" s="27" t="n"/>
    </row>
    <row r="987" ht="13.8" customFormat="1" customHeight="1" s="70">
      <c r="M987" s="27" t="n"/>
      <c r="N987" s="27" t="n"/>
      <c r="O987" s="27" t="n"/>
      <c r="P987" s="27" t="n"/>
      <c r="Q987" s="27" t="n"/>
      <c r="R987" s="27" t="n"/>
      <c r="S987" s="27" t="n"/>
      <c r="T987" s="27" t="n"/>
    </row>
    <row r="988" ht="13.8" customFormat="1" customHeight="1" s="70">
      <c r="M988" s="27" t="n"/>
      <c r="N988" s="27" t="n"/>
      <c r="O988" s="27" t="n"/>
      <c r="P988" s="27" t="n"/>
      <c r="Q988" s="27" t="n"/>
      <c r="R988" s="27" t="n"/>
      <c r="S988" s="27" t="n"/>
      <c r="T988" s="27" t="n"/>
    </row>
    <row r="989" ht="13.8" customFormat="1" customHeight="1" s="70">
      <c r="M989" s="27" t="n"/>
      <c r="N989" s="27" t="n"/>
      <c r="O989" s="27" t="n"/>
      <c r="P989" s="27" t="n"/>
      <c r="Q989" s="27" t="n"/>
      <c r="R989" s="27" t="n"/>
      <c r="S989" s="27" t="n"/>
      <c r="T989" s="27" t="n"/>
    </row>
    <row r="990" ht="13.8" customFormat="1" customHeight="1" s="70">
      <c r="M990" s="27" t="n"/>
      <c r="N990" s="27" t="n"/>
      <c r="O990" s="27" t="n"/>
      <c r="P990" s="27" t="n"/>
      <c r="Q990" s="27" t="n"/>
      <c r="R990" s="27" t="n"/>
      <c r="S990" s="27" t="n"/>
      <c r="T990" s="27" t="n"/>
    </row>
    <row r="991" ht="13.8" customFormat="1" customHeight="1" s="70">
      <c r="M991" s="27" t="n"/>
      <c r="N991" s="27" t="n"/>
      <c r="O991" s="27" t="n"/>
      <c r="P991" s="27" t="n"/>
      <c r="Q991" s="27" t="n"/>
      <c r="R991" s="27" t="n"/>
      <c r="S991" s="27" t="n"/>
      <c r="T991" s="27" t="n"/>
    </row>
    <row r="992" ht="13.8" customFormat="1" customHeight="1" s="70">
      <c r="M992" s="27" t="n"/>
      <c r="N992" s="27" t="n"/>
      <c r="O992" s="27" t="n"/>
      <c r="P992" s="27" t="n"/>
      <c r="Q992" s="27" t="n"/>
      <c r="R992" s="27" t="n"/>
      <c r="S992" s="27" t="n"/>
      <c r="T992" s="27" t="n"/>
    </row>
    <row r="993" ht="13.8" customFormat="1" customHeight="1" s="70">
      <c r="M993" s="27" t="n"/>
      <c r="N993" s="27" t="n"/>
      <c r="O993" s="27" t="n"/>
      <c r="P993" s="27" t="n"/>
      <c r="Q993" s="27" t="n"/>
      <c r="R993" s="27" t="n"/>
      <c r="S993" s="27" t="n"/>
      <c r="T993" s="27" t="n"/>
    </row>
    <row r="994" ht="13.8" customFormat="1" customHeight="1" s="70">
      <c r="M994" s="27" t="n"/>
      <c r="N994" s="27" t="n"/>
      <c r="O994" s="27" t="n"/>
      <c r="P994" s="27" t="n"/>
      <c r="Q994" s="27" t="n"/>
      <c r="R994" s="27" t="n"/>
      <c r="S994" s="27" t="n"/>
      <c r="T994" s="27" t="n"/>
    </row>
    <row r="995" ht="13.8" customFormat="1" customHeight="1" s="70">
      <c r="M995" s="27" t="n"/>
      <c r="N995" s="27" t="n"/>
      <c r="O995" s="27" t="n"/>
      <c r="P995" s="27" t="n"/>
      <c r="Q995" s="27" t="n"/>
      <c r="R995" s="27" t="n"/>
      <c r="S995" s="27" t="n"/>
      <c r="T995" s="27" t="n"/>
    </row>
    <row r="996" ht="13.8" customFormat="1" customHeight="1" s="70">
      <c r="M996" s="27" t="n"/>
      <c r="N996" s="27" t="n"/>
      <c r="O996" s="27" t="n"/>
      <c r="P996" s="27" t="n"/>
      <c r="Q996" s="27" t="n"/>
      <c r="R996" s="27" t="n"/>
      <c r="S996" s="27" t="n"/>
      <c r="T996" s="27" t="n"/>
    </row>
    <row r="997" ht="13.8" customFormat="1" customHeight="1" s="70">
      <c r="M997" s="27" t="n"/>
      <c r="N997" s="27" t="n"/>
      <c r="O997" s="27" t="n"/>
      <c r="P997" s="27" t="n"/>
      <c r="Q997" s="27" t="n"/>
      <c r="R997" s="27" t="n"/>
      <c r="S997" s="27" t="n"/>
      <c r="T997" s="27" t="n"/>
    </row>
    <row r="998" ht="13.8" customFormat="1" customHeight="1" s="70">
      <c r="M998" s="27" t="n"/>
      <c r="N998" s="27" t="n"/>
      <c r="O998" s="27" t="n"/>
      <c r="P998" s="27" t="n"/>
      <c r="Q998" s="27" t="n"/>
      <c r="R998" s="27" t="n"/>
      <c r="S998" s="27" t="n"/>
      <c r="T998" s="27" t="n"/>
    </row>
    <row r="999" ht="13.8" customFormat="1" customHeight="1" s="70">
      <c r="M999" s="27" t="n"/>
      <c r="N999" s="27" t="n"/>
      <c r="O999" s="27" t="n"/>
      <c r="P999" s="27" t="n"/>
      <c r="Q999" s="27" t="n"/>
      <c r="R999" s="27" t="n"/>
      <c r="S999" s="27" t="n"/>
      <c r="T999" s="27" t="n"/>
    </row>
    <row r="1000" ht="13.8" customFormat="1" customHeight="1" s="70">
      <c r="M1000" s="27" t="n"/>
      <c r="N1000" s="27" t="n"/>
      <c r="O1000" s="27" t="n"/>
      <c r="P1000" s="27" t="n"/>
      <c r="Q1000" s="27" t="n"/>
      <c r="R1000" s="27" t="n"/>
      <c r="S1000" s="27" t="n"/>
      <c r="T1000" s="27" t="n"/>
    </row>
    <row r="1001" ht="13.8" customFormat="1" customHeight="1" s="70">
      <c r="M1001" s="27" t="n"/>
      <c r="N1001" s="27" t="n"/>
      <c r="O1001" s="27" t="n"/>
      <c r="P1001" s="27" t="n"/>
      <c r="Q1001" s="27" t="n"/>
      <c r="R1001" s="27" t="n"/>
      <c r="S1001" s="27" t="n"/>
      <c r="T1001" s="27" t="n"/>
    </row>
    <row r="1002" ht="13.8" customFormat="1" customHeight="1" s="70">
      <c r="M1002" s="27" t="n"/>
      <c r="N1002" s="27" t="n"/>
      <c r="O1002" s="27" t="n"/>
      <c r="P1002" s="27" t="n"/>
      <c r="Q1002" s="27" t="n"/>
      <c r="R1002" s="27" t="n"/>
      <c r="S1002" s="27" t="n"/>
      <c r="T1002" s="27" t="n"/>
    </row>
    <row r="1003" ht="13.8" customFormat="1" customHeight="1" s="70">
      <c r="M1003" s="27" t="n"/>
      <c r="N1003" s="27" t="n"/>
      <c r="O1003" s="27" t="n"/>
      <c r="P1003" s="27" t="n"/>
      <c r="Q1003" s="27" t="n"/>
      <c r="R1003" s="27" t="n"/>
      <c r="S1003" s="27" t="n"/>
      <c r="T1003" s="27" t="n"/>
    </row>
    <row r="1004" ht="13.8" customFormat="1" customHeight="1" s="70">
      <c r="M1004" s="27" t="n"/>
      <c r="N1004" s="27" t="n"/>
      <c r="O1004" s="27" t="n"/>
      <c r="P1004" s="27" t="n"/>
      <c r="Q1004" s="27" t="n"/>
      <c r="R1004" s="27" t="n"/>
      <c r="S1004" s="27" t="n"/>
      <c r="T1004" s="27" t="n"/>
    </row>
    <row r="1005" ht="13.8" customFormat="1" customHeight="1" s="70">
      <c r="M1005" s="27" t="n"/>
      <c r="N1005" s="27" t="n"/>
      <c r="O1005" s="27" t="n"/>
      <c r="P1005" s="27" t="n"/>
      <c r="Q1005" s="27" t="n"/>
      <c r="R1005" s="27" t="n"/>
      <c r="S1005" s="27" t="n"/>
      <c r="T1005" s="27" t="n"/>
    </row>
    <row r="1006" ht="13.8" customFormat="1" customHeight="1" s="70">
      <c r="M1006" s="27" t="n"/>
      <c r="N1006" s="27" t="n"/>
      <c r="O1006" s="27" t="n"/>
      <c r="P1006" s="27" t="n"/>
      <c r="Q1006" s="27" t="n"/>
      <c r="R1006" s="27" t="n"/>
      <c r="S1006" s="27" t="n"/>
      <c r="T1006" s="27" t="n"/>
    </row>
    <row r="1007" ht="13.8" customFormat="1" customHeight="1" s="70">
      <c r="M1007" s="27" t="n"/>
      <c r="N1007" s="27" t="n"/>
      <c r="O1007" s="27" t="n"/>
      <c r="P1007" s="27" t="n"/>
      <c r="Q1007" s="27" t="n"/>
      <c r="R1007" s="27" t="n"/>
      <c r="S1007" s="27" t="n"/>
      <c r="T1007" s="27" t="n"/>
    </row>
    <row r="1008" ht="13.8" customFormat="1" customHeight="1" s="70">
      <c r="M1008" s="27" t="n"/>
      <c r="N1008" s="27" t="n"/>
      <c r="O1008" s="27" t="n"/>
      <c r="P1008" s="27" t="n"/>
      <c r="Q1008" s="27" t="n"/>
      <c r="R1008" s="27" t="n"/>
      <c r="S1008" s="27" t="n"/>
      <c r="T1008" s="27" t="n"/>
    </row>
    <row r="1009" ht="13.8" customFormat="1" customHeight="1" s="70">
      <c r="M1009" s="27" t="n"/>
      <c r="N1009" s="27" t="n"/>
      <c r="O1009" s="27" t="n"/>
      <c r="P1009" s="27" t="n"/>
      <c r="Q1009" s="27" t="n"/>
      <c r="R1009" s="27" t="n"/>
      <c r="S1009" s="27" t="n"/>
      <c r="T1009" s="27" t="n"/>
    </row>
    <row r="1010" ht="13.8" customFormat="1" customHeight="1" s="70">
      <c r="M1010" s="27" t="n"/>
      <c r="N1010" s="27" t="n"/>
      <c r="O1010" s="27" t="n"/>
      <c r="P1010" s="27" t="n"/>
      <c r="Q1010" s="27" t="n"/>
      <c r="R1010" s="27" t="n"/>
      <c r="S1010" s="27" t="n"/>
      <c r="T1010" s="27" t="n"/>
    </row>
    <row r="1011" ht="13.8" customFormat="1" customHeight="1" s="70">
      <c r="M1011" s="27" t="n"/>
      <c r="N1011" s="27" t="n"/>
      <c r="O1011" s="27" t="n"/>
      <c r="P1011" s="27" t="n"/>
      <c r="Q1011" s="27" t="n"/>
      <c r="R1011" s="27" t="n"/>
      <c r="S1011" s="27" t="n"/>
      <c r="T1011" s="27" t="n"/>
    </row>
    <row r="1012" ht="13.8" customFormat="1" customHeight="1" s="70">
      <c r="M1012" s="27" t="n"/>
      <c r="N1012" s="27" t="n"/>
      <c r="O1012" s="27" t="n"/>
      <c r="P1012" s="27" t="n"/>
      <c r="Q1012" s="27" t="n"/>
      <c r="R1012" s="27" t="n"/>
      <c r="S1012" s="27" t="n"/>
      <c r="T1012" s="27" t="n"/>
    </row>
    <row r="1013" ht="13.8" customFormat="1" customHeight="1" s="70">
      <c r="M1013" s="27" t="n"/>
      <c r="N1013" s="27" t="n"/>
      <c r="O1013" s="27" t="n"/>
      <c r="P1013" s="27" t="n"/>
      <c r="Q1013" s="27" t="n"/>
      <c r="R1013" s="27" t="n"/>
      <c r="S1013" s="27" t="n"/>
      <c r="T1013" s="27" t="n"/>
    </row>
    <row r="1014" ht="13.8" customFormat="1" customHeight="1" s="70">
      <c r="M1014" s="27" t="n"/>
      <c r="N1014" s="27" t="n"/>
      <c r="O1014" s="27" t="n"/>
      <c r="P1014" s="27" t="n"/>
      <c r="Q1014" s="27" t="n"/>
      <c r="R1014" s="27" t="n"/>
      <c r="S1014" s="27" t="n"/>
      <c r="T1014" s="27" t="n"/>
    </row>
    <row r="1015" ht="13.8" customFormat="1" customHeight="1" s="70">
      <c r="M1015" s="27" t="n"/>
      <c r="N1015" s="27" t="n"/>
      <c r="O1015" s="27" t="n"/>
      <c r="P1015" s="27" t="n"/>
      <c r="Q1015" s="27" t="n"/>
      <c r="R1015" s="27" t="n"/>
      <c r="S1015" s="27" t="n"/>
      <c r="T1015" s="27" t="n"/>
    </row>
    <row r="1016" ht="13.8" customFormat="1" customHeight="1" s="70">
      <c r="M1016" s="27" t="n"/>
      <c r="N1016" s="27" t="n"/>
      <c r="O1016" s="27" t="n"/>
      <c r="P1016" s="27" t="n"/>
      <c r="Q1016" s="27" t="n"/>
      <c r="R1016" s="27" t="n"/>
      <c r="S1016" s="27" t="n"/>
      <c r="T1016" s="27" t="n"/>
    </row>
    <row r="1017" ht="13.8" customFormat="1" customHeight="1" s="70">
      <c r="M1017" s="27" t="n"/>
      <c r="N1017" s="27" t="n"/>
      <c r="O1017" s="27" t="n"/>
      <c r="P1017" s="27" t="n"/>
      <c r="Q1017" s="27" t="n"/>
      <c r="R1017" s="27" t="n"/>
      <c r="S1017" s="27" t="n"/>
      <c r="T1017" s="27" t="n"/>
    </row>
    <row r="1018" ht="13.8" customFormat="1" customHeight="1" s="70">
      <c r="M1018" s="27" t="n"/>
      <c r="N1018" s="27" t="n"/>
      <c r="O1018" s="27" t="n"/>
      <c r="P1018" s="27" t="n"/>
      <c r="Q1018" s="27" t="n"/>
      <c r="R1018" s="27" t="n"/>
      <c r="S1018" s="27" t="n"/>
      <c r="T1018" s="27" t="n"/>
    </row>
    <row r="1019" ht="13.8" customFormat="1" customHeight="1" s="70">
      <c r="M1019" s="27" t="n"/>
      <c r="N1019" s="27" t="n"/>
      <c r="O1019" s="27" t="n"/>
      <c r="P1019" s="27" t="n"/>
      <c r="Q1019" s="27" t="n"/>
      <c r="R1019" s="27" t="n"/>
      <c r="S1019" s="27" t="n"/>
      <c r="T1019" s="27" t="n"/>
    </row>
    <row r="1020" ht="13.8" customFormat="1" customHeight="1" s="70">
      <c r="M1020" s="27" t="n"/>
      <c r="N1020" s="27" t="n"/>
      <c r="O1020" s="27" t="n"/>
      <c r="P1020" s="27" t="n"/>
      <c r="Q1020" s="27" t="n"/>
      <c r="R1020" s="27" t="n"/>
      <c r="S1020" s="27" t="n"/>
      <c r="T1020" s="27" t="n"/>
    </row>
    <row r="1021" ht="13.8" customFormat="1" customHeight="1" s="70">
      <c r="M1021" s="27" t="n"/>
      <c r="N1021" s="27" t="n"/>
      <c r="O1021" s="27" t="n"/>
      <c r="P1021" s="27" t="n"/>
      <c r="Q1021" s="27" t="n"/>
      <c r="R1021" s="27" t="n"/>
      <c r="S1021" s="27" t="n"/>
      <c r="T1021" s="27" t="n"/>
    </row>
    <row r="1022" ht="13.8" customFormat="1" customHeight="1" s="70">
      <c r="M1022" s="27" t="n"/>
      <c r="N1022" s="27" t="n"/>
      <c r="O1022" s="27" t="n"/>
      <c r="P1022" s="27" t="n"/>
      <c r="Q1022" s="27" t="n"/>
      <c r="R1022" s="27" t="n"/>
      <c r="S1022" s="27" t="n"/>
      <c r="T1022" s="27" t="n"/>
    </row>
    <row r="1023" ht="13.8" customFormat="1" customHeight="1" s="70">
      <c r="M1023" s="27" t="n"/>
      <c r="N1023" s="27" t="n"/>
      <c r="O1023" s="27" t="n"/>
      <c r="P1023" s="27" t="n"/>
      <c r="Q1023" s="27" t="n"/>
      <c r="R1023" s="27" t="n"/>
      <c r="S1023" s="27" t="n"/>
      <c r="T1023" s="27" t="n"/>
    </row>
    <row r="1024" ht="13.8" customFormat="1" customHeight="1" s="70">
      <c r="M1024" s="27" t="n"/>
      <c r="N1024" s="27" t="n"/>
      <c r="O1024" s="27" t="n"/>
      <c r="P1024" s="27" t="n"/>
      <c r="Q1024" s="27" t="n"/>
      <c r="R1024" s="27" t="n"/>
      <c r="S1024" s="27" t="n"/>
      <c r="T1024" s="27" t="n"/>
    </row>
    <row r="1025" ht="13.8" customFormat="1" customHeight="1" s="70">
      <c r="M1025" s="27" t="n"/>
      <c r="N1025" s="27" t="n"/>
      <c r="O1025" s="27" t="n"/>
      <c r="P1025" s="27" t="n"/>
      <c r="Q1025" s="27" t="n"/>
      <c r="R1025" s="27" t="n"/>
      <c r="S1025" s="27" t="n"/>
      <c r="T1025" s="27" t="n"/>
    </row>
    <row r="1026" ht="13.8" customFormat="1" customHeight="1" s="70">
      <c r="M1026" s="27" t="n"/>
      <c r="N1026" s="27" t="n"/>
      <c r="O1026" s="27" t="n"/>
      <c r="P1026" s="27" t="n"/>
      <c r="Q1026" s="27" t="n"/>
      <c r="R1026" s="27" t="n"/>
      <c r="S1026" s="27" t="n"/>
      <c r="T1026" s="27" t="n"/>
    </row>
    <row r="1027" ht="13.8" customFormat="1" customHeight="1" s="70">
      <c r="M1027" s="27" t="n"/>
      <c r="N1027" s="27" t="n"/>
      <c r="O1027" s="27" t="n"/>
      <c r="P1027" s="27" t="n"/>
      <c r="Q1027" s="27" t="n"/>
      <c r="R1027" s="27" t="n"/>
      <c r="S1027" s="27" t="n"/>
      <c r="T1027" s="27" t="n"/>
    </row>
    <row r="1028" ht="13.8" customFormat="1" customHeight="1" s="70">
      <c r="M1028" s="27" t="n"/>
      <c r="N1028" s="27" t="n"/>
      <c r="O1028" s="27" t="n"/>
      <c r="P1028" s="27" t="n"/>
      <c r="Q1028" s="27" t="n"/>
      <c r="R1028" s="27" t="n"/>
      <c r="S1028" s="27" t="n"/>
      <c r="T1028" s="27" t="n"/>
    </row>
    <row r="1029" ht="13.8" customFormat="1" customHeight="1" s="70">
      <c r="M1029" s="27" t="n"/>
      <c r="N1029" s="27" t="n"/>
      <c r="O1029" s="27" t="n"/>
      <c r="P1029" s="27" t="n"/>
      <c r="Q1029" s="27" t="n"/>
      <c r="R1029" s="27" t="n"/>
      <c r="S1029" s="27" t="n"/>
      <c r="T1029" s="27" t="n"/>
    </row>
    <row r="1030" ht="13.8" customFormat="1" customHeight="1" s="70">
      <c r="M1030" s="27" t="n"/>
      <c r="N1030" s="27" t="n"/>
      <c r="O1030" s="27" t="n"/>
      <c r="P1030" s="27" t="n"/>
      <c r="Q1030" s="27" t="n"/>
      <c r="R1030" s="27" t="n"/>
      <c r="S1030" s="27" t="n"/>
      <c r="T1030" s="27" t="n"/>
    </row>
    <row r="1031" ht="13.8" customFormat="1" customHeight="1" s="70">
      <c r="M1031" s="27" t="n"/>
      <c r="N1031" s="27" t="n"/>
      <c r="O1031" s="27" t="n"/>
      <c r="P1031" s="27" t="n"/>
      <c r="Q1031" s="27" t="n"/>
      <c r="R1031" s="27" t="n"/>
      <c r="S1031" s="27" t="n"/>
      <c r="T1031" s="27" t="n"/>
    </row>
    <row r="1032" ht="13.8" customFormat="1" customHeight="1" s="70">
      <c r="M1032" s="27" t="n"/>
      <c r="N1032" s="27" t="n"/>
      <c r="O1032" s="27" t="n"/>
      <c r="P1032" s="27" t="n"/>
      <c r="Q1032" s="27" t="n"/>
      <c r="R1032" s="27" t="n"/>
      <c r="S1032" s="27" t="n"/>
      <c r="T1032" s="27" t="n"/>
    </row>
    <row r="1033" ht="13.8" customFormat="1" customHeight="1" s="70">
      <c r="M1033" s="27" t="n"/>
      <c r="N1033" s="27" t="n"/>
      <c r="O1033" s="27" t="n"/>
      <c r="P1033" s="27" t="n"/>
      <c r="Q1033" s="27" t="n"/>
      <c r="R1033" s="27" t="n"/>
      <c r="S1033" s="27" t="n"/>
      <c r="T1033" s="27" t="n"/>
    </row>
    <row r="1034" ht="13.8" customFormat="1" customHeight="1" s="70">
      <c r="M1034" s="27" t="n"/>
      <c r="N1034" s="27" t="n"/>
      <c r="O1034" s="27" t="n"/>
      <c r="P1034" s="27" t="n"/>
      <c r="Q1034" s="27" t="n"/>
      <c r="R1034" s="27" t="n"/>
      <c r="S1034" s="27" t="n"/>
      <c r="T1034" s="27" t="n"/>
    </row>
    <row r="1035" ht="13.8" customFormat="1" customHeight="1" s="70">
      <c r="M1035" s="27" t="n"/>
      <c r="N1035" s="27" t="n"/>
      <c r="O1035" s="27" t="n"/>
      <c r="P1035" s="27" t="n"/>
      <c r="Q1035" s="27" t="n"/>
      <c r="R1035" s="27" t="n"/>
      <c r="S1035" s="27" t="n"/>
      <c r="T1035" s="27" t="n"/>
    </row>
    <row r="1036" ht="13.8" customFormat="1" customHeight="1" s="70">
      <c r="M1036" s="27" t="n"/>
      <c r="N1036" s="27" t="n"/>
      <c r="O1036" s="27" t="n"/>
      <c r="P1036" s="27" t="n"/>
      <c r="Q1036" s="27" t="n"/>
      <c r="R1036" s="27" t="n"/>
      <c r="S1036" s="27" t="n"/>
      <c r="T1036" s="27" t="n"/>
    </row>
    <row r="1037" ht="13.8" customFormat="1" customHeight="1" s="70">
      <c r="M1037" s="27" t="n"/>
      <c r="N1037" s="27" t="n"/>
      <c r="O1037" s="27" t="n"/>
      <c r="P1037" s="27" t="n"/>
      <c r="Q1037" s="27" t="n"/>
      <c r="R1037" s="27" t="n"/>
      <c r="S1037" s="27" t="n"/>
      <c r="T1037" s="27" t="n"/>
    </row>
    <row r="1038" ht="13.8" customFormat="1" customHeight="1" s="70">
      <c r="M1038" s="27" t="n"/>
      <c r="N1038" s="27" t="n"/>
      <c r="O1038" s="27" t="n"/>
      <c r="P1038" s="27" t="n"/>
      <c r="Q1038" s="27" t="n"/>
      <c r="R1038" s="27" t="n"/>
      <c r="S1038" s="27" t="n"/>
      <c r="T1038" s="27" t="n"/>
    </row>
    <row r="1039" ht="13.8" customFormat="1" customHeight="1" s="70">
      <c r="M1039" s="27" t="n"/>
      <c r="N1039" s="27" t="n"/>
      <c r="O1039" s="27" t="n"/>
      <c r="P1039" s="27" t="n"/>
      <c r="Q1039" s="27" t="n"/>
      <c r="R1039" s="27" t="n"/>
      <c r="S1039" s="27" t="n"/>
      <c r="T1039" s="27" t="n"/>
    </row>
    <row r="1040" ht="13.8" customFormat="1" customHeight="1" s="70">
      <c r="M1040" s="27" t="n"/>
      <c r="N1040" s="27" t="n"/>
      <c r="O1040" s="27" t="n"/>
      <c r="P1040" s="27" t="n"/>
      <c r="Q1040" s="27" t="n"/>
      <c r="R1040" s="27" t="n"/>
      <c r="S1040" s="27" t="n"/>
      <c r="T1040" s="27" t="n"/>
    </row>
    <row r="1041" ht="13.8" customFormat="1" customHeight="1" s="70">
      <c r="M1041" s="27" t="n"/>
      <c r="N1041" s="27" t="n"/>
      <c r="O1041" s="27" t="n"/>
      <c r="P1041" s="27" t="n"/>
      <c r="Q1041" s="27" t="n"/>
      <c r="R1041" s="27" t="n"/>
      <c r="S1041" s="27" t="n"/>
      <c r="T1041" s="27" t="n"/>
    </row>
    <row r="1042" ht="13.8" customFormat="1" customHeight="1" s="70">
      <c r="M1042" s="27" t="n"/>
      <c r="N1042" s="27" t="n"/>
      <c r="O1042" s="27" t="n"/>
      <c r="P1042" s="27" t="n"/>
      <c r="Q1042" s="27" t="n"/>
      <c r="R1042" s="27" t="n"/>
      <c r="S1042" s="27" t="n"/>
      <c r="T1042" s="27" t="n"/>
    </row>
    <row r="1043" ht="13.8" customFormat="1" customHeight="1" s="70">
      <c r="M1043" s="27" t="n"/>
      <c r="N1043" s="27" t="n"/>
      <c r="O1043" s="27" t="n"/>
      <c r="P1043" s="27" t="n"/>
      <c r="Q1043" s="27" t="n"/>
      <c r="R1043" s="27" t="n"/>
      <c r="S1043" s="27" t="n"/>
      <c r="T1043" s="27" t="n"/>
    </row>
    <row r="1044" ht="13.8" customFormat="1" customHeight="1" s="70">
      <c r="M1044" s="27" t="n"/>
      <c r="N1044" s="27" t="n"/>
      <c r="O1044" s="27" t="n"/>
      <c r="P1044" s="27" t="n"/>
      <c r="Q1044" s="27" t="n"/>
      <c r="R1044" s="27" t="n"/>
      <c r="S1044" s="27" t="n"/>
      <c r="T1044" s="27" t="n"/>
    </row>
    <row r="1045" ht="13.8" customFormat="1" customHeight="1" s="70">
      <c r="M1045" s="27" t="n"/>
      <c r="N1045" s="27" t="n"/>
      <c r="O1045" s="27" t="n"/>
      <c r="P1045" s="27" t="n"/>
      <c r="Q1045" s="27" t="n"/>
      <c r="R1045" s="27" t="n"/>
      <c r="S1045" s="27" t="n"/>
      <c r="T1045" s="27" t="n"/>
    </row>
    <row r="1046" ht="13.8" customFormat="1" customHeight="1" s="70">
      <c r="M1046" s="27" t="n"/>
      <c r="N1046" s="27" t="n"/>
      <c r="O1046" s="27" t="n"/>
      <c r="P1046" s="27" t="n"/>
      <c r="Q1046" s="27" t="n"/>
      <c r="R1046" s="27" t="n"/>
      <c r="S1046" s="27" t="n"/>
      <c r="T1046" s="27" t="n"/>
    </row>
    <row r="1047" ht="13.8" customFormat="1" customHeight="1" s="70">
      <c r="M1047" s="27" t="n"/>
      <c r="N1047" s="27" t="n"/>
      <c r="O1047" s="27" t="n"/>
      <c r="P1047" s="27" t="n"/>
      <c r="Q1047" s="27" t="n"/>
      <c r="R1047" s="27" t="n"/>
      <c r="S1047" s="27" t="n"/>
      <c r="T1047" s="27" t="n"/>
    </row>
    <row r="1048" ht="13.8" customFormat="1" customHeight="1" s="70">
      <c r="M1048" s="27" t="n"/>
      <c r="N1048" s="27" t="n"/>
      <c r="O1048" s="27" t="n"/>
      <c r="P1048" s="27" t="n"/>
      <c r="Q1048" s="27" t="n"/>
      <c r="R1048" s="27" t="n"/>
      <c r="S1048" s="27" t="n"/>
      <c r="T1048" s="27" t="n"/>
    </row>
    <row r="1049" ht="13.8" customFormat="1" customHeight="1" s="70">
      <c r="M1049" s="27" t="n"/>
      <c r="N1049" s="27" t="n"/>
      <c r="O1049" s="27" t="n"/>
      <c r="P1049" s="27" t="n"/>
      <c r="Q1049" s="27" t="n"/>
      <c r="R1049" s="27" t="n"/>
      <c r="S1049" s="27" t="n"/>
      <c r="T1049" s="27" t="n"/>
    </row>
    <row r="1050" ht="13.8" customFormat="1" customHeight="1" s="70">
      <c r="M1050" s="27" t="n"/>
      <c r="N1050" s="27" t="n"/>
      <c r="O1050" s="27" t="n"/>
      <c r="P1050" s="27" t="n"/>
      <c r="Q1050" s="27" t="n"/>
      <c r="R1050" s="27" t="n"/>
      <c r="S1050" s="27" t="n"/>
      <c r="T1050" s="27" t="n"/>
    </row>
    <row r="1051" ht="13.8" customFormat="1" customHeight="1" s="70">
      <c r="M1051" s="27" t="n"/>
      <c r="N1051" s="27" t="n"/>
      <c r="O1051" s="27" t="n"/>
      <c r="P1051" s="27" t="n"/>
      <c r="Q1051" s="27" t="n"/>
      <c r="R1051" s="27" t="n"/>
      <c r="S1051" s="27" t="n"/>
      <c r="T1051" s="27" t="n"/>
    </row>
    <row r="1052" ht="13.8" customFormat="1" customHeight="1" s="70">
      <c r="M1052" s="27" t="n"/>
      <c r="N1052" s="27" t="n"/>
      <c r="O1052" s="27" t="n"/>
      <c r="P1052" s="27" t="n"/>
      <c r="Q1052" s="27" t="n"/>
      <c r="R1052" s="27" t="n"/>
      <c r="S1052" s="27" t="n"/>
      <c r="T1052" s="27" t="n"/>
    </row>
    <row r="1053" ht="13.8" customFormat="1" customHeight="1" s="70">
      <c r="M1053" s="27" t="n"/>
      <c r="N1053" s="27" t="n"/>
      <c r="O1053" s="27" t="n"/>
      <c r="P1053" s="27" t="n"/>
      <c r="Q1053" s="27" t="n"/>
      <c r="R1053" s="27" t="n"/>
      <c r="S1053" s="27" t="n"/>
      <c r="T1053" s="27" t="n"/>
    </row>
    <row r="1054" ht="13.8" customFormat="1" customHeight="1" s="70">
      <c r="M1054" s="27" t="n"/>
      <c r="N1054" s="27" t="n"/>
      <c r="O1054" s="27" t="n"/>
      <c r="P1054" s="27" t="n"/>
      <c r="Q1054" s="27" t="n"/>
      <c r="R1054" s="27" t="n"/>
      <c r="S1054" s="27" t="n"/>
      <c r="T1054" s="27" t="n"/>
    </row>
    <row r="1055" ht="13.8" customFormat="1" customHeight="1" s="70">
      <c r="M1055" s="27" t="n"/>
      <c r="N1055" s="27" t="n"/>
      <c r="O1055" s="27" t="n"/>
      <c r="P1055" s="27" t="n"/>
      <c r="Q1055" s="27" t="n"/>
      <c r="R1055" s="27" t="n"/>
      <c r="S1055" s="27" t="n"/>
      <c r="T1055" s="27" t="n"/>
    </row>
    <row r="1056" ht="13.8" customFormat="1" customHeight="1" s="70">
      <c r="M1056" s="27" t="n"/>
      <c r="N1056" s="27" t="n"/>
      <c r="O1056" s="27" t="n"/>
      <c r="P1056" s="27" t="n"/>
      <c r="Q1056" s="27" t="n"/>
      <c r="R1056" s="27" t="n"/>
      <c r="S1056" s="27" t="n"/>
      <c r="T1056" s="27" t="n"/>
    </row>
    <row r="1057" ht="13.8" customFormat="1" customHeight="1" s="70">
      <c r="M1057" s="27" t="n"/>
      <c r="N1057" s="27" t="n"/>
      <c r="O1057" s="27" t="n"/>
      <c r="P1057" s="27" t="n"/>
      <c r="Q1057" s="27" t="n"/>
      <c r="R1057" s="27" t="n"/>
      <c r="S1057" s="27" t="n"/>
      <c r="T1057" s="27" t="n"/>
    </row>
    <row r="1058" ht="13.8" customFormat="1" customHeight="1" s="70">
      <c r="M1058" s="27" t="n"/>
      <c r="N1058" s="27" t="n"/>
      <c r="O1058" s="27" t="n"/>
      <c r="P1058" s="27" t="n"/>
      <c r="Q1058" s="27" t="n"/>
      <c r="R1058" s="27" t="n"/>
      <c r="S1058" s="27" t="n"/>
      <c r="T1058" s="27" t="n"/>
    </row>
    <row r="1059" ht="13.8" customFormat="1" customHeight="1" s="70">
      <c r="M1059" s="27" t="n"/>
      <c r="N1059" s="27" t="n"/>
      <c r="O1059" s="27" t="n"/>
      <c r="P1059" s="27" t="n"/>
      <c r="Q1059" s="27" t="n"/>
      <c r="R1059" s="27" t="n"/>
      <c r="S1059" s="27" t="n"/>
      <c r="T1059" s="27" t="n"/>
    </row>
    <row r="1060" ht="13.8" customFormat="1" customHeight="1" s="70">
      <c r="M1060" s="27" t="n"/>
      <c r="N1060" s="27" t="n"/>
      <c r="O1060" s="27" t="n"/>
      <c r="P1060" s="27" t="n"/>
      <c r="Q1060" s="27" t="n"/>
      <c r="R1060" s="27" t="n"/>
      <c r="S1060" s="27" t="n"/>
      <c r="T1060" s="27" t="n"/>
    </row>
    <row r="1061" ht="13.8" customFormat="1" customHeight="1" s="70">
      <c r="M1061" s="27" t="n"/>
      <c r="N1061" s="27" t="n"/>
      <c r="O1061" s="27" t="n"/>
      <c r="P1061" s="27" t="n"/>
      <c r="Q1061" s="27" t="n"/>
      <c r="R1061" s="27" t="n"/>
      <c r="S1061" s="27" t="n"/>
      <c r="T1061" s="27" t="n"/>
    </row>
    <row r="1062" ht="13.8" customFormat="1" customHeight="1" s="70">
      <c r="M1062" s="27" t="n"/>
      <c r="N1062" s="27" t="n"/>
      <c r="O1062" s="27" t="n"/>
      <c r="P1062" s="27" t="n"/>
      <c r="Q1062" s="27" t="n"/>
      <c r="R1062" s="27" t="n"/>
      <c r="S1062" s="27" t="n"/>
      <c r="T1062" s="27" t="n"/>
    </row>
    <row r="1063" ht="13.8" customFormat="1" customHeight="1" s="70">
      <c r="M1063" s="27" t="n"/>
      <c r="N1063" s="27" t="n"/>
      <c r="O1063" s="27" t="n"/>
      <c r="P1063" s="27" t="n"/>
      <c r="Q1063" s="27" t="n"/>
      <c r="R1063" s="27" t="n"/>
      <c r="S1063" s="27" t="n"/>
      <c r="T1063" s="27" t="n"/>
    </row>
    <row r="1064" ht="13.8" customFormat="1" customHeight="1" s="70">
      <c r="M1064" s="27" t="n"/>
      <c r="N1064" s="27" t="n"/>
      <c r="O1064" s="27" t="n"/>
      <c r="P1064" s="27" t="n"/>
      <c r="Q1064" s="27" t="n"/>
      <c r="R1064" s="27" t="n"/>
      <c r="S1064" s="27" t="n"/>
      <c r="T1064" s="27" t="n"/>
    </row>
    <row r="1065" ht="13.8" customFormat="1" customHeight="1" s="70">
      <c r="M1065" s="27" t="n"/>
      <c r="N1065" s="27" t="n"/>
      <c r="O1065" s="27" t="n"/>
      <c r="P1065" s="27" t="n"/>
      <c r="Q1065" s="27" t="n"/>
      <c r="R1065" s="27" t="n"/>
      <c r="S1065" s="27" t="n"/>
      <c r="T1065" s="27" t="n"/>
    </row>
    <row r="1066" ht="13.8" customFormat="1" customHeight="1" s="70">
      <c r="M1066" s="27" t="n"/>
      <c r="N1066" s="27" t="n"/>
      <c r="O1066" s="27" t="n"/>
      <c r="P1066" s="27" t="n"/>
      <c r="Q1066" s="27" t="n"/>
      <c r="R1066" s="27" t="n"/>
      <c r="S1066" s="27" t="n"/>
      <c r="T1066" s="27" t="n"/>
    </row>
    <row r="1067" ht="13.8" customFormat="1" customHeight="1" s="70">
      <c r="M1067" s="27" t="n"/>
      <c r="N1067" s="27" t="n"/>
      <c r="O1067" s="27" t="n"/>
      <c r="P1067" s="27" t="n"/>
      <c r="Q1067" s="27" t="n"/>
      <c r="R1067" s="27" t="n"/>
      <c r="S1067" s="27" t="n"/>
      <c r="T1067" s="27" t="n"/>
    </row>
    <row r="1068" ht="13.8" customFormat="1" customHeight="1" s="70">
      <c r="M1068" s="27" t="n"/>
      <c r="N1068" s="27" t="n"/>
      <c r="O1068" s="27" t="n"/>
      <c r="P1068" s="27" t="n"/>
      <c r="Q1068" s="27" t="n"/>
      <c r="R1068" s="27" t="n"/>
      <c r="S1068" s="27" t="n"/>
      <c r="T1068" s="27" t="n"/>
    </row>
    <row r="1069" ht="13.8" customFormat="1" customHeight="1" s="70">
      <c r="M1069" s="27" t="n"/>
      <c r="N1069" s="27" t="n"/>
      <c r="O1069" s="27" t="n"/>
      <c r="P1069" s="27" t="n"/>
      <c r="Q1069" s="27" t="n"/>
      <c r="R1069" s="27" t="n"/>
      <c r="S1069" s="27" t="n"/>
      <c r="T1069" s="27" t="n"/>
    </row>
    <row r="1070" ht="13.8" customFormat="1" customHeight="1" s="70">
      <c r="M1070" s="27" t="n"/>
      <c r="N1070" s="27" t="n"/>
      <c r="O1070" s="27" t="n"/>
      <c r="P1070" s="27" t="n"/>
      <c r="Q1070" s="27" t="n"/>
      <c r="R1070" s="27" t="n"/>
      <c r="S1070" s="27" t="n"/>
      <c r="T1070" s="27" t="n"/>
    </row>
    <row r="1071" ht="13.8" customFormat="1" customHeight="1" s="70">
      <c r="M1071" s="27" t="n"/>
      <c r="N1071" s="27" t="n"/>
      <c r="O1071" s="27" t="n"/>
      <c r="P1071" s="27" t="n"/>
      <c r="Q1071" s="27" t="n"/>
      <c r="R1071" s="27" t="n"/>
      <c r="S1071" s="27" t="n"/>
      <c r="T1071" s="27" t="n"/>
    </row>
    <row r="1072" ht="13.8" customFormat="1" customHeight="1" s="70">
      <c r="M1072" s="27" t="n"/>
      <c r="N1072" s="27" t="n"/>
      <c r="O1072" s="27" t="n"/>
      <c r="P1072" s="27" t="n"/>
      <c r="Q1072" s="27" t="n"/>
      <c r="R1072" s="27" t="n"/>
      <c r="S1072" s="27" t="n"/>
      <c r="T1072" s="27" t="n"/>
    </row>
    <row r="1073" ht="13.8" customFormat="1" customHeight="1" s="70">
      <c r="M1073" s="27" t="n"/>
      <c r="N1073" s="27" t="n"/>
      <c r="O1073" s="27" t="n"/>
      <c r="P1073" s="27" t="n"/>
      <c r="Q1073" s="27" t="n"/>
      <c r="R1073" s="27" t="n"/>
      <c r="S1073" s="27" t="n"/>
      <c r="T1073" s="27" t="n"/>
    </row>
    <row r="1074" ht="13.8" customFormat="1" customHeight="1" s="70">
      <c r="M1074" s="27" t="n"/>
      <c r="N1074" s="27" t="n"/>
      <c r="O1074" s="27" t="n"/>
      <c r="P1074" s="27" t="n"/>
      <c r="Q1074" s="27" t="n"/>
      <c r="R1074" s="27" t="n"/>
      <c r="S1074" s="27" t="n"/>
      <c r="T1074" s="27" t="n"/>
    </row>
    <row r="1075" ht="13.8" customFormat="1" customHeight="1" s="70">
      <c r="M1075" s="27" t="n"/>
      <c r="N1075" s="27" t="n"/>
      <c r="O1075" s="27" t="n"/>
      <c r="P1075" s="27" t="n"/>
      <c r="Q1075" s="27" t="n"/>
      <c r="R1075" s="27" t="n"/>
      <c r="S1075" s="27" t="n"/>
      <c r="T1075" s="27" t="n"/>
    </row>
    <row r="1076" ht="13.8" customFormat="1" customHeight="1" s="70">
      <c r="M1076" s="27" t="n"/>
      <c r="N1076" s="27" t="n"/>
      <c r="O1076" s="27" t="n"/>
      <c r="P1076" s="27" t="n"/>
      <c r="Q1076" s="27" t="n"/>
      <c r="R1076" s="27" t="n"/>
      <c r="S1076" s="27" t="n"/>
      <c r="T1076" s="27" t="n"/>
    </row>
    <row r="1077" ht="13.8" customFormat="1" customHeight="1" s="70">
      <c r="M1077" s="27" t="n"/>
      <c r="N1077" s="27" t="n"/>
      <c r="O1077" s="27" t="n"/>
      <c r="P1077" s="27" t="n"/>
      <c r="Q1077" s="27" t="n"/>
      <c r="R1077" s="27" t="n"/>
      <c r="S1077" s="27" t="n"/>
      <c r="T1077" s="27" t="n"/>
    </row>
    <row r="1078" ht="13.8" customFormat="1" customHeight="1" s="70">
      <c r="M1078" s="27" t="n"/>
      <c r="N1078" s="27" t="n"/>
      <c r="O1078" s="27" t="n"/>
      <c r="P1078" s="27" t="n"/>
      <c r="Q1078" s="27" t="n"/>
      <c r="R1078" s="27" t="n"/>
      <c r="S1078" s="27" t="n"/>
      <c r="T1078" s="27" t="n"/>
    </row>
    <row r="1079" ht="13.8" customFormat="1" customHeight="1" s="70">
      <c r="M1079" s="27" t="n"/>
      <c r="N1079" s="27" t="n"/>
      <c r="O1079" s="27" t="n"/>
      <c r="P1079" s="27" t="n"/>
      <c r="Q1079" s="27" t="n"/>
      <c r="R1079" s="27" t="n"/>
      <c r="S1079" s="27" t="n"/>
      <c r="T1079" s="27" t="n"/>
    </row>
    <row r="1080" ht="13.8" customFormat="1" customHeight="1" s="70">
      <c r="M1080" s="27" t="n"/>
      <c r="N1080" s="27" t="n"/>
      <c r="O1080" s="27" t="n"/>
      <c r="P1080" s="27" t="n"/>
      <c r="Q1080" s="27" t="n"/>
      <c r="R1080" s="27" t="n"/>
      <c r="S1080" s="27" t="n"/>
      <c r="T1080" s="27" t="n"/>
    </row>
    <row r="1081" ht="13.8" customFormat="1" customHeight="1" s="70">
      <c r="M1081" s="27" t="n"/>
      <c r="N1081" s="27" t="n"/>
      <c r="O1081" s="27" t="n"/>
      <c r="P1081" s="27" t="n"/>
      <c r="Q1081" s="27" t="n"/>
      <c r="R1081" s="27" t="n"/>
      <c r="S1081" s="27" t="n"/>
      <c r="T1081" s="27" t="n"/>
    </row>
    <row r="1082" ht="13.8" customFormat="1" customHeight="1" s="70">
      <c r="M1082" s="27" t="n"/>
      <c r="N1082" s="27" t="n"/>
      <c r="O1082" s="27" t="n"/>
      <c r="P1082" s="27" t="n"/>
      <c r="Q1082" s="27" t="n"/>
      <c r="R1082" s="27" t="n"/>
      <c r="S1082" s="27" t="n"/>
      <c r="T1082" s="27" t="n"/>
    </row>
    <row r="1083" ht="13.8" customFormat="1" customHeight="1" s="70">
      <c r="M1083" s="27" t="n"/>
      <c r="N1083" s="27" t="n"/>
      <c r="O1083" s="27" t="n"/>
      <c r="P1083" s="27" t="n"/>
      <c r="Q1083" s="27" t="n"/>
      <c r="R1083" s="27" t="n"/>
      <c r="S1083" s="27" t="n"/>
      <c r="T1083" s="27" t="n"/>
    </row>
    <row r="1084" ht="13.8" customFormat="1" customHeight="1" s="70">
      <c r="M1084" s="27" t="n"/>
      <c r="N1084" s="27" t="n"/>
      <c r="O1084" s="27" t="n"/>
      <c r="P1084" s="27" t="n"/>
      <c r="Q1084" s="27" t="n"/>
      <c r="R1084" s="27" t="n"/>
      <c r="S1084" s="27" t="n"/>
      <c r="T1084" s="27" t="n"/>
    </row>
    <row r="1085" ht="13.8" customFormat="1" customHeight="1" s="70">
      <c r="M1085" s="27" t="n"/>
      <c r="N1085" s="27" t="n"/>
      <c r="O1085" s="27" t="n"/>
      <c r="P1085" s="27" t="n"/>
      <c r="Q1085" s="27" t="n"/>
      <c r="R1085" s="27" t="n"/>
      <c r="S1085" s="27" t="n"/>
      <c r="T1085" s="27" t="n"/>
    </row>
    <row r="1086" ht="13.8" customFormat="1" customHeight="1" s="70">
      <c r="M1086" s="27" t="n"/>
      <c r="N1086" s="27" t="n"/>
      <c r="O1086" s="27" t="n"/>
      <c r="P1086" s="27" t="n"/>
      <c r="Q1086" s="27" t="n"/>
      <c r="R1086" s="27" t="n"/>
      <c r="S1086" s="27" t="n"/>
      <c r="T1086" s="27" t="n"/>
    </row>
    <row r="1087" ht="13.8" customFormat="1" customHeight="1" s="70">
      <c r="M1087" s="27" t="n"/>
      <c r="N1087" s="27" t="n"/>
      <c r="O1087" s="27" t="n"/>
      <c r="P1087" s="27" t="n"/>
      <c r="Q1087" s="27" t="n"/>
      <c r="R1087" s="27" t="n"/>
      <c r="S1087" s="27" t="n"/>
      <c r="T1087" s="27" t="n"/>
    </row>
    <row r="1088" ht="13.8" customFormat="1" customHeight="1" s="70">
      <c r="M1088" s="27" t="n"/>
      <c r="N1088" s="27" t="n"/>
      <c r="O1088" s="27" t="n"/>
      <c r="P1088" s="27" t="n"/>
      <c r="Q1088" s="27" t="n"/>
      <c r="R1088" s="27" t="n"/>
      <c r="S1088" s="27" t="n"/>
      <c r="T1088" s="27" t="n"/>
    </row>
    <row r="1089" ht="13.8" customFormat="1" customHeight="1" s="70">
      <c r="M1089" s="27" t="n"/>
      <c r="N1089" s="27" t="n"/>
      <c r="O1089" s="27" t="n"/>
      <c r="P1089" s="27" t="n"/>
      <c r="Q1089" s="27" t="n"/>
      <c r="R1089" s="27" t="n"/>
      <c r="S1089" s="27" t="n"/>
      <c r="T1089" s="27" t="n"/>
    </row>
    <row r="1090" ht="13.8" customFormat="1" customHeight="1" s="70">
      <c r="M1090" s="27" t="n"/>
      <c r="N1090" s="27" t="n"/>
      <c r="O1090" s="27" t="n"/>
      <c r="P1090" s="27" t="n"/>
      <c r="Q1090" s="27" t="n"/>
      <c r="R1090" s="27" t="n"/>
      <c r="S1090" s="27" t="n"/>
      <c r="T1090" s="27" t="n"/>
    </row>
    <row r="1091" ht="13.8" customFormat="1" customHeight="1" s="70">
      <c r="M1091" s="27" t="n"/>
      <c r="N1091" s="27" t="n"/>
      <c r="O1091" s="27" t="n"/>
      <c r="P1091" s="27" t="n"/>
      <c r="Q1091" s="27" t="n"/>
      <c r="R1091" s="27" t="n"/>
      <c r="S1091" s="27" t="n"/>
      <c r="T1091" s="27" t="n"/>
    </row>
    <row r="1092" ht="13.8" customFormat="1" customHeight="1" s="70">
      <c r="M1092" s="27" t="n"/>
      <c r="N1092" s="27" t="n"/>
      <c r="O1092" s="27" t="n"/>
      <c r="P1092" s="27" t="n"/>
      <c r="Q1092" s="27" t="n"/>
      <c r="R1092" s="27" t="n"/>
      <c r="S1092" s="27" t="n"/>
      <c r="T1092" s="27" t="n"/>
    </row>
    <row r="1093" ht="13.8" customFormat="1" customHeight="1" s="70">
      <c r="M1093" s="27" t="n"/>
      <c r="N1093" s="27" t="n"/>
      <c r="O1093" s="27" t="n"/>
      <c r="P1093" s="27" t="n"/>
      <c r="Q1093" s="27" t="n"/>
      <c r="R1093" s="27" t="n"/>
      <c r="S1093" s="27" t="n"/>
      <c r="T1093" s="27" t="n"/>
    </row>
    <row r="1094" ht="13.8" customFormat="1" customHeight="1" s="70">
      <c r="M1094" s="27" t="n"/>
      <c r="N1094" s="27" t="n"/>
      <c r="O1094" s="27" t="n"/>
      <c r="P1094" s="27" t="n"/>
      <c r="Q1094" s="27" t="n"/>
      <c r="R1094" s="27" t="n"/>
      <c r="S1094" s="27" t="n"/>
      <c r="T1094" s="27" t="n"/>
    </row>
    <row r="1095" ht="13.8" customFormat="1" customHeight="1" s="70">
      <c r="M1095" s="27" t="n"/>
      <c r="N1095" s="27" t="n"/>
      <c r="O1095" s="27" t="n"/>
      <c r="P1095" s="27" t="n"/>
      <c r="Q1095" s="27" t="n"/>
      <c r="R1095" s="27" t="n"/>
      <c r="S1095" s="27" t="n"/>
      <c r="T1095" s="27" t="n"/>
    </row>
    <row r="1096" ht="13.8" customFormat="1" customHeight="1" s="70">
      <c r="M1096" s="27" t="n"/>
      <c r="N1096" s="27" t="n"/>
      <c r="O1096" s="27" t="n"/>
      <c r="P1096" s="27" t="n"/>
      <c r="Q1096" s="27" t="n"/>
      <c r="R1096" s="27" t="n"/>
      <c r="S1096" s="27" t="n"/>
      <c r="T1096" s="27" t="n"/>
    </row>
    <row r="1097" ht="13.8" customFormat="1" customHeight="1" s="70">
      <c r="M1097" s="27" t="n"/>
      <c r="N1097" s="27" t="n"/>
      <c r="O1097" s="27" t="n"/>
      <c r="P1097" s="27" t="n"/>
      <c r="Q1097" s="27" t="n"/>
      <c r="R1097" s="27" t="n"/>
      <c r="S1097" s="27" t="n"/>
      <c r="T1097" s="27" t="n"/>
    </row>
    <row r="1098" ht="13.8" customFormat="1" customHeight="1" s="70">
      <c r="M1098" s="27" t="n"/>
      <c r="N1098" s="27" t="n"/>
      <c r="O1098" s="27" t="n"/>
      <c r="P1098" s="27" t="n"/>
      <c r="Q1098" s="27" t="n"/>
      <c r="R1098" s="27" t="n"/>
      <c r="S1098" s="27" t="n"/>
      <c r="T1098" s="27" t="n"/>
    </row>
    <row r="1099" ht="13.8" customFormat="1" customHeight="1" s="70">
      <c r="M1099" s="27" t="n"/>
      <c r="N1099" s="27" t="n"/>
      <c r="O1099" s="27" t="n"/>
      <c r="P1099" s="27" t="n"/>
      <c r="Q1099" s="27" t="n"/>
      <c r="R1099" s="27" t="n"/>
      <c r="S1099" s="27" t="n"/>
      <c r="T1099" s="27" t="n"/>
    </row>
    <row r="1100" ht="13.8" customFormat="1" customHeight="1" s="70">
      <c r="M1100" s="27" t="n"/>
      <c r="N1100" s="27" t="n"/>
      <c r="O1100" s="27" t="n"/>
      <c r="P1100" s="27" t="n"/>
      <c r="Q1100" s="27" t="n"/>
      <c r="R1100" s="27" t="n"/>
      <c r="S1100" s="27" t="n"/>
      <c r="T1100" s="27" t="n"/>
    </row>
    <row r="1101" ht="13.8" customFormat="1" customHeight="1" s="70">
      <c r="M1101" s="27" t="n"/>
      <c r="N1101" s="27" t="n"/>
      <c r="O1101" s="27" t="n"/>
      <c r="P1101" s="27" t="n"/>
      <c r="Q1101" s="27" t="n"/>
      <c r="R1101" s="27" t="n"/>
      <c r="S1101" s="27" t="n"/>
      <c r="T1101" s="27" t="n"/>
    </row>
    <row r="1102" ht="13.8" customFormat="1" customHeight="1" s="70">
      <c r="M1102" s="27" t="n"/>
      <c r="N1102" s="27" t="n"/>
      <c r="O1102" s="27" t="n"/>
      <c r="P1102" s="27" t="n"/>
      <c r="Q1102" s="27" t="n"/>
      <c r="R1102" s="27" t="n"/>
      <c r="S1102" s="27" t="n"/>
      <c r="T1102" s="27" t="n"/>
    </row>
    <row r="1103" ht="13.8" customFormat="1" customHeight="1" s="70">
      <c r="M1103" s="27" t="n"/>
      <c r="N1103" s="27" t="n"/>
      <c r="O1103" s="27" t="n"/>
      <c r="P1103" s="27" t="n"/>
      <c r="Q1103" s="27" t="n"/>
      <c r="R1103" s="27" t="n"/>
      <c r="S1103" s="27" t="n"/>
      <c r="T1103" s="27" t="n"/>
    </row>
    <row r="1104" ht="13.8" customFormat="1" customHeight="1" s="70">
      <c r="M1104" s="27" t="n"/>
      <c r="N1104" s="27" t="n"/>
      <c r="O1104" s="27" t="n"/>
      <c r="P1104" s="27" t="n"/>
      <c r="Q1104" s="27" t="n"/>
      <c r="R1104" s="27" t="n"/>
      <c r="S1104" s="27" t="n"/>
      <c r="T1104" s="27" t="n"/>
    </row>
    <row r="1105" ht="13.8" customFormat="1" customHeight="1" s="70">
      <c r="M1105" s="27" t="n"/>
      <c r="N1105" s="27" t="n"/>
      <c r="O1105" s="27" t="n"/>
      <c r="P1105" s="27" t="n"/>
      <c r="Q1105" s="27" t="n"/>
      <c r="R1105" s="27" t="n"/>
      <c r="S1105" s="27" t="n"/>
      <c r="T1105" s="27" t="n"/>
    </row>
    <row r="1106" ht="13.8" customFormat="1" customHeight="1" s="70">
      <c r="M1106" s="27" t="n"/>
      <c r="N1106" s="27" t="n"/>
      <c r="O1106" s="27" t="n"/>
      <c r="P1106" s="27" t="n"/>
      <c r="Q1106" s="27" t="n"/>
      <c r="R1106" s="27" t="n"/>
      <c r="S1106" s="27" t="n"/>
      <c r="T1106" s="27" t="n"/>
    </row>
    <row r="1107" ht="13.8" customFormat="1" customHeight="1" s="70">
      <c r="M1107" s="27" t="n"/>
      <c r="N1107" s="27" t="n"/>
      <c r="O1107" s="27" t="n"/>
      <c r="P1107" s="27" t="n"/>
      <c r="Q1107" s="27" t="n"/>
      <c r="R1107" s="27" t="n"/>
      <c r="S1107" s="27" t="n"/>
      <c r="T1107" s="27" t="n"/>
    </row>
    <row r="1108" ht="13.8" customFormat="1" customHeight="1" s="70">
      <c r="M1108" s="27" t="n"/>
      <c r="N1108" s="27" t="n"/>
      <c r="O1108" s="27" t="n"/>
      <c r="P1108" s="27" t="n"/>
      <c r="Q1108" s="27" t="n"/>
      <c r="R1108" s="27" t="n"/>
      <c r="S1108" s="27" t="n"/>
      <c r="T1108" s="27" t="n"/>
    </row>
    <row r="1109" ht="13.8" customFormat="1" customHeight="1" s="70">
      <c r="M1109" s="27" t="n"/>
      <c r="N1109" s="27" t="n"/>
      <c r="O1109" s="27" t="n"/>
      <c r="P1109" s="27" t="n"/>
      <c r="Q1109" s="27" t="n"/>
      <c r="R1109" s="27" t="n"/>
      <c r="S1109" s="27" t="n"/>
      <c r="T1109" s="27" t="n"/>
    </row>
    <row r="1110" ht="13.8" customFormat="1" customHeight="1" s="70">
      <c r="M1110" s="27" t="n"/>
      <c r="N1110" s="27" t="n"/>
      <c r="O1110" s="27" t="n"/>
      <c r="P1110" s="27" t="n"/>
      <c r="Q1110" s="27" t="n"/>
      <c r="R1110" s="27" t="n"/>
      <c r="S1110" s="27" t="n"/>
      <c r="T1110" s="27" t="n"/>
    </row>
    <row r="1111" ht="13.8" customFormat="1" customHeight="1" s="70">
      <c r="M1111" s="27" t="n"/>
      <c r="N1111" s="27" t="n"/>
      <c r="O1111" s="27" t="n"/>
      <c r="P1111" s="27" t="n"/>
      <c r="Q1111" s="27" t="n"/>
      <c r="R1111" s="27" t="n"/>
      <c r="S1111" s="27" t="n"/>
      <c r="T1111" s="27" t="n"/>
    </row>
    <row r="1112" ht="13.8" customFormat="1" customHeight="1" s="70">
      <c r="M1112" s="27" t="n"/>
      <c r="N1112" s="27" t="n"/>
      <c r="O1112" s="27" t="n"/>
      <c r="P1112" s="27" t="n"/>
      <c r="Q1112" s="27" t="n"/>
      <c r="R1112" s="27" t="n"/>
      <c r="S1112" s="27" t="n"/>
      <c r="T1112" s="27" t="n"/>
    </row>
    <row r="1113" ht="13.8" customFormat="1" customHeight="1" s="70">
      <c r="M1113" s="27" t="n"/>
      <c r="N1113" s="27" t="n"/>
      <c r="O1113" s="27" t="n"/>
      <c r="P1113" s="27" t="n"/>
      <c r="Q1113" s="27" t="n"/>
      <c r="R1113" s="27" t="n"/>
      <c r="S1113" s="27" t="n"/>
      <c r="T1113" s="27" t="n"/>
    </row>
    <row r="1114" ht="13.8" customFormat="1" customHeight="1" s="70">
      <c r="M1114" s="27" t="n"/>
      <c r="N1114" s="27" t="n"/>
      <c r="O1114" s="27" t="n"/>
      <c r="P1114" s="27" t="n"/>
      <c r="Q1114" s="27" t="n"/>
      <c r="R1114" s="27" t="n"/>
      <c r="S1114" s="27" t="n"/>
      <c r="T1114" s="27" t="n"/>
    </row>
    <row r="1115" ht="13.8" customFormat="1" customHeight="1" s="70">
      <c r="M1115" s="27" t="n"/>
      <c r="N1115" s="27" t="n"/>
      <c r="O1115" s="27" t="n"/>
      <c r="P1115" s="27" t="n"/>
      <c r="Q1115" s="27" t="n"/>
      <c r="R1115" s="27" t="n"/>
      <c r="S1115" s="27" t="n"/>
      <c r="T1115" s="27" t="n"/>
    </row>
    <row r="1116" ht="13.8" customFormat="1" customHeight="1" s="70">
      <c r="M1116" s="27" t="n"/>
      <c r="N1116" s="27" t="n"/>
      <c r="O1116" s="27" t="n"/>
      <c r="P1116" s="27" t="n"/>
      <c r="Q1116" s="27" t="n"/>
      <c r="R1116" s="27" t="n"/>
      <c r="S1116" s="27" t="n"/>
      <c r="T1116" s="27" t="n"/>
    </row>
    <row r="1117" ht="13.8" customFormat="1" customHeight="1" s="70">
      <c r="M1117" s="27" t="n"/>
      <c r="N1117" s="27" t="n"/>
      <c r="O1117" s="27" t="n"/>
      <c r="P1117" s="27" t="n"/>
      <c r="Q1117" s="27" t="n"/>
      <c r="R1117" s="27" t="n"/>
      <c r="S1117" s="27" t="n"/>
      <c r="T1117" s="27" t="n"/>
    </row>
    <row r="1118" ht="13.8" customFormat="1" customHeight="1" s="70">
      <c r="M1118" s="27" t="n"/>
      <c r="N1118" s="27" t="n"/>
      <c r="O1118" s="27" t="n"/>
      <c r="P1118" s="27" t="n"/>
      <c r="Q1118" s="27" t="n"/>
      <c r="R1118" s="27" t="n"/>
      <c r="S1118" s="27" t="n"/>
      <c r="T1118" s="27" t="n"/>
    </row>
    <row r="1119" ht="13.8" customFormat="1" customHeight="1" s="70">
      <c r="M1119" s="27" t="n"/>
      <c r="N1119" s="27" t="n"/>
      <c r="O1119" s="27" t="n"/>
      <c r="P1119" s="27" t="n"/>
      <c r="Q1119" s="27" t="n"/>
      <c r="R1119" s="27" t="n"/>
      <c r="S1119" s="27" t="n"/>
      <c r="T1119" s="27" t="n"/>
    </row>
    <row r="1120" ht="13.8" customFormat="1" customHeight="1" s="70">
      <c r="M1120" s="27" t="n"/>
      <c r="N1120" s="27" t="n"/>
      <c r="O1120" s="27" t="n"/>
      <c r="P1120" s="27" t="n"/>
      <c r="Q1120" s="27" t="n"/>
      <c r="R1120" s="27" t="n"/>
      <c r="S1120" s="27" t="n"/>
      <c r="T1120" s="27" t="n"/>
    </row>
    <row r="1121" ht="13.8" customFormat="1" customHeight="1" s="70">
      <c r="M1121" s="27" t="n"/>
      <c r="N1121" s="27" t="n"/>
      <c r="O1121" s="27" t="n"/>
      <c r="P1121" s="27" t="n"/>
      <c r="Q1121" s="27" t="n"/>
      <c r="R1121" s="27" t="n"/>
      <c r="S1121" s="27" t="n"/>
      <c r="T1121" s="27" t="n"/>
    </row>
    <row r="1122" ht="13.8" customFormat="1" customHeight="1" s="70">
      <c r="M1122" s="27" t="n"/>
      <c r="N1122" s="27" t="n"/>
      <c r="O1122" s="27" t="n"/>
      <c r="P1122" s="27" t="n"/>
      <c r="Q1122" s="27" t="n"/>
      <c r="R1122" s="27" t="n"/>
      <c r="S1122" s="27" t="n"/>
      <c r="T1122" s="27" t="n"/>
    </row>
    <row r="1123" ht="13.8" customFormat="1" customHeight="1" s="70">
      <c r="M1123" s="27" t="n"/>
      <c r="N1123" s="27" t="n"/>
      <c r="O1123" s="27" t="n"/>
      <c r="P1123" s="27" t="n"/>
      <c r="Q1123" s="27" t="n"/>
      <c r="R1123" s="27" t="n"/>
      <c r="S1123" s="27" t="n"/>
      <c r="T1123" s="27" t="n"/>
    </row>
    <row r="1124" ht="13.8" customFormat="1" customHeight="1" s="70">
      <c r="M1124" s="27" t="n"/>
      <c r="N1124" s="27" t="n"/>
      <c r="O1124" s="27" t="n"/>
      <c r="P1124" s="27" t="n"/>
      <c r="Q1124" s="27" t="n"/>
      <c r="R1124" s="27" t="n"/>
      <c r="S1124" s="27" t="n"/>
      <c r="T1124" s="27" t="n"/>
    </row>
    <row r="1125" ht="13.8" customFormat="1" customHeight="1" s="70">
      <c r="M1125" s="27" t="n"/>
      <c r="N1125" s="27" t="n"/>
      <c r="O1125" s="27" t="n"/>
      <c r="P1125" s="27" t="n"/>
      <c r="Q1125" s="27" t="n"/>
      <c r="R1125" s="27" t="n"/>
      <c r="S1125" s="27" t="n"/>
      <c r="T1125" s="27" t="n"/>
    </row>
    <row r="1126" ht="13.8" customFormat="1" customHeight="1" s="70">
      <c r="M1126" s="27" t="n"/>
      <c r="N1126" s="27" t="n"/>
      <c r="O1126" s="27" t="n"/>
      <c r="P1126" s="27" t="n"/>
      <c r="Q1126" s="27" t="n"/>
      <c r="R1126" s="27" t="n"/>
      <c r="S1126" s="27" t="n"/>
      <c r="T1126" s="27" t="n"/>
    </row>
    <row r="1127" ht="13.8" customFormat="1" customHeight="1" s="70">
      <c r="M1127" s="27" t="n"/>
      <c r="N1127" s="27" t="n"/>
      <c r="O1127" s="27" t="n"/>
      <c r="P1127" s="27" t="n"/>
      <c r="Q1127" s="27" t="n"/>
      <c r="R1127" s="27" t="n"/>
      <c r="S1127" s="27" t="n"/>
      <c r="T1127" s="27" t="n"/>
    </row>
    <row r="1128" ht="13.8" customFormat="1" customHeight="1" s="70">
      <c r="M1128" s="27" t="n"/>
      <c r="N1128" s="27" t="n"/>
      <c r="O1128" s="27" t="n"/>
      <c r="P1128" s="27" t="n"/>
      <c r="Q1128" s="27" t="n"/>
      <c r="R1128" s="27" t="n"/>
      <c r="S1128" s="27" t="n"/>
      <c r="T1128" s="27" t="n"/>
    </row>
    <row r="1129" ht="13.8" customFormat="1" customHeight="1" s="70">
      <c r="M1129" s="27" t="n"/>
      <c r="N1129" s="27" t="n"/>
      <c r="O1129" s="27" t="n"/>
      <c r="P1129" s="27" t="n"/>
      <c r="Q1129" s="27" t="n"/>
      <c r="R1129" s="27" t="n"/>
      <c r="S1129" s="27" t="n"/>
      <c r="T1129" s="27" t="n"/>
    </row>
    <row r="1130" ht="13.8" customFormat="1" customHeight="1" s="70">
      <c r="M1130" s="27" t="n"/>
      <c r="N1130" s="27" t="n"/>
      <c r="O1130" s="27" t="n"/>
      <c r="P1130" s="27" t="n"/>
      <c r="Q1130" s="27" t="n"/>
      <c r="R1130" s="27" t="n"/>
      <c r="S1130" s="27" t="n"/>
      <c r="T1130" s="27" t="n"/>
    </row>
    <row r="1131" ht="13.8" customFormat="1" customHeight="1" s="70">
      <c r="M1131" s="27" t="n"/>
      <c r="N1131" s="27" t="n"/>
      <c r="O1131" s="27" t="n"/>
      <c r="P1131" s="27" t="n"/>
      <c r="Q1131" s="27" t="n"/>
      <c r="R1131" s="27" t="n"/>
      <c r="S1131" s="27" t="n"/>
      <c r="T1131" s="27" t="n"/>
    </row>
    <row r="1132" ht="13.8" customFormat="1" customHeight="1" s="70">
      <c r="M1132" s="27" t="n"/>
      <c r="N1132" s="27" t="n"/>
      <c r="O1132" s="27" t="n"/>
      <c r="P1132" s="27" t="n"/>
      <c r="Q1132" s="27" t="n"/>
      <c r="R1132" s="27" t="n"/>
      <c r="S1132" s="27" t="n"/>
      <c r="T1132" s="27" t="n"/>
    </row>
    <row r="1133" ht="13.8" customFormat="1" customHeight="1" s="70">
      <c r="M1133" s="27" t="n"/>
      <c r="N1133" s="27" t="n"/>
      <c r="O1133" s="27" t="n"/>
      <c r="P1133" s="27" t="n"/>
      <c r="Q1133" s="27" t="n"/>
      <c r="R1133" s="27" t="n"/>
      <c r="S1133" s="27" t="n"/>
      <c r="T1133" s="27" t="n"/>
    </row>
    <row r="1134" ht="13.8" customFormat="1" customHeight="1" s="70">
      <c r="M1134" s="27" t="n"/>
      <c r="N1134" s="27" t="n"/>
      <c r="O1134" s="27" t="n"/>
      <c r="P1134" s="27" t="n"/>
      <c r="Q1134" s="27" t="n"/>
      <c r="R1134" s="27" t="n"/>
      <c r="S1134" s="27" t="n"/>
      <c r="T1134" s="27" t="n"/>
    </row>
    <row r="1135" ht="13.8" customFormat="1" customHeight="1" s="70">
      <c r="M1135" s="27" t="n"/>
      <c r="N1135" s="27" t="n"/>
      <c r="O1135" s="27" t="n"/>
      <c r="P1135" s="27" t="n"/>
      <c r="Q1135" s="27" t="n"/>
      <c r="R1135" s="27" t="n"/>
      <c r="S1135" s="27" t="n"/>
      <c r="T1135" s="27" t="n"/>
    </row>
    <row r="1136" ht="13.8" customFormat="1" customHeight="1" s="70">
      <c r="M1136" s="27" t="n"/>
      <c r="N1136" s="27" t="n"/>
      <c r="O1136" s="27" t="n"/>
      <c r="P1136" s="27" t="n"/>
      <c r="Q1136" s="27" t="n"/>
      <c r="R1136" s="27" t="n"/>
      <c r="S1136" s="27" t="n"/>
      <c r="T1136" s="27" t="n"/>
    </row>
    <row r="1137" ht="13.8" customFormat="1" customHeight="1" s="70">
      <c r="M1137" s="27" t="n"/>
      <c r="N1137" s="27" t="n"/>
      <c r="O1137" s="27" t="n"/>
      <c r="P1137" s="27" t="n"/>
      <c r="Q1137" s="27" t="n"/>
      <c r="R1137" s="27" t="n"/>
      <c r="S1137" s="27" t="n"/>
      <c r="T1137" s="27" t="n"/>
    </row>
    <row r="1138" ht="13.8" customFormat="1" customHeight="1" s="70">
      <c r="M1138" s="27" t="n"/>
      <c r="N1138" s="27" t="n"/>
      <c r="O1138" s="27" t="n"/>
      <c r="P1138" s="27" t="n"/>
      <c r="Q1138" s="27" t="n"/>
      <c r="R1138" s="27" t="n"/>
      <c r="S1138" s="27" t="n"/>
      <c r="T1138" s="27" t="n"/>
    </row>
    <row r="1139" ht="13.8" customFormat="1" customHeight="1" s="70">
      <c r="M1139" s="27" t="n"/>
      <c r="N1139" s="27" t="n"/>
      <c r="O1139" s="27" t="n"/>
      <c r="P1139" s="27" t="n"/>
      <c r="Q1139" s="27" t="n"/>
      <c r="R1139" s="27" t="n"/>
      <c r="S1139" s="27" t="n"/>
      <c r="T1139" s="27" t="n"/>
    </row>
    <row r="1140" ht="13.8" customFormat="1" customHeight="1" s="70">
      <c r="M1140" s="27" t="n"/>
      <c r="N1140" s="27" t="n"/>
      <c r="O1140" s="27" t="n"/>
      <c r="P1140" s="27" t="n"/>
      <c r="Q1140" s="27" t="n"/>
      <c r="R1140" s="27" t="n"/>
      <c r="S1140" s="27" t="n"/>
      <c r="T1140" s="27" t="n"/>
    </row>
    <row r="1141" ht="13.8" customFormat="1" customHeight="1" s="70">
      <c r="M1141" s="27" t="n"/>
      <c r="N1141" s="27" t="n"/>
      <c r="O1141" s="27" t="n"/>
      <c r="P1141" s="27" t="n"/>
      <c r="Q1141" s="27" t="n"/>
      <c r="R1141" s="27" t="n"/>
      <c r="S1141" s="27" t="n"/>
      <c r="T1141" s="27" t="n"/>
    </row>
    <row r="1142" ht="13.8" customFormat="1" customHeight="1" s="70">
      <c r="M1142" s="27" t="n"/>
      <c r="N1142" s="27" t="n"/>
      <c r="O1142" s="27" t="n"/>
      <c r="P1142" s="27" t="n"/>
      <c r="Q1142" s="27" t="n"/>
      <c r="R1142" s="27" t="n"/>
      <c r="S1142" s="27" t="n"/>
      <c r="T1142" s="27" t="n"/>
    </row>
    <row r="1143" ht="13.8" customFormat="1" customHeight="1" s="70">
      <c r="M1143" s="27" t="n"/>
      <c r="N1143" s="27" t="n"/>
      <c r="O1143" s="27" t="n"/>
      <c r="P1143" s="27" t="n"/>
      <c r="Q1143" s="27" t="n"/>
      <c r="R1143" s="27" t="n"/>
      <c r="S1143" s="27" t="n"/>
      <c r="T1143" s="27" t="n"/>
    </row>
    <row r="1144" ht="13.8" customFormat="1" customHeight="1" s="70">
      <c r="M1144" s="27" t="n"/>
      <c r="N1144" s="27" t="n"/>
      <c r="O1144" s="27" t="n"/>
      <c r="P1144" s="27" t="n"/>
      <c r="Q1144" s="27" t="n"/>
      <c r="R1144" s="27" t="n"/>
      <c r="S1144" s="27" t="n"/>
      <c r="T1144" s="27" t="n"/>
    </row>
    <row r="1145" ht="13.8" customFormat="1" customHeight="1" s="70">
      <c r="M1145" s="27" t="n"/>
      <c r="N1145" s="27" t="n"/>
      <c r="O1145" s="27" t="n"/>
      <c r="P1145" s="27" t="n"/>
      <c r="Q1145" s="27" t="n"/>
      <c r="R1145" s="27" t="n"/>
      <c r="S1145" s="27" t="n"/>
      <c r="T1145" s="27" t="n"/>
    </row>
    <row r="1146" ht="13.8" customFormat="1" customHeight="1" s="70">
      <c r="M1146" s="27" t="n"/>
      <c r="N1146" s="27" t="n"/>
      <c r="O1146" s="27" t="n"/>
      <c r="P1146" s="27" t="n"/>
      <c r="Q1146" s="27" t="n"/>
      <c r="R1146" s="27" t="n"/>
      <c r="S1146" s="27" t="n"/>
      <c r="T1146" s="27" t="n"/>
    </row>
    <row r="1147" ht="13.8" customFormat="1" customHeight="1" s="70">
      <c r="M1147" s="27" t="n"/>
      <c r="N1147" s="27" t="n"/>
      <c r="O1147" s="27" t="n"/>
      <c r="P1147" s="27" t="n"/>
      <c r="Q1147" s="27" t="n"/>
      <c r="R1147" s="27" t="n"/>
      <c r="S1147" s="27" t="n"/>
      <c r="T1147" s="27" t="n"/>
    </row>
    <row r="1148" ht="13.8" customFormat="1" customHeight="1" s="70">
      <c r="M1148" s="27" t="n"/>
      <c r="N1148" s="27" t="n"/>
      <c r="O1148" s="27" t="n"/>
      <c r="P1148" s="27" t="n"/>
      <c r="Q1148" s="27" t="n"/>
      <c r="R1148" s="27" t="n"/>
      <c r="S1148" s="27" t="n"/>
      <c r="T1148" s="27" t="n"/>
    </row>
    <row r="1149" ht="13.8" customFormat="1" customHeight="1" s="70">
      <c r="M1149" s="27" t="n"/>
      <c r="N1149" s="27" t="n"/>
      <c r="O1149" s="27" t="n"/>
      <c r="P1149" s="27" t="n"/>
      <c r="Q1149" s="27" t="n"/>
      <c r="R1149" s="27" t="n"/>
      <c r="S1149" s="27" t="n"/>
      <c r="T1149" s="27" t="n"/>
    </row>
    <row r="1150" ht="13.8" customFormat="1" customHeight="1" s="70">
      <c r="M1150" s="27" t="n"/>
      <c r="N1150" s="27" t="n"/>
      <c r="O1150" s="27" t="n"/>
      <c r="P1150" s="27" t="n"/>
      <c r="Q1150" s="27" t="n"/>
      <c r="R1150" s="27" t="n"/>
      <c r="S1150" s="27" t="n"/>
      <c r="T1150" s="27" t="n"/>
    </row>
    <row r="1151" ht="13.8" customFormat="1" customHeight="1" s="70">
      <c r="M1151" s="27" t="n"/>
      <c r="N1151" s="27" t="n"/>
      <c r="O1151" s="27" t="n"/>
      <c r="P1151" s="27" t="n"/>
      <c r="Q1151" s="27" t="n"/>
      <c r="R1151" s="27" t="n"/>
      <c r="S1151" s="27" t="n"/>
      <c r="T1151" s="27" t="n"/>
    </row>
    <row r="1152" ht="13.8" customFormat="1" customHeight="1" s="70">
      <c r="M1152" s="27" t="n"/>
      <c r="N1152" s="27" t="n"/>
      <c r="O1152" s="27" t="n"/>
      <c r="P1152" s="27" t="n"/>
      <c r="Q1152" s="27" t="n"/>
      <c r="R1152" s="27" t="n"/>
      <c r="S1152" s="27" t="n"/>
      <c r="T1152" s="27" t="n"/>
    </row>
    <row r="1153" ht="13.8" customFormat="1" customHeight="1" s="70">
      <c r="M1153" s="27" t="n"/>
      <c r="N1153" s="27" t="n"/>
      <c r="O1153" s="27" t="n"/>
      <c r="P1153" s="27" t="n"/>
      <c r="Q1153" s="27" t="n"/>
      <c r="R1153" s="27" t="n"/>
      <c r="S1153" s="27" t="n"/>
      <c r="T1153" s="27" t="n"/>
    </row>
    <row r="1154" ht="13.8" customFormat="1" customHeight="1" s="70">
      <c r="M1154" s="27" t="n"/>
      <c r="N1154" s="27" t="n"/>
      <c r="O1154" s="27" t="n"/>
      <c r="P1154" s="27" t="n"/>
      <c r="Q1154" s="27" t="n"/>
      <c r="R1154" s="27" t="n"/>
      <c r="S1154" s="27" t="n"/>
      <c r="T1154" s="27" t="n"/>
    </row>
    <row r="1155" ht="13.8" customFormat="1" customHeight="1" s="70">
      <c r="M1155" s="27" t="n"/>
      <c r="N1155" s="27" t="n"/>
      <c r="O1155" s="27" t="n"/>
      <c r="P1155" s="27" t="n"/>
      <c r="Q1155" s="27" t="n"/>
      <c r="R1155" s="27" t="n"/>
      <c r="S1155" s="27" t="n"/>
      <c r="T1155" s="27" t="n"/>
    </row>
    <row r="1156" ht="13.8" customFormat="1" customHeight="1" s="70">
      <c r="M1156" s="27" t="n"/>
      <c r="N1156" s="27" t="n"/>
      <c r="O1156" s="27" t="n"/>
      <c r="P1156" s="27" t="n"/>
      <c r="Q1156" s="27" t="n"/>
      <c r="R1156" s="27" t="n"/>
      <c r="S1156" s="27" t="n"/>
      <c r="T1156" s="27" t="n"/>
    </row>
    <row r="1157" ht="13.8" customFormat="1" customHeight="1" s="70">
      <c r="M1157" s="27" t="n"/>
      <c r="N1157" s="27" t="n"/>
      <c r="O1157" s="27" t="n"/>
      <c r="P1157" s="27" t="n"/>
      <c r="Q1157" s="27" t="n"/>
      <c r="R1157" s="27" t="n"/>
      <c r="S1157" s="27" t="n"/>
      <c r="T1157" s="27" t="n"/>
    </row>
    <row r="1158" ht="13.8" customFormat="1" customHeight="1" s="70">
      <c r="M1158" s="27" t="n"/>
      <c r="N1158" s="27" t="n"/>
      <c r="O1158" s="27" t="n"/>
      <c r="P1158" s="27" t="n"/>
      <c r="Q1158" s="27" t="n"/>
      <c r="R1158" s="27" t="n"/>
      <c r="S1158" s="27" t="n"/>
      <c r="T1158" s="27" t="n"/>
    </row>
    <row r="1159" ht="13.8" customFormat="1" customHeight="1" s="70">
      <c r="M1159" s="27" t="n"/>
      <c r="N1159" s="27" t="n"/>
      <c r="O1159" s="27" t="n"/>
      <c r="P1159" s="27" t="n"/>
      <c r="Q1159" s="27" t="n"/>
      <c r="R1159" s="27" t="n"/>
      <c r="S1159" s="27" t="n"/>
      <c r="T1159" s="27" t="n"/>
    </row>
    <row r="1160" ht="13.8" customFormat="1" customHeight="1" s="70">
      <c r="M1160" s="27" t="n"/>
      <c r="N1160" s="27" t="n"/>
      <c r="O1160" s="27" t="n"/>
      <c r="P1160" s="27" t="n"/>
      <c r="Q1160" s="27" t="n"/>
      <c r="R1160" s="27" t="n"/>
      <c r="S1160" s="27" t="n"/>
      <c r="T1160" s="27" t="n"/>
    </row>
    <row r="1161" ht="13.8" customFormat="1" customHeight="1" s="70">
      <c r="M1161" s="27" t="n"/>
      <c r="N1161" s="27" t="n"/>
      <c r="O1161" s="27" t="n"/>
      <c r="P1161" s="27" t="n"/>
      <c r="Q1161" s="27" t="n"/>
      <c r="R1161" s="27" t="n"/>
      <c r="S1161" s="27" t="n"/>
      <c r="T1161" s="27" t="n"/>
    </row>
    <row r="1162" ht="13.8" customFormat="1" customHeight="1" s="70">
      <c r="M1162" s="27" t="n"/>
      <c r="N1162" s="27" t="n"/>
      <c r="O1162" s="27" t="n"/>
      <c r="P1162" s="27" t="n"/>
      <c r="Q1162" s="27" t="n"/>
      <c r="R1162" s="27" t="n"/>
      <c r="S1162" s="27" t="n"/>
      <c r="T1162" s="27" t="n"/>
    </row>
    <row r="1163" ht="13.8" customFormat="1" customHeight="1" s="70">
      <c r="M1163" s="27" t="n"/>
      <c r="N1163" s="27" t="n"/>
      <c r="O1163" s="27" t="n"/>
      <c r="P1163" s="27" t="n"/>
      <c r="Q1163" s="27" t="n"/>
      <c r="R1163" s="27" t="n"/>
      <c r="S1163" s="27" t="n"/>
      <c r="T1163" s="27" t="n"/>
    </row>
    <row r="1164" ht="13.8" customFormat="1" customHeight="1" s="70">
      <c r="M1164" s="27" t="n"/>
      <c r="N1164" s="27" t="n"/>
      <c r="O1164" s="27" t="n"/>
      <c r="P1164" s="27" t="n"/>
      <c r="Q1164" s="27" t="n"/>
      <c r="R1164" s="27" t="n"/>
      <c r="S1164" s="27" t="n"/>
      <c r="T1164" s="27" t="n"/>
    </row>
    <row r="1165" ht="13.8" customFormat="1" customHeight="1" s="70">
      <c r="M1165" s="27" t="n"/>
      <c r="N1165" s="27" t="n"/>
      <c r="O1165" s="27" t="n"/>
      <c r="P1165" s="27" t="n"/>
      <c r="Q1165" s="27" t="n"/>
      <c r="R1165" s="27" t="n"/>
      <c r="S1165" s="27" t="n"/>
      <c r="T1165" s="27" t="n"/>
    </row>
    <row r="1166" ht="13.8" customFormat="1" customHeight="1" s="70">
      <c r="M1166" s="27" t="n"/>
      <c r="N1166" s="27" t="n"/>
      <c r="O1166" s="27" t="n"/>
      <c r="P1166" s="27" t="n"/>
      <c r="Q1166" s="27" t="n"/>
      <c r="R1166" s="27" t="n"/>
      <c r="S1166" s="27" t="n"/>
      <c r="T1166" s="27" t="n"/>
    </row>
    <row r="1167" ht="13.8" customFormat="1" customHeight="1" s="70">
      <c r="M1167" s="27" t="n"/>
      <c r="N1167" s="27" t="n"/>
      <c r="O1167" s="27" t="n"/>
      <c r="P1167" s="27" t="n"/>
      <c r="Q1167" s="27" t="n"/>
      <c r="R1167" s="27" t="n"/>
      <c r="S1167" s="27" t="n"/>
      <c r="T1167" s="27" t="n"/>
    </row>
    <row r="1168" ht="13.8" customFormat="1" customHeight="1" s="70">
      <c r="M1168" s="27" t="n"/>
      <c r="N1168" s="27" t="n"/>
      <c r="O1168" s="27" t="n"/>
      <c r="P1168" s="27" t="n"/>
      <c r="Q1168" s="27" t="n"/>
      <c r="R1168" s="27" t="n"/>
      <c r="S1168" s="27" t="n"/>
      <c r="T1168" s="27" t="n"/>
    </row>
    <row r="1169" ht="13.8" customFormat="1" customHeight="1" s="70">
      <c r="M1169" s="27" t="n"/>
      <c r="N1169" s="27" t="n"/>
      <c r="O1169" s="27" t="n"/>
      <c r="P1169" s="27" t="n"/>
      <c r="Q1169" s="27" t="n"/>
      <c r="R1169" s="27" t="n"/>
      <c r="S1169" s="27" t="n"/>
      <c r="T1169" s="27" t="n"/>
    </row>
    <row r="1170" ht="13.8" customFormat="1" customHeight="1" s="70">
      <c r="M1170" s="27" t="n"/>
      <c r="N1170" s="27" t="n"/>
      <c r="O1170" s="27" t="n"/>
      <c r="P1170" s="27" t="n"/>
      <c r="Q1170" s="27" t="n"/>
      <c r="R1170" s="27" t="n"/>
      <c r="S1170" s="27" t="n"/>
      <c r="T1170" s="27" t="n"/>
    </row>
    <row r="1171" ht="13.8" customFormat="1" customHeight="1" s="70">
      <c r="M1171" s="27" t="n"/>
      <c r="N1171" s="27" t="n"/>
      <c r="O1171" s="27" t="n"/>
      <c r="P1171" s="27" t="n"/>
      <c r="Q1171" s="27" t="n"/>
      <c r="R1171" s="27" t="n"/>
      <c r="S1171" s="27" t="n"/>
      <c r="T1171" s="27" t="n"/>
    </row>
    <row r="1172" ht="13.8" customFormat="1" customHeight="1" s="70">
      <c r="M1172" s="27" t="n"/>
      <c r="N1172" s="27" t="n"/>
      <c r="O1172" s="27" t="n"/>
      <c r="P1172" s="27" t="n"/>
      <c r="Q1172" s="27" t="n"/>
      <c r="R1172" s="27" t="n"/>
      <c r="S1172" s="27" t="n"/>
      <c r="T1172" s="27" t="n"/>
    </row>
    <row r="1173" ht="13.8" customFormat="1" customHeight="1" s="70">
      <c r="M1173" s="27" t="n"/>
      <c r="N1173" s="27" t="n"/>
      <c r="O1173" s="27" t="n"/>
      <c r="P1173" s="27" t="n"/>
      <c r="Q1173" s="27" t="n"/>
      <c r="R1173" s="27" t="n"/>
      <c r="S1173" s="27" t="n"/>
      <c r="T1173" s="27" t="n"/>
    </row>
    <row r="1174" ht="13.8" customFormat="1" customHeight="1" s="70">
      <c r="M1174" s="27" t="n"/>
      <c r="N1174" s="27" t="n"/>
      <c r="O1174" s="27" t="n"/>
      <c r="P1174" s="27" t="n"/>
      <c r="Q1174" s="27" t="n"/>
      <c r="R1174" s="27" t="n"/>
      <c r="S1174" s="27" t="n"/>
      <c r="T1174" s="27" t="n"/>
    </row>
    <row r="1175" ht="13.8" customFormat="1" customHeight="1" s="70">
      <c r="M1175" s="27" t="n"/>
      <c r="N1175" s="27" t="n"/>
      <c r="O1175" s="27" t="n"/>
      <c r="P1175" s="27" t="n"/>
      <c r="Q1175" s="27" t="n"/>
      <c r="R1175" s="27" t="n"/>
      <c r="S1175" s="27" t="n"/>
      <c r="T1175" s="27" t="n"/>
    </row>
    <row r="1176" ht="13.8" customFormat="1" customHeight="1" s="70">
      <c r="M1176" s="27" t="n"/>
      <c r="N1176" s="27" t="n"/>
      <c r="O1176" s="27" t="n"/>
      <c r="P1176" s="27" t="n"/>
      <c r="Q1176" s="27" t="n"/>
      <c r="R1176" s="27" t="n"/>
      <c r="S1176" s="27" t="n"/>
      <c r="T1176" s="27" t="n"/>
    </row>
    <row r="1177" ht="13.8" customFormat="1" customHeight="1" s="70">
      <c r="M1177" s="27" t="n"/>
      <c r="N1177" s="27" t="n"/>
      <c r="O1177" s="27" t="n"/>
      <c r="P1177" s="27" t="n"/>
      <c r="Q1177" s="27" t="n"/>
      <c r="R1177" s="27" t="n"/>
      <c r="S1177" s="27" t="n"/>
      <c r="T1177" s="27" t="n"/>
    </row>
    <row r="1178" ht="13.8" customFormat="1" customHeight="1" s="70">
      <c r="M1178" s="27" t="n"/>
      <c r="N1178" s="27" t="n"/>
      <c r="O1178" s="27" t="n"/>
      <c r="P1178" s="27" t="n"/>
      <c r="Q1178" s="27" t="n"/>
      <c r="R1178" s="27" t="n"/>
      <c r="S1178" s="27" t="n"/>
      <c r="T1178" s="27" t="n"/>
    </row>
    <row r="1179" ht="13.8" customFormat="1" customHeight="1" s="70">
      <c r="M1179" s="27" t="n"/>
      <c r="N1179" s="27" t="n"/>
      <c r="O1179" s="27" t="n"/>
      <c r="P1179" s="27" t="n"/>
      <c r="Q1179" s="27" t="n"/>
      <c r="R1179" s="27" t="n"/>
      <c r="S1179" s="27" t="n"/>
      <c r="T1179" s="27" t="n"/>
    </row>
    <row r="1180" ht="13.8" customFormat="1" customHeight="1" s="70">
      <c r="M1180" s="27" t="n"/>
      <c r="N1180" s="27" t="n"/>
      <c r="O1180" s="27" t="n"/>
      <c r="P1180" s="27" t="n"/>
      <c r="Q1180" s="27" t="n"/>
      <c r="R1180" s="27" t="n"/>
      <c r="S1180" s="27" t="n"/>
      <c r="T1180" s="27" t="n"/>
    </row>
    <row r="1181" ht="13.8" customFormat="1" customHeight="1" s="70">
      <c r="M1181" s="27" t="n"/>
      <c r="N1181" s="27" t="n"/>
      <c r="O1181" s="27" t="n"/>
      <c r="P1181" s="27" t="n"/>
      <c r="Q1181" s="27" t="n"/>
      <c r="R1181" s="27" t="n"/>
      <c r="S1181" s="27" t="n"/>
      <c r="T1181" s="27" t="n"/>
    </row>
    <row r="1182" ht="13.8" customFormat="1" customHeight="1" s="70">
      <c r="M1182" s="27" t="n"/>
      <c r="N1182" s="27" t="n"/>
      <c r="O1182" s="27" t="n"/>
      <c r="P1182" s="27" t="n"/>
      <c r="Q1182" s="27" t="n"/>
      <c r="R1182" s="27" t="n"/>
      <c r="S1182" s="27" t="n"/>
      <c r="T1182" s="27" t="n"/>
    </row>
    <row r="1183" ht="13.8" customFormat="1" customHeight="1" s="70">
      <c r="M1183" s="27" t="n"/>
      <c r="N1183" s="27" t="n"/>
      <c r="O1183" s="27" t="n"/>
      <c r="P1183" s="27" t="n"/>
      <c r="Q1183" s="27" t="n"/>
      <c r="R1183" s="27" t="n"/>
      <c r="S1183" s="27" t="n"/>
      <c r="T1183" s="27" t="n"/>
    </row>
    <row r="1184" ht="13.8" customFormat="1" customHeight="1" s="70">
      <c r="M1184" s="27" t="n"/>
      <c r="N1184" s="27" t="n"/>
      <c r="O1184" s="27" t="n"/>
      <c r="P1184" s="27" t="n"/>
      <c r="Q1184" s="27" t="n"/>
      <c r="R1184" s="27" t="n"/>
      <c r="S1184" s="27" t="n"/>
      <c r="T1184" s="27" t="n"/>
    </row>
    <row r="1185" ht="13.8" customFormat="1" customHeight="1" s="70">
      <c r="M1185" s="27" t="n"/>
      <c r="N1185" s="27" t="n"/>
      <c r="O1185" s="27" t="n"/>
      <c r="P1185" s="27" t="n"/>
      <c r="Q1185" s="27" t="n"/>
      <c r="R1185" s="27" t="n"/>
      <c r="S1185" s="27" t="n"/>
      <c r="T1185" s="27" t="n"/>
    </row>
    <row r="1186" ht="13.8" customFormat="1" customHeight="1" s="70">
      <c r="M1186" s="27" t="n"/>
      <c r="N1186" s="27" t="n"/>
      <c r="O1186" s="27" t="n"/>
      <c r="P1186" s="27" t="n"/>
      <c r="Q1186" s="27" t="n"/>
      <c r="R1186" s="27" t="n"/>
      <c r="S1186" s="27" t="n"/>
      <c r="T1186" s="27" t="n"/>
    </row>
    <row r="1187" ht="13.8" customFormat="1" customHeight="1" s="70">
      <c r="M1187" s="27" t="n"/>
      <c r="N1187" s="27" t="n"/>
      <c r="O1187" s="27" t="n"/>
      <c r="P1187" s="27" t="n"/>
      <c r="Q1187" s="27" t="n"/>
      <c r="R1187" s="27" t="n"/>
      <c r="S1187" s="27" t="n"/>
      <c r="T1187" s="27" t="n"/>
    </row>
    <row r="1188" ht="13.8" customFormat="1" customHeight="1" s="70">
      <c r="M1188" s="27" t="n"/>
      <c r="N1188" s="27" t="n"/>
      <c r="O1188" s="27" t="n"/>
      <c r="P1188" s="27" t="n"/>
      <c r="Q1188" s="27" t="n"/>
      <c r="R1188" s="27" t="n"/>
      <c r="S1188" s="27" t="n"/>
      <c r="T1188" s="27" t="n"/>
    </row>
    <row r="1189" ht="13.8" customFormat="1" customHeight="1" s="70">
      <c r="M1189" s="27" t="n"/>
      <c r="N1189" s="27" t="n"/>
      <c r="O1189" s="27" t="n"/>
      <c r="P1189" s="27" t="n"/>
      <c r="Q1189" s="27" t="n"/>
      <c r="R1189" s="27" t="n"/>
      <c r="S1189" s="27" t="n"/>
      <c r="T1189" s="27" t="n"/>
    </row>
    <row r="1190" ht="13.8" customFormat="1" customHeight="1" s="70">
      <c r="M1190" s="27" t="n"/>
      <c r="N1190" s="27" t="n"/>
      <c r="O1190" s="27" t="n"/>
      <c r="P1190" s="27" t="n"/>
      <c r="Q1190" s="27" t="n"/>
      <c r="R1190" s="27" t="n"/>
      <c r="S1190" s="27" t="n"/>
      <c r="T1190" s="27" t="n"/>
    </row>
    <row r="1191" ht="13.8" customFormat="1" customHeight="1" s="70">
      <c r="M1191" s="27" t="n"/>
      <c r="N1191" s="27" t="n"/>
      <c r="O1191" s="27" t="n"/>
      <c r="P1191" s="27" t="n"/>
      <c r="Q1191" s="27" t="n"/>
      <c r="R1191" s="27" t="n"/>
      <c r="S1191" s="27" t="n"/>
      <c r="T1191" s="27" t="n"/>
    </row>
    <row r="1192" ht="13.8" customFormat="1" customHeight="1" s="70">
      <c r="M1192" s="27" t="n"/>
      <c r="N1192" s="27" t="n"/>
      <c r="O1192" s="27" t="n"/>
      <c r="P1192" s="27" t="n"/>
      <c r="Q1192" s="27" t="n"/>
      <c r="R1192" s="27" t="n"/>
      <c r="S1192" s="27" t="n"/>
      <c r="T1192" s="27" t="n"/>
    </row>
    <row r="1193" ht="13.8" customFormat="1" customHeight="1" s="70">
      <c r="M1193" s="27" t="n"/>
      <c r="N1193" s="27" t="n"/>
      <c r="O1193" s="27" t="n"/>
      <c r="P1193" s="27" t="n"/>
      <c r="Q1193" s="27" t="n"/>
      <c r="R1193" s="27" t="n"/>
      <c r="S1193" s="27" t="n"/>
      <c r="T1193" s="27" t="n"/>
    </row>
    <row r="1194" ht="13.8" customFormat="1" customHeight="1" s="70">
      <c r="M1194" s="27" t="n"/>
      <c r="N1194" s="27" t="n"/>
      <c r="O1194" s="27" t="n"/>
      <c r="P1194" s="27" t="n"/>
      <c r="Q1194" s="27" t="n"/>
      <c r="R1194" s="27" t="n"/>
      <c r="S1194" s="27" t="n"/>
      <c r="T1194" s="27" t="n"/>
    </row>
    <row r="1195" ht="13.8" customFormat="1" customHeight="1" s="70">
      <c r="M1195" s="27" t="n"/>
      <c r="N1195" s="27" t="n"/>
      <c r="O1195" s="27" t="n"/>
      <c r="P1195" s="27" t="n"/>
      <c r="Q1195" s="27" t="n"/>
      <c r="R1195" s="27" t="n"/>
      <c r="S1195" s="27" t="n"/>
      <c r="T1195" s="27" t="n"/>
    </row>
    <row r="1196" ht="13.8" customFormat="1" customHeight="1" s="70">
      <c r="M1196" s="27" t="n"/>
      <c r="N1196" s="27" t="n"/>
      <c r="O1196" s="27" t="n"/>
      <c r="P1196" s="27" t="n"/>
      <c r="Q1196" s="27" t="n"/>
      <c r="R1196" s="27" t="n"/>
      <c r="S1196" s="27" t="n"/>
      <c r="T1196" s="27" t="n"/>
    </row>
    <row r="1197" ht="13.8" customFormat="1" customHeight="1" s="70">
      <c r="M1197" s="27" t="n"/>
      <c r="N1197" s="27" t="n"/>
      <c r="O1197" s="27" t="n"/>
      <c r="P1197" s="27" t="n"/>
      <c r="Q1197" s="27" t="n"/>
      <c r="R1197" s="27" t="n"/>
      <c r="S1197" s="27" t="n"/>
      <c r="T1197" s="27" t="n"/>
    </row>
    <row r="1198" ht="13.8" customFormat="1" customHeight="1" s="70">
      <c r="M1198" s="27" t="n"/>
      <c r="N1198" s="27" t="n"/>
      <c r="O1198" s="27" t="n"/>
      <c r="P1198" s="27" t="n"/>
      <c r="Q1198" s="27" t="n"/>
      <c r="R1198" s="27" t="n"/>
      <c r="S1198" s="27" t="n"/>
      <c r="T1198" s="27" t="n"/>
    </row>
    <row r="1199" ht="13.8" customFormat="1" customHeight="1" s="70">
      <c r="M1199" s="27" t="n"/>
      <c r="N1199" s="27" t="n"/>
      <c r="O1199" s="27" t="n"/>
      <c r="P1199" s="27" t="n"/>
      <c r="Q1199" s="27" t="n"/>
      <c r="R1199" s="27" t="n"/>
      <c r="S1199" s="27" t="n"/>
      <c r="T1199" s="27" t="n"/>
    </row>
    <row r="1200" ht="13.8" customFormat="1" customHeight="1" s="70">
      <c r="M1200" s="27" t="n"/>
      <c r="N1200" s="27" t="n"/>
      <c r="O1200" s="27" t="n"/>
      <c r="P1200" s="27" t="n"/>
      <c r="Q1200" s="27" t="n"/>
      <c r="R1200" s="27" t="n"/>
      <c r="S1200" s="27" t="n"/>
      <c r="T1200" s="27" t="n"/>
    </row>
    <row r="1201" ht="13.8" customFormat="1" customHeight="1" s="70">
      <c r="M1201" s="27" t="n"/>
      <c r="N1201" s="27" t="n"/>
      <c r="O1201" s="27" t="n"/>
      <c r="P1201" s="27" t="n"/>
      <c r="Q1201" s="27" t="n"/>
      <c r="R1201" s="27" t="n"/>
      <c r="S1201" s="27" t="n"/>
      <c r="T1201" s="27" t="n"/>
    </row>
    <row r="1202" ht="13.8" customFormat="1" customHeight="1" s="70">
      <c r="M1202" s="27" t="n"/>
      <c r="N1202" s="27" t="n"/>
      <c r="O1202" s="27" t="n"/>
      <c r="P1202" s="27" t="n"/>
      <c r="Q1202" s="27" t="n"/>
      <c r="R1202" s="27" t="n"/>
      <c r="S1202" s="27" t="n"/>
      <c r="T1202" s="27" t="n"/>
    </row>
    <row r="1203" ht="13.8" customFormat="1" customHeight="1" s="70">
      <c r="M1203" s="27" t="n"/>
      <c r="N1203" s="27" t="n"/>
      <c r="O1203" s="27" t="n"/>
      <c r="P1203" s="27" t="n"/>
      <c r="Q1203" s="27" t="n"/>
      <c r="R1203" s="27" t="n"/>
      <c r="S1203" s="27" t="n"/>
      <c r="T1203" s="27" t="n"/>
    </row>
    <row r="1204" ht="13.8" customFormat="1" customHeight="1" s="70">
      <c r="M1204" s="27" t="n"/>
      <c r="N1204" s="27" t="n"/>
      <c r="O1204" s="27" t="n"/>
      <c r="P1204" s="27" t="n"/>
      <c r="Q1204" s="27" t="n"/>
      <c r="R1204" s="27" t="n"/>
      <c r="S1204" s="27" t="n"/>
      <c r="T1204" s="27" t="n"/>
    </row>
    <row r="1205" ht="13.8" customFormat="1" customHeight="1" s="70">
      <c r="M1205" s="27" t="n"/>
      <c r="N1205" s="27" t="n"/>
      <c r="O1205" s="27" t="n"/>
      <c r="P1205" s="27" t="n"/>
      <c r="Q1205" s="27" t="n"/>
      <c r="R1205" s="27" t="n"/>
      <c r="S1205" s="27" t="n"/>
      <c r="T1205" s="27" t="n"/>
    </row>
    <row r="1206" ht="13.8" customFormat="1" customHeight="1" s="70">
      <c r="M1206" s="27" t="n"/>
      <c r="N1206" s="27" t="n"/>
      <c r="O1206" s="27" t="n"/>
      <c r="P1206" s="27" t="n"/>
      <c r="Q1206" s="27" t="n"/>
      <c r="R1206" s="27" t="n"/>
      <c r="S1206" s="27" t="n"/>
      <c r="T1206" s="27" t="n"/>
    </row>
    <row r="1207" ht="13.8" customFormat="1" customHeight="1" s="70">
      <c r="M1207" s="27" t="n"/>
      <c r="N1207" s="27" t="n"/>
      <c r="O1207" s="27" t="n"/>
      <c r="P1207" s="27" t="n"/>
      <c r="Q1207" s="27" t="n"/>
      <c r="R1207" s="27" t="n"/>
      <c r="S1207" s="27" t="n"/>
      <c r="T1207" s="27" t="n"/>
    </row>
    <row r="1208" ht="13.8" customFormat="1" customHeight="1" s="70">
      <c r="M1208" s="27" t="n"/>
      <c r="N1208" s="27" t="n"/>
      <c r="O1208" s="27" t="n"/>
      <c r="P1208" s="27" t="n"/>
      <c r="Q1208" s="27" t="n"/>
      <c r="R1208" s="27" t="n"/>
      <c r="S1208" s="27" t="n"/>
      <c r="T1208" s="27" t="n"/>
    </row>
    <row r="1209" ht="13.8" customFormat="1" customHeight="1" s="70">
      <c r="M1209" s="27" t="n"/>
      <c r="N1209" s="27" t="n"/>
      <c r="O1209" s="27" t="n"/>
      <c r="P1209" s="27" t="n"/>
      <c r="Q1209" s="27" t="n"/>
      <c r="R1209" s="27" t="n"/>
      <c r="S1209" s="27" t="n"/>
      <c r="T1209" s="27" t="n"/>
    </row>
    <row r="1210" ht="13.8" customFormat="1" customHeight="1" s="70">
      <c r="M1210" s="27" t="n"/>
      <c r="N1210" s="27" t="n"/>
      <c r="O1210" s="27" t="n"/>
      <c r="P1210" s="27" t="n"/>
      <c r="Q1210" s="27" t="n"/>
      <c r="R1210" s="27" t="n"/>
      <c r="S1210" s="27" t="n"/>
      <c r="T1210" s="27" t="n"/>
    </row>
    <row r="1211" ht="13.8" customFormat="1" customHeight="1" s="70">
      <c r="M1211" s="27" t="n"/>
      <c r="N1211" s="27" t="n"/>
      <c r="O1211" s="27" t="n"/>
      <c r="P1211" s="27" t="n"/>
      <c r="Q1211" s="27" t="n"/>
      <c r="R1211" s="27" t="n"/>
      <c r="S1211" s="27" t="n"/>
      <c r="T1211" s="27" t="n"/>
    </row>
    <row r="1212" ht="13.8" customFormat="1" customHeight="1" s="70">
      <c r="M1212" s="27" t="n"/>
      <c r="N1212" s="27" t="n"/>
      <c r="O1212" s="27" t="n"/>
      <c r="P1212" s="27" t="n"/>
      <c r="Q1212" s="27" t="n"/>
      <c r="R1212" s="27" t="n"/>
      <c r="S1212" s="27" t="n"/>
      <c r="T1212" s="27" t="n"/>
    </row>
    <row r="1213" ht="13.8" customFormat="1" customHeight="1" s="70">
      <c r="M1213" s="27" t="n"/>
      <c r="N1213" s="27" t="n"/>
      <c r="O1213" s="27" t="n"/>
      <c r="P1213" s="27" t="n"/>
      <c r="Q1213" s="27" t="n"/>
      <c r="R1213" s="27" t="n"/>
      <c r="S1213" s="27" t="n"/>
      <c r="T1213" s="27" t="n"/>
    </row>
    <row r="1214" ht="13.8" customFormat="1" customHeight="1" s="70">
      <c r="M1214" s="27" t="n"/>
      <c r="N1214" s="27" t="n"/>
      <c r="O1214" s="27" t="n"/>
      <c r="P1214" s="27" t="n"/>
      <c r="Q1214" s="27" t="n"/>
      <c r="R1214" s="27" t="n"/>
      <c r="S1214" s="27" t="n"/>
      <c r="T1214" s="27" t="n"/>
    </row>
    <row r="1215" ht="13.8" customFormat="1" customHeight="1" s="70">
      <c r="M1215" s="27" t="n"/>
      <c r="N1215" s="27" t="n"/>
      <c r="O1215" s="27" t="n"/>
      <c r="P1215" s="27" t="n"/>
      <c r="Q1215" s="27" t="n"/>
      <c r="R1215" s="27" t="n"/>
      <c r="S1215" s="27" t="n"/>
      <c r="T1215" s="27" t="n"/>
    </row>
    <row r="1216" ht="13.8" customFormat="1" customHeight="1" s="70">
      <c r="M1216" s="27" t="n"/>
      <c r="N1216" s="27" t="n"/>
      <c r="O1216" s="27" t="n"/>
      <c r="P1216" s="27" t="n"/>
      <c r="Q1216" s="27" t="n"/>
      <c r="R1216" s="27" t="n"/>
      <c r="S1216" s="27" t="n"/>
      <c r="T1216" s="27" t="n"/>
    </row>
    <row r="1217" ht="13.8" customFormat="1" customHeight="1" s="70">
      <c r="M1217" s="27" t="n"/>
      <c r="N1217" s="27" t="n"/>
      <c r="O1217" s="27" t="n"/>
      <c r="P1217" s="27" t="n"/>
      <c r="Q1217" s="27" t="n"/>
      <c r="R1217" s="27" t="n"/>
      <c r="S1217" s="27" t="n"/>
      <c r="T1217" s="27" t="n"/>
    </row>
    <row r="1218" ht="13.8" customFormat="1" customHeight="1" s="70">
      <c r="M1218" s="27" t="n"/>
      <c r="N1218" s="27" t="n"/>
      <c r="O1218" s="27" t="n"/>
      <c r="P1218" s="27" t="n"/>
      <c r="Q1218" s="27" t="n"/>
      <c r="R1218" s="27" t="n"/>
      <c r="S1218" s="27" t="n"/>
      <c r="T1218" s="27" t="n"/>
    </row>
    <row r="1219" ht="13.8" customFormat="1" customHeight="1" s="70">
      <c r="M1219" s="27" t="n"/>
      <c r="N1219" s="27" t="n"/>
      <c r="O1219" s="27" t="n"/>
      <c r="P1219" s="27" t="n"/>
      <c r="Q1219" s="27" t="n"/>
      <c r="R1219" s="27" t="n"/>
      <c r="S1219" s="27" t="n"/>
      <c r="T1219" s="27" t="n"/>
    </row>
    <row r="1220" ht="13.8" customFormat="1" customHeight="1" s="70">
      <c r="M1220" s="27" t="n"/>
      <c r="N1220" s="27" t="n"/>
      <c r="O1220" s="27" t="n"/>
      <c r="P1220" s="27" t="n"/>
      <c r="Q1220" s="27" t="n"/>
      <c r="R1220" s="27" t="n"/>
      <c r="S1220" s="27" t="n"/>
      <c r="T1220" s="27" t="n"/>
    </row>
    <row r="1221" ht="13.8" customFormat="1" customHeight="1" s="70">
      <c r="M1221" s="27" t="n"/>
      <c r="N1221" s="27" t="n"/>
      <c r="O1221" s="27" t="n"/>
      <c r="P1221" s="27" t="n"/>
      <c r="Q1221" s="27" t="n"/>
      <c r="R1221" s="27" t="n"/>
      <c r="S1221" s="27" t="n"/>
      <c r="T1221" s="27" t="n"/>
    </row>
    <row r="1222" ht="13.8" customFormat="1" customHeight="1" s="70">
      <c r="M1222" s="27" t="n"/>
      <c r="N1222" s="27" t="n"/>
      <c r="O1222" s="27" t="n"/>
      <c r="P1222" s="27" t="n"/>
      <c r="Q1222" s="27" t="n"/>
      <c r="R1222" s="27" t="n"/>
      <c r="S1222" s="27" t="n"/>
      <c r="T1222" s="27" t="n"/>
    </row>
    <row r="1223" ht="13.8" customFormat="1" customHeight="1" s="70">
      <c r="M1223" s="27" t="n"/>
      <c r="N1223" s="27" t="n"/>
      <c r="O1223" s="27" t="n"/>
      <c r="P1223" s="27" t="n"/>
      <c r="Q1223" s="27" t="n"/>
      <c r="R1223" s="27" t="n"/>
      <c r="S1223" s="27" t="n"/>
      <c r="T1223" s="27" t="n"/>
    </row>
    <row r="1224" ht="13.8" customFormat="1" customHeight="1" s="70">
      <c r="M1224" s="27" t="n"/>
      <c r="N1224" s="27" t="n"/>
      <c r="O1224" s="27" t="n"/>
      <c r="P1224" s="27" t="n"/>
      <c r="Q1224" s="27" t="n"/>
      <c r="R1224" s="27" t="n"/>
      <c r="S1224" s="27" t="n"/>
      <c r="T1224" s="27" t="n"/>
    </row>
    <row r="1225" ht="13.8" customFormat="1" customHeight="1" s="70">
      <c r="M1225" s="27" t="n"/>
      <c r="N1225" s="27" t="n"/>
      <c r="O1225" s="27" t="n"/>
      <c r="P1225" s="27" t="n"/>
      <c r="Q1225" s="27" t="n"/>
      <c r="R1225" s="27" t="n"/>
      <c r="S1225" s="27" t="n"/>
      <c r="T1225" s="27" t="n"/>
    </row>
    <row r="1226" ht="13.8" customFormat="1" customHeight="1" s="70">
      <c r="M1226" s="27" t="n"/>
      <c r="N1226" s="27" t="n"/>
      <c r="O1226" s="27" t="n"/>
      <c r="P1226" s="27" t="n"/>
      <c r="Q1226" s="27" t="n"/>
      <c r="R1226" s="27" t="n"/>
      <c r="S1226" s="27" t="n"/>
      <c r="T1226" s="27" t="n"/>
    </row>
    <row r="1227" ht="13.8" customFormat="1" customHeight="1" s="70">
      <c r="M1227" s="27" t="n"/>
      <c r="N1227" s="27" t="n"/>
      <c r="O1227" s="27" t="n"/>
      <c r="P1227" s="27" t="n"/>
      <c r="Q1227" s="27" t="n"/>
      <c r="R1227" s="27" t="n"/>
      <c r="S1227" s="27" t="n"/>
      <c r="T1227" s="27" t="n"/>
    </row>
    <row r="1228" ht="13.8" customFormat="1" customHeight="1" s="70">
      <c r="M1228" s="27" t="n"/>
      <c r="N1228" s="27" t="n"/>
      <c r="O1228" s="27" t="n"/>
      <c r="P1228" s="27" t="n"/>
      <c r="Q1228" s="27" t="n"/>
      <c r="R1228" s="27" t="n"/>
      <c r="S1228" s="27" t="n"/>
      <c r="T1228" s="27" t="n"/>
    </row>
    <row r="1229" ht="13.8" customFormat="1" customHeight="1" s="70">
      <c r="M1229" s="27" t="n"/>
      <c r="N1229" s="27" t="n"/>
      <c r="O1229" s="27" t="n"/>
      <c r="P1229" s="27" t="n"/>
      <c r="Q1229" s="27" t="n"/>
      <c r="R1229" s="27" t="n"/>
      <c r="S1229" s="27" t="n"/>
      <c r="T1229" s="27" t="n"/>
    </row>
    <row r="1230" ht="13.8" customFormat="1" customHeight="1" s="70">
      <c r="M1230" s="27" t="n"/>
      <c r="N1230" s="27" t="n"/>
      <c r="O1230" s="27" t="n"/>
      <c r="P1230" s="27" t="n"/>
      <c r="Q1230" s="27" t="n"/>
      <c r="R1230" s="27" t="n"/>
      <c r="S1230" s="27" t="n"/>
      <c r="T1230" s="27" t="n"/>
    </row>
    <row r="1231" ht="13.8" customFormat="1" customHeight="1" s="70">
      <c r="M1231" s="27" t="n"/>
      <c r="N1231" s="27" t="n"/>
      <c r="O1231" s="27" t="n"/>
      <c r="P1231" s="27" t="n"/>
      <c r="Q1231" s="27" t="n"/>
      <c r="R1231" s="27" t="n"/>
      <c r="S1231" s="27" t="n"/>
      <c r="T1231" s="27" t="n"/>
    </row>
    <row r="1232" ht="13.8" customFormat="1" customHeight="1" s="70">
      <c r="M1232" s="27" t="n"/>
      <c r="N1232" s="27" t="n"/>
      <c r="O1232" s="27" t="n"/>
      <c r="P1232" s="27" t="n"/>
      <c r="Q1232" s="27" t="n"/>
      <c r="R1232" s="27" t="n"/>
      <c r="S1232" s="27" t="n"/>
      <c r="T1232" s="27" t="n"/>
    </row>
    <row r="1233" ht="13.8" customFormat="1" customHeight="1" s="70">
      <c r="M1233" s="27" t="n"/>
      <c r="N1233" s="27" t="n"/>
      <c r="O1233" s="27" t="n"/>
      <c r="P1233" s="27" t="n"/>
      <c r="Q1233" s="27" t="n"/>
      <c r="R1233" s="27" t="n"/>
      <c r="S1233" s="27" t="n"/>
      <c r="T1233" s="27" t="n"/>
    </row>
    <row r="1234" ht="13.8" customFormat="1" customHeight="1" s="70">
      <c r="M1234" s="27" t="n"/>
      <c r="N1234" s="27" t="n"/>
      <c r="O1234" s="27" t="n"/>
      <c r="P1234" s="27" t="n"/>
      <c r="Q1234" s="27" t="n"/>
      <c r="R1234" s="27" t="n"/>
      <c r="S1234" s="27" t="n"/>
      <c r="T1234" s="27" t="n"/>
    </row>
    <row r="1235" ht="13.8" customFormat="1" customHeight="1" s="70">
      <c r="M1235" s="27" t="n"/>
      <c r="N1235" s="27" t="n"/>
      <c r="O1235" s="27" t="n"/>
      <c r="P1235" s="27" t="n"/>
      <c r="Q1235" s="27" t="n"/>
      <c r="R1235" s="27" t="n"/>
      <c r="S1235" s="27" t="n"/>
      <c r="T1235" s="27" t="n"/>
    </row>
    <row r="1236" ht="13.8" customFormat="1" customHeight="1" s="70">
      <c r="M1236" s="27" t="n"/>
      <c r="N1236" s="27" t="n"/>
      <c r="O1236" s="27" t="n"/>
      <c r="P1236" s="27" t="n"/>
      <c r="Q1236" s="27" t="n"/>
      <c r="R1236" s="27" t="n"/>
      <c r="S1236" s="27" t="n"/>
      <c r="T1236" s="27" t="n"/>
    </row>
    <row r="1237" ht="13.8" customFormat="1" customHeight="1" s="70">
      <c r="M1237" s="27" t="n"/>
      <c r="N1237" s="27" t="n"/>
      <c r="O1237" s="27" t="n"/>
      <c r="P1237" s="27" t="n"/>
      <c r="Q1237" s="27" t="n"/>
      <c r="R1237" s="27" t="n"/>
      <c r="S1237" s="27" t="n"/>
      <c r="T1237" s="27" t="n"/>
    </row>
    <row r="1238" ht="13.8" customFormat="1" customHeight="1" s="70">
      <c r="M1238" s="27" t="n"/>
      <c r="N1238" s="27" t="n"/>
      <c r="O1238" s="27" t="n"/>
      <c r="P1238" s="27" t="n"/>
      <c r="Q1238" s="27" t="n"/>
      <c r="R1238" s="27" t="n"/>
      <c r="S1238" s="27" t="n"/>
      <c r="T1238" s="27" t="n"/>
    </row>
    <row r="1239" ht="13.8" customFormat="1" customHeight="1" s="70">
      <c r="M1239" s="27" t="n"/>
      <c r="N1239" s="27" t="n"/>
      <c r="O1239" s="27" t="n"/>
      <c r="P1239" s="27" t="n"/>
      <c r="Q1239" s="27" t="n"/>
      <c r="R1239" s="27" t="n"/>
      <c r="S1239" s="27" t="n"/>
      <c r="T1239" s="27" t="n"/>
    </row>
    <row r="1240" ht="13.8" customFormat="1" customHeight="1" s="70">
      <c r="M1240" s="27" t="n"/>
      <c r="N1240" s="27" t="n"/>
      <c r="O1240" s="27" t="n"/>
      <c r="P1240" s="27" t="n"/>
      <c r="Q1240" s="27" t="n"/>
      <c r="R1240" s="27" t="n"/>
      <c r="S1240" s="27" t="n"/>
      <c r="T1240" s="27" t="n"/>
    </row>
    <row r="1241" ht="13.8" customFormat="1" customHeight="1" s="70">
      <c r="M1241" s="27" t="n"/>
      <c r="N1241" s="27" t="n"/>
      <c r="O1241" s="27" t="n"/>
      <c r="P1241" s="27" t="n"/>
      <c r="Q1241" s="27" t="n"/>
      <c r="R1241" s="27" t="n"/>
      <c r="S1241" s="27" t="n"/>
      <c r="T1241" s="27" t="n"/>
    </row>
    <row r="1242" ht="13.8" customFormat="1" customHeight="1" s="70">
      <c r="M1242" s="27" t="n"/>
      <c r="N1242" s="27" t="n"/>
      <c r="O1242" s="27" t="n"/>
      <c r="P1242" s="27" t="n"/>
      <c r="Q1242" s="27" t="n"/>
      <c r="R1242" s="27" t="n"/>
      <c r="S1242" s="27" t="n"/>
      <c r="T1242" s="27" t="n"/>
    </row>
    <row r="1243" ht="13.8" customFormat="1" customHeight="1" s="70">
      <c r="M1243" s="27" t="n"/>
      <c r="N1243" s="27" t="n"/>
      <c r="O1243" s="27" t="n"/>
      <c r="P1243" s="27" t="n"/>
      <c r="Q1243" s="27" t="n"/>
      <c r="R1243" s="27" t="n"/>
      <c r="S1243" s="27" t="n"/>
      <c r="T1243" s="27" t="n"/>
    </row>
    <row r="1244" ht="13.8" customFormat="1" customHeight="1" s="70">
      <c r="M1244" s="27" t="n"/>
      <c r="N1244" s="27" t="n"/>
      <c r="O1244" s="27" t="n"/>
      <c r="P1244" s="27" t="n"/>
      <c r="Q1244" s="27" t="n"/>
      <c r="R1244" s="27" t="n"/>
      <c r="S1244" s="27" t="n"/>
      <c r="T1244" s="27" t="n"/>
    </row>
    <row r="1245" ht="13.8" customFormat="1" customHeight="1" s="70">
      <c r="M1245" s="27" t="n"/>
      <c r="N1245" s="27" t="n"/>
      <c r="O1245" s="27" t="n"/>
      <c r="P1245" s="27" t="n"/>
      <c r="Q1245" s="27" t="n"/>
      <c r="R1245" s="27" t="n"/>
      <c r="S1245" s="27" t="n"/>
      <c r="T1245" s="27" t="n"/>
    </row>
    <row r="1246" ht="13.8" customFormat="1" customHeight="1" s="70">
      <c r="M1246" s="27" t="n"/>
      <c r="N1246" s="27" t="n"/>
      <c r="O1246" s="27" t="n"/>
      <c r="P1246" s="27" t="n"/>
      <c r="Q1246" s="27" t="n"/>
      <c r="R1246" s="27" t="n"/>
      <c r="S1246" s="27" t="n"/>
      <c r="T1246" s="27" t="n"/>
    </row>
    <row r="1247" ht="13.8" customFormat="1" customHeight="1" s="70">
      <c r="M1247" s="27" t="n"/>
      <c r="N1247" s="27" t="n"/>
      <c r="O1247" s="27" t="n"/>
      <c r="P1247" s="27" t="n"/>
      <c r="Q1247" s="27" t="n"/>
      <c r="R1247" s="27" t="n"/>
      <c r="S1247" s="27" t="n"/>
      <c r="T1247" s="27" t="n"/>
    </row>
    <row r="1248" ht="13.8" customFormat="1" customHeight="1" s="70">
      <c r="M1248" s="27" t="n"/>
      <c r="N1248" s="27" t="n"/>
      <c r="O1248" s="27" t="n"/>
      <c r="P1248" s="27" t="n"/>
      <c r="Q1248" s="27" t="n"/>
      <c r="R1248" s="27" t="n"/>
      <c r="S1248" s="27" t="n"/>
      <c r="T1248" s="27" t="n"/>
    </row>
    <row r="1249" ht="13.8" customFormat="1" customHeight="1" s="70">
      <c r="M1249" s="27" t="n"/>
      <c r="N1249" s="27" t="n"/>
      <c r="O1249" s="27" t="n"/>
      <c r="P1249" s="27" t="n"/>
      <c r="Q1249" s="27" t="n"/>
      <c r="R1249" s="27" t="n"/>
      <c r="S1249" s="27" t="n"/>
      <c r="T1249" s="27" t="n"/>
    </row>
    <row r="1250" ht="13.8" customFormat="1" customHeight="1" s="70">
      <c r="M1250" s="27" t="n"/>
      <c r="N1250" s="27" t="n"/>
      <c r="O1250" s="27" t="n"/>
      <c r="P1250" s="27" t="n"/>
      <c r="Q1250" s="27" t="n"/>
      <c r="R1250" s="27" t="n"/>
      <c r="S1250" s="27" t="n"/>
      <c r="T1250" s="27" t="n"/>
    </row>
    <row r="1251" ht="13.8" customFormat="1" customHeight="1" s="70">
      <c r="M1251" s="27" t="n"/>
      <c r="N1251" s="27" t="n"/>
      <c r="O1251" s="27" t="n"/>
      <c r="P1251" s="27" t="n"/>
      <c r="Q1251" s="27" t="n"/>
      <c r="R1251" s="27" t="n"/>
      <c r="S1251" s="27" t="n"/>
      <c r="T1251" s="27" t="n"/>
    </row>
    <row r="1252" ht="13.8" customFormat="1" customHeight="1" s="70">
      <c r="M1252" s="27" t="n"/>
      <c r="N1252" s="27" t="n"/>
      <c r="O1252" s="27" t="n"/>
      <c r="P1252" s="27" t="n"/>
      <c r="Q1252" s="27" t="n"/>
      <c r="R1252" s="27" t="n"/>
      <c r="S1252" s="27" t="n"/>
      <c r="T1252" s="27" t="n"/>
    </row>
    <row r="1253" ht="13.8" customFormat="1" customHeight="1" s="70">
      <c r="M1253" s="27" t="n"/>
      <c r="N1253" s="27" t="n"/>
      <c r="O1253" s="27" t="n"/>
      <c r="P1253" s="27" t="n"/>
      <c r="Q1253" s="27" t="n"/>
      <c r="R1253" s="27" t="n"/>
      <c r="S1253" s="27" t="n"/>
      <c r="T1253" s="27" t="n"/>
    </row>
    <row r="1254" ht="13.8" customFormat="1" customHeight="1" s="70">
      <c r="M1254" s="27" t="n"/>
      <c r="N1254" s="27" t="n"/>
      <c r="O1254" s="27" t="n"/>
      <c r="P1254" s="27" t="n"/>
      <c r="Q1254" s="27" t="n"/>
      <c r="R1254" s="27" t="n"/>
      <c r="S1254" s="27" t="n"/>
      <c r="T1254" s="27" t="n"/>
    </row>
    <row r="1255" ht="13.8" customFormat="1" customHeight="1" s="70">
      <c r="M1255" s="27" t="n"/>
      <c r="N1255" s="27" t="n"/>
      <c r="O1255" s="27" t="n"/>
      <c r="P1255" s="27" t="n"/>
      <c r="Q1255" s="27" t="n"/>
      <c r="R1255" s="27" t="n"/>
      <c r="S1255" s="27" t="n"/>
      <c r="T1255" s="27" t="n"/>
    </row>
    <row r="1256" ht="13.8" customFormat="1" customHeight="1" s="70">
      <c r="M1256" s="27" t="n"/>
      <c r="N1256" s="27" t="n"/>
      <c r="O1256" s="27" t="n"/>
      <c r="P1256" s="27" t="n"/>
      <c r="Q1256" s="27" t="n"/>
      <c r="R1256" s="27" t="n"/>
      <c r="S1256" s="27" t="n"/>
      <c r="T1256" s="27" t="n"/>
    </row>
    <row r="1257" ht="13.8" customFormat="1" customHeight="1" s="70">
      <c r="M1257" s="27" t="n"/>
      <c r="N1257" s="27" t="n"/>
      <c r="O1257" s="27" t="n"/>
      <c r="P1257" s="27" t="n"/>
      <c r="Q1257" s="27" t="n"/>
      <c r="R1257" s="27" t="n"/>
      <c r="S1257" s="27" t="n"/>
      <c r="T1257" s="27" t="n"/>
    </row>
    <row r="1258" ht="13.8" customFormat="1" customHeight="1" s="70">
      <c r="M1258" s="27" t="n"/>
      <c r="N1258" s="27" t="n"/>
      <c r="O1258" s="27" t="n"/>
      <c r="P1258" s="27" t="n"/>
      <c r="Q1258" s="27" t="n"/>
      <c r="R1258" s="27" t="n"/>
      <c r="S1258" s="27" t="n"/>
      <c r="T1258" s="27" t="n"/>
    </row>
    <row r="1259" ht="13.8" customFormat="1" customHeight="1" s="70">
      <c r="M1259" s="27" t="n"/>
      <c r="N1259" s="27" t="n"/>
      <c r="O1259" s="27" t="n"/>
      <c r="P1259" s="27" t="n"/>
      <c r="Q1259" s="27" t="n"/>
      <c r="R1259" s="27" t="n"/>
      <c r="S1259" s="27" t="n"/>
      <c r="T1259" s="27" t="n"/>
    </row>
    <row r="1260" ht="13.8" customFormat="1" customHeight="1" s="70">
      <c r="M1260" s="27" t="n"/>
      <c r="N1260" s="27" t="n"/>
      <c r="O1260" s="27" t="n"/>
      <c r="P1260" s="27" t="n"/>
      <c r="Q1260" s="27" t="n"/>
      <c r="R1260" s="27" t="n"/>
      <c r="S1260" s="27" t="n"/>
      <c r="T1260" s="27" t="n"/>
    </row>
    <row r="1261" ht="13.8" customFormat="1" customHeight="1" s="70">
      <c r="M1261" s="27" t="n"/>
      <c r="N1261" s="27" t="n"/>
      <c r="O1261" s="27" t="n"/>
      <c r="P1261" s="27" t="n"/>
      <c r="Q1261" s="27" t="n"/>
      <c r="R1261" s="27" t="n"/>
      <c r="S1261" s="27" t="n"/>
      <c r="T1261" s="27" t="n"/>
    </row>
    <row r="1262" ht="13.8" customFormat="1" customHeight="1" s="70">
      <c r="M1262" s="27" t="n"/>
      <c r="N1262" s="27" t="n"/>
      <c r="O1262" s="27" t="n"/>
      <c r="P1262" s="27" t="n"/>
      <c r="Q1262" s="27" t="n"/>
      <c r="R1262" s="27" t="n"/>
      <c r="S1262" s="27" t="n"/>
      <c r="T1262" s="27" t="n"/>
    </row>
    <row r="1263" ht="13.8" customFormat="1" customHeight="1" s="70">
      <c r="M1263" s="27" t="n"/>
      <c r="N1263" s="27" t="n"/>
      <c r="O1263" s="27" t="n"/>
      <c r="P1263" s="27" t="n"/>
      <c r="Q1263" s="27" t="n"/>
      <c r="R1263" s="27" t="n"/>
      <c r="S1263" s="27" t="n"/>
      <c r="T1263" s="27" t="n"/>
    </row>
    <row r="1264" ht="13.8" customFormat="1" customHeight="1" s="70">
      <c r="M1264" s="27" t="n"/>
      <c r="N1264" s="27" t="n"/>
      <c r="O1264" s="27" t="n"/>
      <c r="P1264" s="27" t="n"/>
      <c r="Q1264" s="27" t="n"/>
      <c r="R1264" s="27" t="n"/>
      <c r="S1264" s="27" t="n"/>
      <c r="T1264" s="27" t="n"/>
    </row>
    <row r="1265" ht="13.8" customFormat="1" customHeight="1" s="70">
      <c r="M1265" s="27" t="n"/>
      <c r="N1265" s="27" t="n"/>
      <c r="O1265" s="27" t="n"/>
      <c r="P1265" s="27" t="n"/>
      <c r="Q1265" s="27" t="n"/>
      <c r="R1265" s="27" t="n"/>
      <c r="S1265" s="27" t="n"/>
      <c r="T1265" s="27" t="n"/>
    </row>
    <row r="1266" ht="13.8" customFormat="1" customHeight="1" s="70">
      <c r="M1266" s="27" t="n"/>
      <c r="N1266" s="27" t="n"/>
      <c r="O1266" s="27" t="n"/>
      <c r="P1266" s="27" t="n"/>
      <c r="Q1266" s="27" t="n"/>
      <c r="R1266" s="27" t="n"/>
      <c r="S1266" s="27" t="n"/>
      <c r="T1266" s="27" t="n"/>
    </row>
    <row r="1267" ht="13.8" customFormat="1" customHeight="1" s="70">
      <c r="M1267" s="27" t="n"/>
      <c r="N1267" s="27" t="n"/>
      <c r="O1267" s="27" t="n"/>
      <c r="P1267" s="27" t="n"/>
      <c r="Q1267" s="27" t="n"/>
      <c r="R1267" s="27" t="n"/>
      <c r="S1267" s="27" t="n"/>
      <c r="T1267" s="27" t="n"/>
    </row>
    <row r="1268" ht="13.8" customFormat="1" customHeight="1" s="70">
      <c r="M1268" s="27" t="n"/>
      <c r="N1268" s="27" t="n"/>
      <c r="O1268" s="27" t="n"/>
      <c r="P1268" s="27" t="n"/>
      <c r="Q1268" s="27" t="n"/>
      <c r="R1268" s="27" t="n"/>
      <c r="S1268" s="27" t="n"/>
      <c r="T1268" s="27" t="n"/>
    </row>
    <row r="1269" ht="13.8" customFormat="1" customHeight="1" s="70">
      <c r="M1269" s="27" t="n"/>
      <c r="N1269" s="27" t="n"/>
      <c r="O1269" s="27" t="n"/>
      <c r="P1269" s="27" t="n"/>
      <c r="Q1269" s="27" t="n"/>
      <c r="R1269" s="27" t="n"/>
      <c r="S1269" s="27" t="n"/>
      <c r="T1269" s="27" t="n"/>
    </row>
    <row r="1270" ht="13.8" customFormat="1" customHeight="1" s="70">
      <c r="M1270" s="27" t="n"/>
      <c r="N1270" s="27" t="n"/>
      <c r="O1270" s="27" t="n"/>
      <c r="P1270" s="27" t="n"/>
      <c r="Q1270" s="27" t="n"/>
      <c r="R1270" s="27" t="n"/>
      <c r="S1270" s="27" t="n"/>
      <c r="T1270" s="27" t="n"/>
    </row>
    <row r="1271" ht="13.8" customFormat="1" customHeight="1" s="70">
      <c r="M1271" s="27" t="n"/>
      <c r="N1271" s="27" t="n"/>
      <c r="O1271" s="27" t="n"/>
      <c r="P1271" s="27" t="n"/>
      <c r="Q1271" s="27" t="n"/>
      <c r="R1271" s="27" t="n"/>
      <c r="S1271" s="27" t="n"/>
      <c r="T1271" s="27" t="n"/>
    </row>
    <row r="1272" ht="13.8" customFormat="1" customHeight="1" s="70">
      <c r="M1272" s="27" t="n"/>
      <c r="N1272" s="27" t="n"/>
      <c r="O1272" s="27" t="n"/>
      <c r="P1272" s="27" t="n"/>
      <c r="Q1272" s="27" t="n"/>
      <c r="R1272" s="27" t="n"/>
      <c r="S1272" s="27" t="n"/>
      <c r="T1272" s="27" t="n"/>
    </row>
    <row r="1273" ht="13.8" customFormat="1" customHeight="1" s="70">
      <c r="M1273" s="27" t="n"/>
      <c r="N1273" s="27" t="n"/>
      <c r="O1273" s="27" t="n"/>
      <c r="P1273" s="27" t="n"/>
      <c r="Q1273" s="27" t="n"/>
      <c r="R1273" s="27" t="n"/>
      <c r="S1273" s="27" t="n"/>
      <c r="T1273" s="27" t="n"/>
    </row>
    <row r="1274" ht="13.8" customFormat="1" customHeight="1" s="70">
      <c r="M1274" s="27" t="n"/>
      <c r="N1274" s="27" t="n"/>
      <c r="O1274" s="27" t="n"/>
      <c r="P1274" s="27" t="n"/>
      <c r="Q1274" s="27" t="n"/>
      <c r="R1274" s="27" t="n"/>
      <c r="S1274" s="27" t="n"/>
      <c r="T1274" s="27" t="n"/>
    </row>
    <row r="1275" ht="13.8" customFormat="1" customHeight="1" s="70">
      <c r="M1275" s="27" t="n"/>
      <c r="N1275" s="27" t="n"/>
      <c r="O1275" s="27" t="n"/>
      <c r="P1275" s="27" t="n"/>
      <c r="Q1275" s="27" t="n"/>
      <c r="R1275" s="27" t="n"/>
      <c r="S1275" s="27" t="n"/>
      <c r="T1275" s="27" t="n"/>
    </row>
    <row r="1276" ht="13.8" customFormat="1" customHeight="1" s="70">
      <c r="M1276" s="27" t="n"/>
      <c r="N1276" s="27" t="n"/>
      <c r="O1276" s="27" t="n"/>
      <c r="P1276" s="27" t="n"/>
      <c r="Q1276" s="27" t="n"/>
      <c r="R1276" s="27" t="n"/>
      <c r="S1276" s="27" t="n"/>
      <c r="T1276" s="27" t="n"/>
    </row>
    <row r="1277" ht="13.8" customFormat="1" customHeight="1" s="70">
      <c r="M1277" s="27" t="n"/>
      <c r="N1277" s="27" t="n"/>
      <c r="O1277" s="27" t="n"/>
      <c r="P1277" s="27" t="n"/>
      <c r="Q1277" s="27" t="n"/>
      <c r="R1277" s="27" t="n"/>
      <c r="S1277" s="27" t="n"/>
      <c r="T1277" s="27" t="n"/>
    </row>
    <row r="1278" ht="13.8" customFormat="1" customHeight="1" s="70">
      <c r="M1278" s="27" t="n"/>
      <c r="N1278" s="27" t="n"/>
      <c r="O1278" s="27" t="n"/>
      <c r="P1278" s="27" t="n"/>
      <c r="Q1278" s="27" t="n"/>
      <c r="R1278" s="27" t="n"/>
      <c r="S1278" s="27" t="n"/>
      <c r="T1278" s="27" t="n"/>
    </row>
    <row r="1279" ht="13.8" customFormat="1" customHeight="1" s="70">
      <c r="M1279" s="27" t="n"/>
      <c r="N1279" s="27" t="n"/>
      <c r="O1279" s="27" t="n"/>
      <c r="P1279" s="27" t="n"/>
      <c r="Q1279" s="27" t="n"/>
      <c r="R1279" s="27" t="n"/>
      <c r="S1279" s="27" t="n"/>
      <c r="T1279" s="27" t="n"/>
    </row>
    <row r="1280" ht="13.8" customFormat="1" customHeight="1" s="70">
      <c r="M1280" s="27" t="n"/>
      <c r="N1280" s="27" t="n"/>
      <c r="O1280" s="27" t="n"/>
      <c r="P1280" s="27" t="n"/>
      <c r="Q1280" s="27" t="n"/>
      <c r="R1280" s="27" t="n"/>
      <c r="S1280" s="27" t="n"/>
      <c r="T1280" s="27" t="n"/>
    </row>
    <row r="1281" ht="13.8" customFormat="1" customHeight="1" s="70">
      <c r="M1281" s="27" t="n"/>
      <c r="N1281" s="27" t="n"/>
      <c r="O1281" s="27" t="n"/>
      <c r="P1281" s="27" t="n"/>
      <c r="Q1281" s="27" t="n"/>
      <c r="R1281" s="27" t="n"/>
      <c r="S1281" s="27" t="n"/>
      <c r="T1281" s="27" t="n"/>
    </row>
    <row r="1282" ht="13.8" customFormat="1" customHeight="1" s="70">
      <c r="M1282" s="27" t="n"/>
      <c r="N1282" s="27" t="n"/>
      <c r="O1282" s="27" t="n"/>
      <c r="P1282" s="27" t="n"/>
      <c r="Q1282" s="27" t="n"/>
      <c r="R1282" s="27" t="n"/>
      <c r="S1282" s="27" t="n"/>
      <c r="T1282" s="27" t="n"/>
    </row>
    <row r="1283" ht="13.8" customFormat="1" customHeight="1" s="70">
      <c r="M1283" s="27" t="n"/>
      <c r="N1283" s="27" t="n"/>
      <c r="O1283" s="27" t="n"/>
      <c r="P1283" s="27" t="n"/>
      <c r="Q1283" s="27" t="n"/>
      <c r="R1283" s="27" t="n"/>
      <c r="S1283" s="27" t="n"/>
      <c r="T1283" s="27" t="n"/>
    </row>
    <row r="1284" ht="13.8" customFormat="1" customHeight="1" s="70">
      <c r="M1284" s="27" t="n"/>
      <c r="N1284" s="27" t="n"/>
      <c r="O1284" s="27" t="n"/>
      <c r="P1284" s="27" t="n"/>
      <c r="Q1284" s="27" t="n"/>
      <c r="R1284" s="27" t="n"/>
      <c r="S1284" s="27" t="n"/>
      <c r="T1284" s="27" t="n"/>
    </row>
    <row r="1285" ht="13.8" customFormat="1" customHeight="1" s="70">
      <c r="M1285" s="27" t="n"/>
      <c r="N1285" s="27" t="n"/>
      <c r="O1285" s="27" t="n"/>
      <c r="P1285" s="27" t="n"/>
      <c r="Q1285" s="27" t="n"/>
      <c r="R1285" s="27" t="n"/>
      <c r="S1285" s="27" t="n"/>
      <c r="T1285" s="27" t="n"/>
    </row>
    <row r="1286" ht="13.8" customFormat="1" customHeight="1" s="70">
      <c r="M1286" s="27" t="n"/>
      <c r="N1286" s="27" t="n"/>
      <c r="O1286" s="27" t="n"/>
      <c r="P1286" s="27" t="n"/>
      <c r="Q1286" s="27" t="n"/>
      <c r="R1286" s="27" t="n"/>
      <c r="S1286" s="27" t="n"/>
      <c r="T1286" s="27" t="n"/>
    </row>
    <row r="1287" ht="13.8" customFormat="1" customHeight="1" s="70">
      <c r="M1287" s="27" t="n"/>
      <c r="N1287" s="27" t="n"/>
      <c r="O1287" s="27" t="n"/>
      <c r="P1287" s="27" t="n"/>
      <c r="Q1287" s="27" t="n"/>
      <c r="R1287" s="27" t="n"/>
      <c r="S1287" s="27" t="n"/>
      <c r="T1287" s="27" t="n"/>
    </row>
    <row r="1288" ht="13.8" customFormat="1" customHeight="1" s="70">
      <c r="M1288" s="27" t="n"/>
      <c r="N1288" s="27" t="n"/>
      <c r="O1288" s="27" t="n"/>
      <c r="P1288" s="27" t="n"/>
      <c r="Q1288" s="27" t="n"/>
      <c r="R1288" s="27" t="n"/>
      <c r="S1288" s="27" t="n"/>
      <c r="T1288" s="27" t="n"/>
    </row>
    <row r="1289" ht="13.8" customFormat="1" customHeight="1" s="70">
      <c r="M1289" s="27" t="n"/>
      <c r="N1289" s="27" t="n"/>
      <c r="O1289" s="27" t="n"/>
      <c r="P1289" s="27" t="n"/>
      <c r="Q1289" s="27" t="n"/>
      <c r="R1289" s="27" t="n"/>
      <c r="S1289" s="27" t="n"/>
      <c r="T1289" s="27" t="n"/>
    </row>
    <row r="1290" ht="13.8" customFormat="1" customHeight="1" s="70">
      <c r="M1290" s="27" t="n"/>
      <c r="N1290" s="27" t="n"/>
      <c r="O1290" s="27" t="n"/>
      <c r="P1290" s="27" t="n"/>
      <c r="Q1290" s="27" t="n"/>
      <c r="R1290" s="27" t="n"/>
      <c r="S1290" s="27" t="n"/>
      <c r="T1290" s="27" t="n"/>
    </row>
    <row r="1291" ht="13.8" customFormat="1" customHeight="1" s="70">
      <c r="M1291" s="27" t="n"/>
      <c r="N1291" s="27" t="n"/>
      <c r="O1291" s="27" t="n"/>
      <c r="P1291" s="27" t="n"/>
      <c r="Q1291" s="27" t="n"/>
      <c r="R1291" s="27" t="n"/>
      <c r="S1291" s="27" t="n"/>
      <c r="T1291" s="27" t="n"/>
    </row>
    <row r="1292" ht="13.8" customFormat="1" customHeight="1" s="70">
      <c r="M1292" s="27" t="n"/>
      <c r="N1292" s="27" t="n"/>
      <c r="O1292" s="27" t="n"/>
      <c r="P1292" s="27" t="n"/>
      <c r="Q1292" s="27" t="n"/>
      <c r="R1292" s="27" t="n"/>
      <c r="S1292" s="27" t="n"/>
      <c r="T1292" s="27" t="n"/>
    </row>
    <row r="1293" ht="13.8" customFormat="1" customHeight="1" s="70">
      <c r="M1293" s="27" t="n"/>
      <c r="N1293" s="27" t="n"/>
      <c r="O1293" s="27" t="n"/>
      <c r="P1293" s="27" t="n"/>
      <c r="Q1293" s="27" t="n"/>
      <c r="R1293" s="27" t="n"/>
      <c r="S1293" s="27" t="n"/>
      <c r="T1293" s="27" t="n"/>
    </row>
    <row r="1294" ht="13.8" customFormat="1" customHeight="1" s="70">
      <c r="M1294" s="27" t="n"/>
      <c r="N1294" s="27" t="n"/>
      <c r="O1294" s="27" t="n"/>
      <c r="P1294" s="27" t="n"/>
      <c r="Q1294" s="27" t="n"/>
      <c r="R1294" s="27" t="n"/>
      <c r="S1294" s="27" t="n"/>
      <c r="T1294" s="27" t="n"/>
    </row>
    <row r="1295" ht="13.8" customFormat="1" customHeight="1" s="70">
      <c r="M1295" s="27" t="n"/>
      <c r="N1295" s="27" t="n"/>
      <c r="O1295" s="27" t="n"/>
      <c r="P1295" s="27" t="n"/>
      <c r="Q1295" s="27" t="n"/>
      <c r="R1295" s="27" t="n"/>
      <c r="S1295" s="27" t="n"/>
      <c r="T1295" s="27" t="n"/>
    </row>
    <row r="1296" ht="13.8" customFormat="1" customHeight="1" s="70">
      <c r="M1296" s="27" t="n"/>
      <c r="N1296" s="27" t="n"/>
      <c r="O1296" s="27" t="n"/>
      <c r="P1296" s="27" t="n"/>
      <c r="Q1296" s="27" t="n"/>
      <c r="R1296" s="27" t="n"/>
      <c r="S1296" s="27" t="n"/>
      <c r="T1296" s="27" t="n"/>
    </row>
    <row r="1297" ht="13.8" customFormat="1" customHeight="1" s="70">
      <c r="M1297" s="27" t="n"/>
      <c r="N1297" s="27" t="n"/>
      <c r="O1297" s="27" t="n"/>
      <c r="P1297" s="27" t="n"/>
      <c r="Q1297" s="27" t="n"/>
      <c r="R1297" s="27" t="n"/>
      <c r="S1297" s="27" t="n"/>
      <c r="T1297" s="27" t="n"/>
    </row>
    <row r="1298" ht="13.8" customFormat="1" customHeight="1" s="70">
      <c r="M1298" s="27" t="n"/>
      <c r="N1298" s="27" t="n"/>
      <c r="O1298" s="27" t="n"/>
      <c r="P1298" s="27" t="n"/>
      <c r="Q1298" s="27" t="n"/>
      <c r="R1298" s="27" t="n"/>
      <c r="S1298" s="27" t="n"/>
      <c r="T1298" s="27" t="n"/>
    </row>
    <row r="1299" ht="13.8" customFormat="1" customHeight="1" s="70">
      <c r="M1299" s="27" t="n"/>
      <c r="N1299" s="27" t="n"/>
      <c r="O1299" s="27" t="n"/>
      <c r="P1299" s="27" t="n"/>
      <c r="Q1299" s="27" t="n"/>
      <c r="R1299" s="27" t="n"/>
      <c r="S1299" s="27" t="n"/>
      <c r="T1299" s="27" t="n"/>
    </row>
    <row r="1300" ht="13.8" customFormat="1" customHeight="1" s="70">
      <c r="M1300" s="27" t="n"/>
      <c r="N1300" s="27" t="n"/>
      <c r="O1300" s="27" t="n"/>
      <c r="P1300" s="27" t="n"/>
      <c r="Q1300" s="27" t="n"/>
      <c r="R1300" s="27" t="n"/>
      <c r="S1300" s="27" t="n"/>
      <c r="T1300" s="27" t="n"/>
    </row>
    <row r="1301" ht="13.8" customFormat="1" customHeight="1" s="70">
      <c r="M1301" s="27" t="n"/>
      <c r="N1301" s="27" t="n"/>
      <c r="O1301" s="27" t="n"/>
      <c r="P1301" s="27" t="n"/>
      <c r="Q1301" s="27" t="n"/>
      <c r="R1301" s="27" t="n"/>
      <c r="S1301" s="27" t="n"/>
      <c r="T1301" s="27" t="n"/>
    </row>
    <row r="1302" ht="13.8" customFormat="1" customHeight="1" s="70">
      <c r="M1302" s="27" t="n"/>
      <c r="N1302" s="27" t="n"/>
      <c r="O1302" s="27" t="n"/>
      <c r="P1302" s="27" t="n"/>
      <c r="Q1302" s="27" t="n"/>
      <c r="R1302" s="27" t="n"/>
      <c r="S1302" s="27" t="n"/>
      <c r="T1302" s="27" t="n"/>
    </row>
    <row r="1303" ht="13.8" customFormat="1" customHeight="1" s="70">
      <c r="M1303" s="27" t="n"/>
      <c r="N1303" s="27" t="n"/>
      <c r="O1303" s="27" t="n"/>
      <c r="P1303" s="27" t="n"/>
      <c r="Q1303" s="27" t="n"/>
      <c r="R1303" s="27" t="n"/>
      <c r="S1303" s="27" t="n"/>
      <c r="T1303" s="27" t="n"/>
    </row>
    <row r="1304" ht="13.8" customFormat="1" customHeight="1" s="70">
      <c r="M1304" s="27" t="n"/>
      <c r="N1304" s="27" t="n"/>
      <c r="O1304" s="27" t="n"/>
      <c r="P1304" s="27" t="n"/>
      <c r="Q1304" s="27" t="n"/>
      <c r="R1304" s="27" t="n"/>
      <c r="S1304" s="27" t="n"/>
      <c r="T1304" s="27" t="n"/>
    </row>
    <row r="1305" ht="13.8" customFormat="1" customHeight="1" s="70">
      <c r="M1305" s="27" t="n"/>
      <c r="N1305" s="27" t="n"/>
      <c r="O1305" s="27" t="n"/>
      <c r="P1305" s="27" t="n"/>
      <c r="Q1305" s="27" t="n"/>
      <c r="R1305" s="27" t="n"/>
      <c r="S1305" s="27" t="n"/>
      <c r="T1305" s="27" t="n"/>
    </row>
    <row r="1306" ht="13.8" customFormat="1" customHeight="1" s="70">
      <c r="M1306" s="27" t="n"/>
      <c r="N1306" s="27" t="n"/>
      <c r="O1306" s="27" t="n"/>
      <c r="P1306" s="27" t="n"/>
      <c r="Q1306" s="27" t="n"/>
      <c r="R1306" s="27" t="n"/>
      <c r="S1306" s="27" t="n"/>
      <c r="T1306" s="27" t="n"/>
    </row>
    <row r="1307" ht="13.8" customFormat="1" customHeight="1" s="70">
      <c r="M1307" s="27" t="n"/>
      <c r="N1307" s="27" t="n"/>
      <c r="O1307" s="27" t="n"/>
      <c r="P1307" s="27" t="n"/>
      <c r="Q1307" s="27" t="n"/>
      <c r="R1307" s="27" t="n"/>
      <c r="S1307" s="27" t="n"/>
      <c r="T1307" s="27" t="n"/>
    </row>
    <row r="1308" ht="13.8" customFormat="1" customHeight="1" s="70">
      <c r="M1308" s="27" t="n"/>
      <c r="N1308" s="27" t="n"/>
      <c r="O1308" s="27" t="n"/>
      <c r="P1308" s="27" t="n"/>
      <c r="Q1308" s="27" t="n"/>
      <c r="R1308" s="27" t="n"/>
      <c r="S1308" s="27" t="n"/>
      <c r="T1308" s="27" t="n"/>
    </row>
    <row r="1309" ht="13.8" customFormat="1" customHeight="1" s="70">
      <c r="M1309" s="27" t="n"/>
      <c r="N1309" s="27" t="n"/>
      <c r="O1309" s="27" t="n"/>
      <c r="P1309" s="27" t="n"/>
      <c r="Q1309" s="27" t="n"/>
      <c r="R1309" s="27" t="n"/>
      <c r="S1309" s="27" t="n"/>
      <c r="T1309" s="27" t="n"/>
    </row>
    <row r="1310" ht="13.8" customFormat="1" customHeight="1" s="70">
      <c r="M1310" s="27" t="n"/>
      <c r="N1310" s="27" t="n"/>
      <c r="O1310" s="27" t="n"/>
      <c r="P1310" s="27" t="n"/>
      <c r="Q1310" s="27" t="n"/>
      <c r="R1310" s="27" t="n"/>
      <c r="S1310" s="27" t="n"/>
      <c r="T1310" s="27" t="n"/>
    </row>
    <row r="1311" ht="13.8" customFormat="1" customHeight="1" s="70">
      <c r="M1311" s="27" t="n"/>
      <c r="N1311" s="27" t="n"/>
      <c r="O1311" s="27" t="n"/>
      <c r="P1311" s="27" t="n"/>
      <c r="Q1311" s="27" t="n"/>
      <c r="R1311" s="27" t="n"/>
      <c r="S1311" s="27" t="n"/>
      <c r="T1311" s="27" t="n"/>
    </row>
    <row r="1312" ht="13.8" customFormat="1" customHeight="1" s="70">
      <c r="M1312" s="27" t="n"/>
      <c r="N1312" s="27" t="n"/>
      <c r="O1312" s="27" t="n"/>
      <c r="P1312" s="27" t="n"/>
      <c r="Q1312" s="27" t="n"/>
      <c r="R1312" s="27" t="n"/>
      <c r="S1312" s="27" t="n"/>
      <c r="T1312" s="27" t="n"/>
    </row>
    <row r="1313" ht="13.8" customFormat="1" customHeight="1" s="70">
      <c r="M1313" s="27" t="n"/>
      <c r="N1313" s="27" t="n"/>
      <c r="O1313" s="27" t="n"/>
      <c r="P1313" s="27" t="n"/>
      <c r="Q1313" s="27" t="n"/>
      <c r="R1313" s="27" t="n"/>
      <c r="S1313" s="27" t="n"/>
      <c r="T1313" s="27" t="n"/>
    </row>
    <row r="1314" ht="13.8" customFormat="1" customHeight="1" s="70">
      <c r="M1314" s="27" t="n"/>
      <c r="N1314" s="27" t="n"/>
      <c r="O1314" s="27" t="n"/>
      <c r="P1314" s="27" t="n"/>
      <c r="Q1314" s="27" t="n"/>
      <c r="R1314" s="27" t="n"/>
      <c r="S1314" s="27" t="n"/>
      <c r="T1314" s="27" t="n"/>
    </row>
    <row r="1315" ht="13.8" customFormat="1" customHeight="1" s="70">
      <c r="M1315" s="27" t="n"/>
      <c r="N1315" s="27" t="n"/>
      <c r="O1315" s="27" t="n"/>
      <c r="P1315" s="27" t="n"/>
      <c r="Q1315" s="27" t="n"/>
      <c r="R1315" s="27" t="n"/>
      <c r="S1315" s="27" t="n"/>
      <c r="T1315" s="27" t="n"/>
    </row>
    <row r="1316" ht="13.8" customFormat="1" customHeight="1" s="70">
      <c r="M1316" s="27" t="n"/>
      <c r="N1316" s="27" t="n"/>
      <c r="O1316" s="27" t="n"/>
      <c r="P1316" s="27" t="n"/>
      <c r="Q1316" s="27" t="n"/>
      <c r="R1316" s="27" t="n"/>
      <c r="S1316" s="27" t="n"/>
      <c r="T1316" s="27" t="n"/>
    </row>
    <row r="1317" ht="13.8" customFormat="1" customHeight="1" s="70">
      <c r="M1317" s="27" t="n"/>
      <c r="N1317" s="27" t="n"/>
      <c r="O1317" s="27" t="n"/>
      <c r="P1317" s="27" t="n"/>
      <c r="Q1317" s="27" t="n"/>
      <c r="R1317" s="27" t="n"/>
      <c r="S1317" s="27" t="n"/>
      <c r="T1317" s="27" t="n"/>
    </row>
    <row r="1318" ht="13.8" customFormat="1" customHeight="1" s="70">
      <c r="M1318" s="27" t="n"/>
      <c r="N1318" s="27" t="n"/>
      <c r="O1318" s="27" t="n"/>
      <c r="P1318" s="27" t="n"/>
      <c r="Q1318" s="27" t="n"/>
      <c r="R1318" s="27" t="n"/>
      <c r="S1318" s="27" t="n"/>
      <c r="T1318" s="27" t="n"/>
    </row>
    <row r="1319" ht="13.8" customFormat="1" customHeight="1" s="70">
      <c r="M1319" s="27" t="n"/>
      <c r="N1319" s="27" t="n"/>
      <c r="O1319" s="27" t="n"/>
      <c r="P1319" s="27" t="n"/>
      <c r="Q1319" s="27" t="n"/>
      <c r="R1319" s="27" t="n"/>
      <c r="S1319" s="27" t="n"/>
      <c r="T1319" s="27" t="n"/>
    </row>
    <row r="1320" ht="13.8" customFormat="1" customHeight="1" s="70">
      <c r="M1320" s="27" t="n"/>
      <c r="N1320" s="27" t="n"/>
      <c r="O1320" s="27" t="n"/>
      <c r="P1320" s="27" t="n"/>
      <c r="Q1320" s="27" t="n"/>
      <c r="R1320" s="27" t="n"/>
      <c r="S1320" s="27" t="n"/>
      <c r="T1320" s="27" t="n"/>
    </row>
    <row r="1321" ht="13.8" customFormat="1" customHeight="1" s="70">
      <c r="M1321" s="27" t="n"/>
      <c r="N1321" s="27" t="n"/>
      <c r="O1321" s="27" t="n"/>
      <c r="P1321" s="27" t="n"/>
      <c r="Q1321" s="27" t="n"/>
      <c r="R1321" s="27" t="n"/>
      <c r="S1321" s="27" t="n"/>
      <c r="T1321" s="27" t="n"/>
    </row>
    <row r="1322" ht="13.8" customFormat="1" customHeight="1" s="70">
      <c r="M1322" s="27" t="n"/>
      <c r="N1322" s="27" t="n"/>
      <c r="O1322" s="27" t="n"/>
      <c r="P1322" s="27" t="n"/>
      <c r="Q1322" s="27" t="n"/>
      <c r="R1322" s="27" t="n"/>
      <c r="S1322" s="27" t="n"/>
      <c r="T1322" s="27" t="n"/>
    </row>
    <row r="1323" ht="13.8" customFormat="1" customHeight="1" s="70">
      <c r="M1323" s="27" t="n"/>
      <c r="N1323" s="27" t="n"/>
      <c r="O1323" s="27" t="n"/>
      <c r="P1323" s="27" t="n"/>
      <c r="Q1323" s="27" t="n"/>
      <c r="R1323" s="27" t="n"/>
      <c r="S1323" s="27" t="n"/>
      <c r="T1323" s="27" t="n"/>
    </row>
    <row r="1324" ht="13.8" customFormat="1" customHeight="1" s="70">
      <c r="M1324" s="27" t="n"/>
      <c r="N1324" s="27" t="n"/>
      <c r="O1324" s="27" t="n"/>
      <c r="P1324" s="27" t="n"/>
      <c r="Q1324" s="27" t="n"/>
      <c r="R1324" s="27" t="n"/>
      <c r="S1324" s="27" t="n"/>
      <c r="T1324" s="27" t="n"/>
    </row>
    <row r="1325" ht="13.8" customFormat="1" customHeight="1" s="70">
      <c r="M1325" s="27" t="n"/>
      <c r="N1325" s="27" t="n"/>
      <c r="O1325" s="27" t="n"/>
      <c r="P1325" s="27" t="n"/>
      <c r="Q1325" s="27" t="n"/>
      <c r="R1325" s="27" t="n"/>
      <c r="S1325" s="27" t="n"/>
      <c r="T1325" s="27" t="n"/>
    </row>
    <row r="1326" ht="13.8" customFormat="1" customHeight="1" s="70">
      <c r="M1326" s="27" t="n"/>
      <c r="N1326" s="27" t="n"/>
      <c r="O1326" s="27" t="n"/>
      <c r="P1326" s="27" t="n"/>
      <c r="Q1326" s="27" t="n"/>
      <c r="R1326" s="27" t="n"/>
      <c r="S1326" s="27" t="n"/>
      <c r="T1326" s="27" t="n"/>
    </row>
    <row r="1327" ht="13.8" customFormat="1" customHeight="1" s="70">
      <c r="M1327" s="27" t="n"/>
      <c r="N1327" s="27" t="n"/>
      <c r="O1327" s="27" t="n"/>
      <c r="P1327" s="27" t="n"/>
      <c r="Q1327" s="27" t="n"/>
      <c r="R1327" s="27" t="n"/>
      <c r="S1327" s="27" t="n"/>
      <c r="T1327" s="27" t="n"/>
    </row>
    <row r="1328" ht="13.8" customFormat="1" customHeight="1" s="70">
      <c r="M1328" s="27" t="n"/>
      <c r="N1328" s="27" t="n"/>
      <c r="O1328" s="27" t="n"/>
      <c r="P1328" s="27" t="n"/>
      <c r="Q1328" s="27" t="n"/>
      <c r="R1328" s="27" t="n"/>
      <c r="S1328" s="27" t="n"/>
      <c r="T1328" s="27" t="n"/>
    </row>
    <row r="1329" ht="13.8" customFormat="1" customHeight="1" s="70">
      <c r="M1329" s="27" t="n"/>
      <c r="N1329" s="27" t="n"/>
      <c r="O1329" s="27" t="n"/>
      <c r="P1329" s="27" t="n"/>
      <c r="Q1329" s="27" t="n"/>
      <c r="R1329" s="27" t="n"/>
      <c r="S1329" s="27" t="n"/>
      <c r="T1329" s="27" t="n"/>
    </row>
    <row r="1330" ht="13.8" customFormat="1" customHeight="1" s="70">
      <c r="M1330" s="27" t="n"/>
      <c r="N1330" s="27" t="n"/>
      <c r="O1330" s="27" t="n"/>
      <c r="P1330" s="27" t="n"/>
      <c r="Q1330" s="27" t="n"/>
      <c r="R1330" s="27" t="n"/>
      <c r="S1330" s="27" t="n"/>
      <c r="T1330" s="27" t="n"/>
    </row>
    <row r="1331" ht="13.8" customFormat="1" customHeight="1" s="70">
      <c r="M1331" s="27" t="n"/>
      <c r="N1331" s="27" t="n"/>
      <c r="O1331" s="27" t="n"/>
      <c r="P1331" s="27" t="n"/>
      <c r="Q1331" s="27" t="n"/>
      <c r="R1331" s="27" t="n"/>
      <c r="S1331" s="27" t="n"/>
      <c r="T1331" s="27" t="n"/>
    </row>
    <row r="1332" ht="13.8" customFormat="1" customHeight="1" s="70">
      <c r="M1332" s="27" t="n"/>
      <c r="N1332" s="27" t="n"/>
      <c r="O1332" s="27" t="n"/>
      <c r="P1332" s="27" t="n"/>
      <c r="Q1332" s="27" t="n"/>
      <c r="R1332" s="27" t="n"/>
      <c r="S1332" s="27" t="n"/>
      <c r="T1332" s="27" t="n"/>
    </row>
    <row r="1333" ht="13.8" customFormat="1" customHeight="1" s="70">
      <c r="M1333" s="27" t="n"/>
      <c r="N1333" s="27" t="n"/>
      <c r="O1333" s="27" t="n"/>
      <c r="P1333" s="27" t="n"/>
      <c r="Q1333" s="27" t="n"/>
      <c r="R1333" s="27" t="n"/>
      <c r="S1333" s="27" t="n"/>
      <c r="T1333" s="27" t="n"/>
    </row>
    <row r="1334" ht="13.8" customFormat="1" customHeight="1" s="70">
      <c r="M1334" s="27" t="n"/>
      <c r="N1334" s="27" t="n"/>
      <c r="O1334" s="27" t="n"/>
      <c r="P1334" s="27" t="n"/>
      <c r="Q1334" s="27" t="n"/>
      <c r="R1334" s="27" t="n"/>
      <c r="S1334" s="27" t="n"/>
      <c r="T1334" s="27" t="n"/>
    </row>
    <row r="1335" ht="13.8" customFormat="1" customHeight="1" s="70">
      <c r="M1335" s="27" t="n"/>
      <c r="N1335" s="27" t="n"/>
      <c r="O1335" s="27" t="n"/>
      <c r="P1335" s="27" t="n"/>
      <c r="Q1335" s="27" t="n"/>
      <c r="R1335" s="27" t="n"/>
      <c r="S1335" s="27" t="n"/>
      <c r="T1335" s="27" t="n"/>
    </row>
    <row r="1336" ht="13.8" customFormat="1" customHeight="1" s="70">
      <c r="M1336" s="27" t="n"/>
      <c r="N1336" s="27" t="n"/>
      <c r="O1336" s="27" t="n"/>
      <c r="P1336" s="27" t="n"/>
      <c r="Q1336" s="27" t="n"/>
      <c r="R1336" s="27" t="n"/>
      <c r="S1336" s="27" t="n"/>
      <c r="T1336" s="27" t="n"/>
    </row>
    <row r="1337" ht="13.8" customFormat="1" customHeight="1" s="70">
      <c r="M1337" s="27" t="n"/>
      <c r="N1337" s="27" t="n"/>
      <c r="O1337" s="27" t="n"/>
      <c r="P1337" s="27" t="n"/>
      <c r="Q1337" s="27" t="n"/>
      <c r="R1337" s="27" t="n"/>
      <c r="S1337" s="27" t="n"/>
      <c r="T1337" s="27" t="n"/>
    </row>
    <row r="1338" ht="13.8" customFormat="1" customHeight="1" s="70">
      <c r="M1338" s="27" t="n"/>
      <c r="N1338" s="27" t="n"/>
      <c r="O1338" s="27" t="n"/>
      <c r="P1338" s="27" t="n"/>
      <c r="Q1338" s="27" t="n"/>
      <c r="R1338" s="27" t="n"/>
      <c r="S1338" s="27" t="n"/>
      <c r="T1338" s="27" t="n"/>
    </row>
    <row r="1339" ht="13.8" customFormat="1" customHeight="1" s="70">
      <c r="M1339" s="27" t="n"/>
      <c r="N1339" s="27" t="n"/>
      <c r="O1339" s="27" t="n"/>
      <c r="P1339" s="27" t="n"/>
      <c r="Q1339" s="27" t="n"/>
      <c r="R1339" s="27" t="n"/>
      <c r="S1339" s="27" t="n"/>
      <c r="T1339" s="27" t="n"/>
    </row>
    <row r="1340" ht="13.8" customFormat="1" customHeight="1" s="70">
      <c r="M1340" s="27" t="n"/>
      <c r="N1340" s="27" t="n"/>
      <c r="O1340" s="27" t="n"/>
      <c r="P1340" s="27" t="n"/>
      <c r="Q1340" s="27" t="n"/>
      <c r="R1340" s="27" t="n"/>
      <c r="S1340" s="27" t="n"/>
      <c r="T1340" s="27" t="n"/>
    </row>
    <row r="1341" ht="13.8" customFormat="1" customHeight="1" s="70">
      <c r="M1341" s="27" t="n"/>
      <c r="N1341" s="27" t="n"/>
      <c r="O1341" s="27" t="n"/>
      <c r="P1341" s="27" t="n"/>
      <c r="Q1341" s="27" t="n"/>
      <c r="R1341" s="27" t="n"/>
      <c r="S1341" s="27" t="n"/>
      <c r="T1341" s="27" t="n"/>
    </row>
    <row r="1342" ht="13.8" customFormat="1" customHeight="1" s="70">
      <c r="M1342" s="27" t="n"/>
      <c r="N1342" s="27" t="n"/>
      <c r="O1342" s="27" t="n"/>
      <c r="P1342" s="27" t="n"/>
      <c r="Q1342" s="27" t="n"/>
      <c r="R1342" s="27" t="n"/>
      <c r="S1342" s="27" t="n"/>
      <c r="T1342" s="27" t="n"/>
    </row>
    <row r="1343" ht="13.8" customFormat="1" customHeight="1" s="70">
      <c r="M1343" s="27" t="n"/>
      <c r="N1343" s="27" t="n"/>
      <c r="O1343" s="27" t="n"/>
      <c r="P1343" s="27" t="n"/>
      <c r="Q1343" s="27" t="n"/>
      <c r="R1343" s="27" t="n"/>
      <c r="S1343" s="27" t="n"/>
      <c r="T1343" s="27" t="n"/>
    </row>
    <row r="1344" ht="13.8" customFormat="1" customHeight="1" s="70">
      <c r="M1344" s="27" t="n"/>
      <c r="N1344" s="27" t="n"/>
      <c r="O1344" s="27" t="n"/>
      <c r="P1344" s="27" t="n"/>
      <c r="Q1344" s="27" t="n"/>
      <c r="R1344" s="27" t="n"/>
      <c r="S1344" s="27" t="n"/>
      <c r="T1344" s="27" t="n"/>
    </row>
    <row r="1345" ht="13.8" customFormat="1" customHeight="1" s="70">
      <c r="M1345" s="27" t="n"/>
      <c r="N1345" s="27" t="n"/>
      <c r="O1345" s="27" t="n"/>
      <c r="P1345" s="27" t="n"/>
      <c r="Q1345" s="27" t="n"/>
      <c r="R1345" s="27" t="n"/>
      <c r="S1345" s="27" t="n"/>
      <c r="T1345" s="27" t="n"/>
    </row>
    <row r="1346" ht="13.8" customFormat="1" customHeight="1" s="70">
      <c r="M1346" s="27" t="n"/>
      <c r="N1346" s="27" t="n"/>
      <c r="O1346" s="27" t="n"/>
      <c r="P1346" s="27" t="n"/>
      <c r="Q1346" s="27" t="n"/>
      <c r="R1346" s="27" t="n"/>
      <c r="S1346" s="27" t="n"/>
      <c r="T1346" s="27" t="n"/>
    </row>
    <row r="1347" ht="13.8" customFormat="1" customHeight="1" s="70">
      <c r="M1347" s="27" t="n"/>
      <c r="N1347" s="27" t="n"/>
      <c r="O1347" s="27" t="n"/>
      <c r="P1347" s="27" t="n"/>
      <c r="Q1347" s="27" t="n"/>
      <c r="R1347" s="27" t="n"/>
      <c r="S1347" s="27" t="n"/>
      <c r="T1347" s="27" t="n"/>
    </row>
    <row r="1348" ht="13.8" customFormat="1" customHeight="1" s="70">
      <c r="M1348" s="27" t="n"/>
      <c r="N1348" s="27" t="n"/>
      <c r="O1348" s="27" t="n"/>
      <c r="P1348" s="27" t="n"/>
      <c r="Q1348" s="27" t="n"/>
      <c r="R1348" s="27" t="n"/>
      <c r="S1348" s="27" t="n"/>
      <c r="T1348" s="27" t="n"/>
    </row>
    <row r="1349" ht="13.8" customFormat="1" customHeight="1" s="70">
      <c r="M1349" s="27" t="n"/>
      <c r="N1349" s="27" t="n"/>
      <c r="O1349" s="27" t="n"/>
      <c r="P1349" s="27" t="n"/>
      <c r="Q1349" s="27" t="n"/>
      <c r="R1349" s="27" t="n"/>
      <c r="S1349" s="27" t="n"/>
      <c r="T1349" s="27" t="n"/>
    </row>
    <row r="1350" ht="13.8" customFormat="1" customHeight="1" s="70">
      <c r="M1350" s="27" t="n"/>
      <c r="N1350" s="27" t="n"/>
      <c r="O1350" s="27" t="n"/>
      <c r="P1350" s="27" t="n"/>
      <c r="Q1350" s="27" t="n"/>
      <c r="R1350" s="27" t="n"/>
      <c r="S1350" s="27" t="n"/>
      <c r="T1350" s="27" t="n"/>
    </row>
    <row r="1351" ht="13.8" customFormat="1" customHeight="1" s="70">
      <c r="M1351" s="27" t="n"/>
      <c r="N1351" s="27" t="n"/>
      <c r="O1351" s="27" t="n"/>
      <c r="P1351" s="27" t="n"/>
      <c r="Q1351" s="27" t="n"/>
      <c r="R1351" s="27" t="n"/>
      <c r="S1351" s="27" t="n"/>
      <c r="T1351" s="27" t="n"/>
    </row>
    <row r="1352" ht="13.8" customFormat="1" customHeight="1" s="70">
      <c r="M1352" s="27" t="n"/>
      <c r="N1352" s="27" t="n"/>
      <c r="O1352" s="27" t="n"/>
      <c r="P1352" s="27" t="n"/>
      <c r="Q1352" s="27" t="n"/>
      <c r="R1352" s="27" t="n"/>
      <c r="S1352" s="27" t="n"/>
      <c r="T1352" s="27" t="n"/>
    </row>
    <row r="1353" ht="13.8" customFormat="1" customHeight="1" s="70">
      <c r="M1353" s="27" t="n"/>
      <c r="N1353" s="27" t="n"/>
      <c r="O1353" s="27" t="n"/>
      <c r="P1353" s="27" t="n"/>
      <c r="Q1353" s="27" t="n"/>
      <c r="R1353" s="27" t="n"/>
      <c r="S1353" s="27" t="n"/>
      <c r="T1353" s="27" t="n"/>
    </row>
    <row r="1354" ht="13.8" customFormat="1" customHeight="1" s="70">
      <c r="M1354" s="27" t="n"/>
      <c r="N1354" s="27" t="n"/>
      <c r="O1354" s="27" t="n"/>
      <c r="P1354" s="27" t="n"/>
      <c r="Q1354" s="27" t="n"/>
      <c r="R1354" s="27" t="n"/>
      <c r="S1354" s="27" t="n"/>
      <c r="T1354" s="27" t="n"/>
    </row>
    <row r="1355" ht="13.8" customFormat="1" customHeight="1" s="70">
      <c r="M1355" s="27" t="n"/>
      <c r="N1355" s="27" t="n"/>
      <c r="O1355" s="27" t="n"/>
      <c r="P1355" s="27" t="n"/>
      <c r="Q1355" s="27" t="n"/>
      <c r="R1355" s="27" t="n"/>
      <c r="S1355" s="27" t="n"/>
      <c r="T1355" s="27" t="n"/>
    </row>
    <row r="1356" ht="13.8" customFormat="1" customHeight="1" s="70">
      <c r="M1356" s="27" t="n"/>
      <c r="N1356" s="27" t="n"/>
      <c r="O1356" s="27" t="n"/>
      <c r="P1356" s="27" t="n"/>
      <c r="Q1356" s="27" t="n"/>
      <c r="R1356" s="27" t="n"/>
      <c r="S1356" s="27" t="n"/>
      <c r="T1356" s="27" t="n"/>
    </row>
    <row r="1357" ht="13.8" customFormat="1" customHeight="1" s="70">
      <c r="M1357" s="27" t="n"/>
      <c r="N1357" s="27" t="n"/>
      <c r="O1357" s="27" t="n"/>
      <c r="P1357" s="27" t="n"/>
      <c r="Q1357" s="27" t="n"/>
      <c r="R1357" s="27" t="n"/>
      <c r="S1357" s="27" t="n"/>
      <c r="T1357" s="27" t="n"/>
    </row>
    <row r="1358" ht="13.8" customFormat="1" customHeight="1" s="70">
      <c r="M1358" s="27" t="n"/>
      <c r="N1358" s="27" t="n"/>
      <c r="O1358" s="27" t="n"/>
      <c r="P1358" s="27" t="n"/>
      <c r="Q1358" s="27" t="n"/>
      <c r="R1358" s="27" t="n"/>
      <c r="S1358" s="27" t="n"/>
      <c r="T1358" s="27" t="n"/>
    </row>
    <row r="1359" ht="13.8" customFormat="1" customHeight="1" s="70">
      <c r="M1359" s="27" t="n"/>
      <c r="N1359" s="27" t="n"/>
      <c r="O1359" s="27" t="n"/>
      <c r="P1359" s="27" t="n"/>
      <c r="Q1359" s="27" t="n"/>
      <c r="R1359" s="27" t="n"/>
      <c r="S1359" s="27" t="n"/>
      <c r="T1359" s="27" t="n"/>
    </row>
    <row r="1360" ht="13.8" customFormat="1" customHeight="1" s="70">
      <c r="M1360" s="27" t="n"/>
      <c r="N1360" s="27" t="n"/>
      <c r="O1360" s="27" t="n"/>
      <c r="P1360" s="27" t="n"/>
      <c r="Q1360" s="27" t="n"/>
      <c r="R1360" s="27" t="n"/>
      <c r="S1360" s="27" t="n"/>
      <c r="T1360" s="27" t="n"/>
    </row>
    <row r="1361" ht="13.8" customFormat="1" customHeight="1" s="70">
      <c r="M1361" s="27" t="n"/>
      <c r="N1361" s="27" t="n"/>
      <c r="O1361" s="27" t="n"/>
      <c r="P1361" s="27" t="n"/>
      <c r="Q1361" s="27" t="n"/>
      <c r="R1361" s="27" t="n"/>
      <c r="S1361" s="27" t="n"/>
      <c r="T1361" s="27" t="n"/>
    </row>
    <row r="1362" ht="13.8" customFormat="1" customHeight="1" s="70">
      <c r="M1362" s="27" t="n"/>
      <c r="N1362" s="27" t="n"/>
      <c r="O1362" s="27" t="n"/>
      <c r="P1362" s="27" t="n"/>
      <c r="Q1362" s="27" t="n"/>
      <c r="R1362" s="27" t="n"/>
      <c r="S1362" s="27" t="n"/>
      <c r="T1362" s="27" t="n"/>
    </row>
    <row r="1363" ht="13.8" customFormat="1" customHeight="1" s="70">
      <c r="M1363" s="27" t="n"/>
      <c r="N1363" s="27" t="n"/>
      <c r="O1363" s="27" t="n"/>
      <c r="P1363" s="27" t="n"/>
      <c r="Q1363" s="27" t="n"/>
      <c r="R1363" s="27" t="n"/>
      <c r="S1363" s="27" t="n"/>
      <c r="T1363" s="27" t="n"/>
    </row>
    <row r="1364" ht="13.8" customFormat="1" customHeight="1" s="70">
      <c r="M1364" s="27" t="n"/>
      <c r="N1364" s="27" t="n"/>
      <c r="O1364" s="27" t="n"/>
      <c r="P1364" s="27" t="n"/>
      <c r="Q1364" s="27" t="n"/>
      <c r="R1364" s="27" t="n"/>
      <c r="S1364" s="27" t="n"/>
      <c r="T1364" s="27" t="n"/>
    </row>
    <row r="1365" ht="13.8" customFormat="1" customHeight="1" s="70">
      <c r="M1365" s="27" t="n"/>
      <c r="N1365" s="27" t="n"/>
      <c r="O1365" s="27" t="n"/>
      <c r="P1365" s="27" t="n"/>
      <c r="Q1365" s="27" t="n"/>
      <c r="R1365" s="27" t="n"/>
      <c r="S1365" s="27" t="n"/>
      <c r="T1365" s="27" t="n"/>
    </row>
    <row r="1366" ht="13.8" customFormat="1" customHeight="1" s="70">
      <c r="M1366" s="27" t="n"/>
      <c r="N1366" s="27" t="n"/>
      <c r="O1366" s="27" t="n"/>
      <c r="P1366" s="27" t="n"/>
      <c r="Q1366" s="27" t="n"/>
      <c r="R1366" s="27" t="n"/>
      <c r="S1366" s="27" t="n"/>
      <c r="T1366" s="27" t="n"/>
    </row>
    <row r="1367" ht="13.8" customFormat="1" customHeight="1" s="70">
      <c r="M1367" s="27" t="n"/>
      <c r="N1367" s="27" t="n"/>
      <c r="O1367" s="27" t="n"/>
      <c r="P1367" s="27" t="n"/>
      <c r="Q1367" s="27" t="n"/>
      <c r="R1367" s="27" t="n"/>
      <c r="S1367" s="27" t="n"/>
      <c r="T1367" s="27" t="n"/>
    </row>
    <row r="1368" ht="13.8" customFormat="1" customHeight="1" s="70">
      <c r="M1368" s="27" t="n"/>
      <c r="N1368" s="27" t="n"/>
      <c r="O1368" s="27" t="n"/>
      <c r="P1368" s="27" t="n"/>
      <c r="Q1368" s="27" t="n"/>
      <c r="R1368" s="27" t="n"/>
      <c r="S1368" s="27" t="n"/>
      <c r="T1368" s="27" t="n"/>
    </row>
    <row r="1369" ht="13.8" customFormat="1" customHeight="1" s="70">
      <c r="M1369" s="27" t="n"/>
      <c r="N1369" s="27" t="n"/>
      <c r="O1369" s="27" t="n"/>
      <c r="P1369" s="27" t="n"/>
      <c r="Q1369" s="27" t="n"/>
      <c r="R1369" s="27" t="n"/>
      <c r="S1369" s="27" t="n"/>
      <c r="T1369" s="27" t="n"/>
    </row>
    <row r="1370" ht="13.8" customFormat="1" customHeight="1" s="70">
      <c r="M1370" s="27" t="n"/>
      <c r="N1370" s="27" t="n"/>
      <c r="O1370" s="27" t="n"/>
      <c r="P1370" s="27" t="n"/>
      <c r="Q1370" s="27" t="n"/>
      <c r="R1370" s="27" t="n"/>
      <c r="S1370" s="27" t="n"/>
      <c r="T1370" s="27" t="n"/>
    </row>
    <row r="1371" ht="13.8" customFormat="1" customHeight="1" s="70">
      <c r="M1371" s="27" t="n"/>
      <c r="N1371" s="27" t="n"/>
      <c r="O1371" s="27" t="n"/>
      <c r="P1371" s="27" t="n"/>
      <c r="Q1371" s="27" t="n"/>
      <c r="R1371" s="27" t="n"/>
      <c r="S1371" s="27" t="n"/>
      <c r="T1371" s="27" t="n"/>
    </row>
    <row r="1372" ht="13.8" customFormat="1" customHeight="1" s="70">
      <c r="M1372" s="27" t="n"/>
      <c r="N1372" s="27" t="n"/>
      <c r="O1372" s="27" t="n"/>
      <c r="P1372" s="27" t="n"/>
      <c r="Q1372" s="27" t="n"/>
      <c r="R1372" s="27" t="n"/>
      <c r="S1372" s="27" t="n"/>
      <c r="T1372" s="27" t="n"/>
    </row>
    <row r="1373" ht="13.8" customFormat="1" customHeight="1" s="70">
      <c r="M1373" s="27" t="n"/>
      <c r="N1373" s="27" t="n"/>
      <c r="O1373" s="27" t="n"/>
      <c r="P1373" s="27" t="n"/>
      <c r="Q1373" s="27" t="n"/>
      <c r="R1373" s="27" t="n"/>
      <c r="S1373" s="27" t="n"/>
      <c r="T1373" s="27" t="n"/>
    </row>
    <row r="1374" ht="13.8" customFormat="1" customHeight="1" s="70">
      <c r="M1374" s="27" t="n"/>
      <c r="N1374" s="27" t="n"/>
      <c r="O1374" s="27" t="n"/>
      <c r="P1374" s="27" t="n"/>
      <c r="Q1374" s="27" t="n"/>
      <c r="R1374" s="27" t="n"/>
      <c r="S1374" s="27" t="n"/>
      <c r="T1374" s="27" t="n"/>
    </row>
    <row r="1375" ht="13.8" customFormat="1" customHeight="1" s="70">
      <c r="M1375" s="27" t="n"/>
      <c r="N1375" s="27" t="n"/>
      <c r="O1375" s="27" t="n"/>
      <c r="P1375" s="27" t="n"/>
      <c r="Q1375" s="27" t="n"/>
      <c r="R1375" s="27" t="n"/>
      <c r="S1375" s="27" t="n"/>
      <c r="T1375" s="27" t="n"/>
    </row>
    <row r="1376" ht="13.8" customFormat="1" customHeight="1" s="70">
      <c r="M1376" s="27" t="n"/>
      <c r="N1376" s="27" t="n"/>
      <c r="O1376" s="27" t="n"/>
      <c r="P1376" s="27" t="n"/>
      <c r="Q1376" s="27" t="n"/>
      <c r="R1376" s="27" t="n"/>
      <c r="S1376" s="27" t="n"/>
      <c r="T1376" s="27" t="n"/>
    </row>
    <row r="1377" ht="13.8" customFormat="1" customHeight="1" s="70">
      <c r="M1377" s="27" t="n"/>
      <c r="N1377" s="27" t="n"/>
      <c r="O1377" s="27" t="n"/>
      <c r="P1377" s="27" t="n"/>
      <c r="Q1377" s="27" t="n"/>
      <c r="R1377" s="27" t="n"/>
      <c r="S1377" s="27" t="n"/>
      <c r="T1377" s="27" t="n"/>
    </row>
    <row r="1378" ht="13.8" customFormat="1" customHeight="1" s="70">
      <c r="M1378" s="27" t="n"/>
      <c r="N1378" s="27" t="n"/>
      <c r="O1378" s="27" t="n"/>
      <c r="P1378" s="27" t="n"/>
      <c r="Q1378" s="27" t="n"/>
      <c r="R1378" s="27" t="n"/>
      <c r="S1378" s="27" t="n"/>
      <c r="T1378" s="27" t="n"/>
    </row>
    <row r="1379" ht="13.8" customFormat="1" customHeight="1" s="70">
      <c r="M1379" s="27" t="n"/>
      <c r="N1379" s="27" t="n"/>
      <c r="O1379" s="27" t="n"/>
      <c r="P1379" s="27" t="n"/>
      <c r="Q1379" s="27" t="n"/>
      <c r="R1379" s="27" t="n"/>
      <c r="S1379" s="27" t="n"/>
      <c r="T1379" s="27" t="n"/>
    </row>
    <row r="1380" ht="13.8" customFormat="1" customHeight="1" s="70">
      <c r="M1380" s="27" t="n"/>
      <c r="N1380" s="27" t="n"/>
      <c r="O1380" s="27" t="n"/>
      <c r="P1380" s="27" t="n"/>
      <c r="Q1380" s="27" t="n"/>
      <c r="R1380" s="27" t="n"/>
      <c r="S1380" s="27" t="n"/>
      <c r="T1380" s="27" t="n"/>
    </row>
    <row r="1381" ht="13.8" customFormat="1" customHeight="1" s="70">
      <c r="M1381" s="27" t="n"/>
      <c r="N1381" s="27" t="n"/>
      <c r="O1381" s="27" t="n"/>
      <c r="P1381" s="27" t="n"/>
      <c r="Q1381" s="27" t="n"/>
      <c r="R1381" s="27" t="n"/>
      <c r="S1381" s="27" t="n"/>
      <c r="T1381" s="27" t="n"/>
    </row>
    <row r="1382" ht="13.8" customFormat="1" customHeight="1" s="70">
      <c r="M1382" s="27" t="n"/>
      <c r="N1382" s="27" t="n"/>
      <c r="O1382" s="27" t="n"/>
      <c r="P1382" s="27" t="n"/>
      <c r="Q1382" s="27" t="n"/>
      <c r="R1382" s="27" t="n"/>
      <c r="S1382" s="27" t="n"/>
      <c r="T1382" s="27" t="n"/>
    </row>
    <row r="1383" ht="13.8" customFormat="1" customHeight="1" s="70">
      <c r="M1383" s="27" t="n"/>
      <c r="N1383" s="27" t="n"/>
      <c r="O1383" s="27" t="n"/>
      <c r="P1383" s="27" t="n"/>
      <c r="Q1383" s="27" t="n"/>
      <c r="R1383" s="27" t="n"/>
      <c r="S1383" s="27" t="n"/>
      <c r="T1383" s="27" t="n"/>
    </row>
    <row r="1384" ht="13.8" customFormat="1" customHeight="1" s="70">
      <c r="M1384" s="27" t="n"/>
      <c r="N1384" s="27" t="n"/>
      <c r="O1384" s="27" t="n"/>
      <c r="P1384" s="27" t="n"/>
      <c r="Q1384" s="27" t="n"/>
      <c r="R1384" s="27" t="n"/>
      <c r="S1384" s="27" t="n"/>
      <c r="T1384" s="27" t="n"/>
    </row>
    <row r="1385" ht="13.8" customFormat="1" customHeight="1" s="70">
      <c r="M1385" s="27" t="n"/>
      <c r="N1385" s="27" t="n"/>
      <c r="O1385" s="27" t="n"/>
      <c r="P1385" s="27" t="n"/>
      <c r="Q1385" s="27" t="n"/>
      <c r="R1385" s="27" t="n"/>
      <c r="S1385" s="27" t="n"/>
      <c r="T1385" s="27" t="n"/>
    </row>
    <row r="1386" ht="13.8" customFormat="1" customHeight="1" s="70">
      <c r="M1386" s="27" t="n"/>
      <c r="N1386" s="27" t="n"/>
      <c r="O1386" s="27" t="n"/>
      <c r="P1386" s="27" t="n"/>
      <c r="Q1386" s="27" t="n"/>
      <c r="R1386" s="27" t="n"/>
      <c r="S1386" s="27" t="n"/>
      <c r="T1386" s="27" t="n"/>
    </row>
    <row r="1387" ht="13.8" customFormat="1" customHeight="1" s="70">
      <c r="M1387" s="27" t="n"/>
      <c r="N1387" s="27" t="n"/>
      <c r="O1387" s="27" t="n"/>
      <c r="P1387" s="27" t="n"/>
      <c r="Q1387" s="27" t="n"/>
      <c r="R1387" s="27" t="n"/>
      <c r="S1387" s="27" t="n"/>
      <c r="T1387" s="27" t="n"/>
    </row>
    <row r="1388" ht="13.8" customFormat="1" customHeight="1" s="70">
      <c r="M1388" s="27" t="n"/>
      <c r="N1388" s="27" t="n"/>
      <c r="O1388" s="27" t="n"/>
      <c r="P1388" s="27" t="n"/>
      <c r="Q1388" s="27" t="n"/>
      <c r="R1388" s="27" t="n"/>
      <c r="S1388" s="27" t="n"/>
      <c r="T1388" s="27" t="n"/>
    </row>
    <row r="1389" ht="13.8" customFormat="1" customHeight="1" s="70">
      <c r="M1389" s="27" t="n"/>
      <c r="N1389" s="27" t="n"/>
      <c r="O1389" s="27" t="n"/>
      <c r="P1389" s="27" t="n"/>
      <c r="Q1389" s="27" t="n"/>
      <c r="R1389" s="27" t="n"/>
      <c r="S1389" s="27" t="n"/>
      <c r="T1389" s="27" t="n"/>
    </row>
    <row r="1390" ht="13.8" customFormat="1" customHeight="1" s="70">
      <c r="M1390" s="27" t="n"/>
      <c r="N1390" s="27" t="n"/>
      <c r="O1390" s="27" t="n"/>
      <c r="P1390" s="27" t="n"/>
      <c r="Q1390" s="27" t="n"/>
      <c r="R1390" s="27" t="n"/>
      <c r="S1390" s="27" t="n"/>
      <c r="T1390" s="27" t="n"/>
    </row>
    <row r="1391" ht="13.8" customFormat="1" customHeight="1" s="70">
      <c r="M1391" s="27" t="n"/>
      <c r="N1391" s="27" t="n"/>
      <c r="O1391" s="27" t="n"/>
      <c r="P1391" s="27" t="n"/>
      <c r="Q1391" s="27" t="n"/>
      <c r="R1391" s="27" t="n"/>
      <c r="S1391" s="27" t="n"/>
      <c r="T1391" s="27" t="n"/>
    </row>
    <row r="1392" ht="13.8" customFormat="1" customHeight="1" s="70">
      <c r="M1392" s="27" t="n"/>
      <c r="N1392" s="27" t="n"/>
      <c r="O1392" s="27" t="n"/>
      <c r="P1392" s="27" t="n"/>
      <c r="Q1392" s="27" t="n"/>
      <c r="R1392" s="27" t="n"/>
      <c r="S1392" s="27" t="n"/>
      <c r="T1392" s="27" t="n"/>
    </row>
    <row r="1393" ht="13.8" customFormat="1" customHeight="1" s="70">
      <c r="M1393" s="27" t="n"/>
      <c r="N1393" s="27" t="n"/>
      <c r="O1393" s="27" t="n"/>
      <c r="P1393" s="27" t="n"/>
      <c r="Q1393" s="27" t="n"/>
      <c r="R1393" s="27" t="n"/>
      <c r="S1393" s="27" t="n"/>
      <c r="T1393" s="27" t="n"/>
    </row>
    <row r="1394" ht="13.8" customFormat="1" customHeight="1" s="70">
      <c r="M1394" s="27" t="n"/>
      <c r="N1394" s="27" t="n"/>
      <c r="O1394" s="27" t="n"/>
      <c r="P1394" s="27" t="n"/>
      <c r="Q1394" s="27" t="n"/>
      <c r="R1394" s="27" t="n"/>
      <c r="S1394" s="27" t="n"/>
      <c r="T1394" s="27" t="n"/>
    </row>
    <row r="1395" ht="13.8" customFormat="1" customHeight="1" s="70">
      <c r="M1395" s="27" t="n"/>
      <c r="N1395" s="27" t="n"/>
      <c r="O1395" s="27" t="n"/>
      <c r="P1395" s="27" t="n"/>
      <c r="Q1395" s="27" t="n"/>
      <c r="R1395" s="27" t="n"/>
      <c r="S1395" s="27" t="n"/>
      <c r="T1395" s="27" t="n"/>
    </row>
    <row r="1396" ht="13.8" customFormat="1" customHeight="1" s="70">
      <c r="M1396" s="27" t="n"/>
      <c r="N1396" s="27" t="n"/>
      <c r="O1396" s="27" t="n"/>
      <c r="P1396" s="27" t="n"/>
      <c r="Q1396" s="27" t="n"/>
      <c r="R1396" s="27" t="n"/>
      <c r="S1396" s="27" t="n"/>
      <c r="T1396" s="27" t="n"/>
    </row>
    <row r="1397" ht="13.8" customFormat="1" customHeight="1" s="70">
      <c r="M1397" s="27" t="n"/>
      <c r="N1397" s="27" t="n"/>
      <c r="O1397" s="27" t="n"/>
      <c r="P1397" s="27" t="n"/>
      <c r="Q1397" s="27" t="n"/>
      <c r="R1397" s="27" t="n"/>
      <c r="S1397" s="27" t="n"/>
      <c r="T1397" s="27" t="n"/>
    </row>
    <row r="1398" ht="13.8" customFormat="1" customHeight="1" s="70">
      <c r="M1398" s="27" t="n"/>
      <c r="N1398" s="27" t="n"/>
      <c r="O1398" s="27" t="n"/>
      <c r="P1398" s="27" t="n"/>
      <c r="Q1398" s="27" t="n"/>
      <c r="R1398" s="27" t="n"/>
      <c r="S1398" s="27" t="n"/>
      <c r="T1398" s="27" t="n"/>
    </row>
    <row r="1399" ht="13.8" customFormat="1" customHeight="1" s="70">
      <c r="M1399" s="27" t="n"/>
      <c r="N1399" s="27" t="n"/>
      <c r="O1399" s="27" t="n"/>
      <c r="P1399" s="27" t="n"/>
      <c r="Q1399" s="27" t="n"/>
      <c r="R1399" s="27" t="n"/>
      <c r="S1399" s="27" t="n"/>
      <c r="T1399" s="27" t="n"/>
    </row>
    <row r="1400" ht="13.8" customFormat="1" customHeight="1" s="70">
      <c r="M1400" s="27" t="n"/>
      <c r="N1400" s="27" t="n"/>
      <c r="O1400" s="27" t="n"/>
      <c r="P1400" s="27" t="n"/>
      <c r="Q1400" s="27" t="n"/>
      <c r="R1400" s="27" t="n"/>
      <c r="S1400" s="27" t="n"/>
      <c r="T1400" s="27" t="n"/>
    </row>
    <row r="1401" ht="13.8" customFormat="1" customHeight="1" s="70">
      <c r="M1401" s="27" t="n"/>
      <c r="N1401" s="27" t="n"/>
      <c r="O1401" s="27" t="n"/>
      <c r="P1401" s="27" t="n"/>
      <c r="Q1401" s="27" t="n"/>
      <c r="R1401" s="27" t="n"/>
      <c r="S1401" s="27" t="n"/>
      <c r="T1401" s="27" t="n"/>
    </row>
    <row r="1402" ht="13.8" customFormat="1" customHeight="1" s="70">
      <c r="M1402" s="27" t="n"/>
      <c r="N1402" s="27" t="n"/>
      <c r="O1402" s="27" t="n"/>
      <c r="P1402" s="27" t="n"/>
      <c r="Q1402" s="27" t="n"/>
      <c r="R1402" s="27" t="n"/>
      <c r="S1402" s="27" t="n"/>
      <c r="T1402" s="27" t="n"/>
    </row>
    <row r="1403" ht="13.8" customFormat="1" customHeight="1" s="70">
      <c r="M1403" s="27" t="n"/>
      <c r="N1403" s="27" t="n"/>
      <c r="O1403" s="27" t="n"/>
      <c r="P1403" s="27" t="n"/>
      <c r="Q1403" s="27" t="n"/>
      <c r="R1403" s="27" t="n"/>
      <c r="S1403" s="27" t="n"/>
      <c r="T1403" s="27" t="n"/>
    </row>
    <row r="1404" ht="13.8" customFormat="1" customHeight="1" s="70">
      <c r="M1404" s="27" t="n"/>
      <c r="N1404" s="27" t="n"/>
      <c r="O1404" s="27" t="n"/>
      <c r="P1404" s="27" t="n"/>
      <c r="Q1404" s="27" t="n"/>
      <c r="R1404" s="27" t="n"/>
      <c r="S1404" s="27" t="n"/>
      <c r="T1404" s="27" t="n"/>
    </row>
    <row r="1405" ht="13.8" customFormat="1" customHeight="1" s="70">
      <c r="M1405" s="27" t="n"/>
      <c r="N1405" s="27" t="n"/>
      <c r="O1405" s="27" t="n"/>
      <c r="P1405" s="27" t="n"/>
      <c r="Q1405" s="27" t="n"/>
      <c r="R1405" s="27" t="n"/>
      <c r="S1405" s="27" t="n"/>
      <c r="T1405" s="27" t="n"/>
    </row>
    <row r="1406" ht="13.8" customFormat="1" customHeight="1" s="70">
      <c r="M1406" s="27" t="n"/>
      <c r="N1406" s="27" t="n"/>
      <c r="O1406" s="27" t="n"/>
      <c r="P1406" s="27" t="n"/>
      <c r="Q1406" s="27" t="n"/>
      <c r="R1406" s="27" t="n"/>
      <c r="S1406" s="27" t="n"/>
      <c r="T1406" s="27" t="n"/>
    </row>
    <row r="1407" ht="13.8" customFormat="1" customHeight="1" s="70">
      <c r="M1407" s="27" t="n"/>
      <c r="N1407" s="27" t="n"/>
      <c r="O1407" s="27" t="n"/>
      <c r="P1407" s="27" t="n"/>
      <c r="Q1407" s="27" t="n"/>
      <c r="R1407" s="27" t="n"/>
      <c r="S1407" s="27" t="n"/>
      <c r="T1407" s="27" t="n"/>
    </row>
    <row r="1408" ht="13.8" customFormat="1" customHeight="1" s="70">
      <c r="M1408" s="27" t="n"/>
      <c r="N1408" s="27" t="n"/>
      <c r="O1408" s="27" t="n"/>
      <c r="P1408" s="27" t="n"/>
      <c r="Q1408" s="27" t="n"/>
      <c r="R1408" s="27" t="n"/>
      <c r="S1408" s="27" t="n"/>
      <c r="T1408" s="27" t="n"/>
    </row>
    <row r="1409" ht="13.8" customFormat="1" customHeight="1" s="70">
      <c r="M1409" s="27" t="n"/>
      <c r="N1409" s="27" t="n"/>
      <c r="O1409" s="27" t="n"/>
      <c r="P1409" s="27" t="n"/>
      <c r="Q1409" s="27" t="n"/>
      <c r="R1409" s="27" t="n"/>
      <c r="S1409" s="27" t="n"/>
      <c r="T1409" s="27" t="n"/>
    </row>
    <row r="1410" ht="13.8" customFormat="1" customHeight="1" s="70">
      <c r="M1410" s="27" t="n"/>
      <c r="N1410" s="27" t="n"/>
      <c r="O1410" s="27" t="n"/>
      <c r="P1410" s="27" t="n"/>
      <c r="Q1410" s="27" t="n"/>
      <c r="R1410" s="27" t="n"/>
      <c r="S1410" s="27" t="n"/>
      <c r="T1410" s="27" t="n"/>
    </row>
    <row r="1411" ht="13.8" customFormat="1" customHeight="1" s="70">
      <c r="M1411" s="27" t="n"/>
      <c r="N1411" s="27" t="n"/>
      <c r="O1411" s="27" t="n"/>
      <c r="P1411" s="27" t="n"/>
      <c r="Q1411" s="27" t="n"/>
      <c r="R1411" s="27" t="n"/>
      <c r="S1411" s="27" t="n"/>
      <c r="T1411" s="27" t="n"/>
    </row>
    <row r="1412" ht="13.8" customFormat="1" customHeight="1" s="70">
      <c r="M1412" s="27" t="n"/>
      <c r="N1412" s="27" t="n"/>
      <c r="O1412" s="27" t="n"/>
      <c r="P1412" s="27" t="n"/>
      <c r="Q1412" s="27" t="n"/>
      <c r="R1412" s="27" t="n"/>
      <c r="S1412" s="27" t="n"/>
      <c r="T1412" s="27" t="n"/>
    </row>
    <row r="1413" ht="13.8" customFormat="1" customHeight="1" s="70">
      <c r="M1413" s="27" t="n"/>
      <c r="N1413" s="27" t="n"/>
      <c r="O1413" s="27" t="n"/>
      <c r="P1413" s="27" t="n"/>
      <c r="Q1413" s="27" t="n"/>
      <c r="R1413" s="27" t="n"/>
      <c r="S1413" s="27" t="n"/>
      <c r="T1413" s="27" t="n"/>
    </row>
    <row r="1414" ht="13.8" customFormat="1" customHeight="1" s="70">
      <c r="M1414" s="27" t="n"/>
      <c r="N1414" s="27" t="n"/>
      <c r="O1414" s="27" t="n"/>
      <c r="P1414" s="27" t="n"/>
      <c r="Q1414" s="27" t="n"/>
      <c r="R1414" s="27" t="n"/>
      <c r="S1414" s="27" t="n"/>
      <c r="T1414" s="27" t="n"/>
    </row>
    <row r="1415" ht="13.8" customFormat="1" customHeight="1" s="70">
      <c r="M1415" s="27" t="n"/>
      <c r="N1415" s="27" t="n"/>
      <c r="O1415" s="27" t="n"/>
      <c r="P1415" s="27" t="n"/>
      <c r="Q1415" s="27" t="n"/>
      <c r="R1415" s="27" t="n"/>
      <c r="S1415" s="27" t="n"/>
      <c r="T1415" s="27" t="n"/>
    </row>
    <row r="1416" ht="13.8" customFormat="1" customHeight="1" s="70">
      <c r="M1416" s="27" t="n"/>
      <c r="N1416" s="27" t="n"/>
      <c r="O1416" s="27" t="n"/>
      <c r="P1416" s="27" t="n"/>
      <c r="Q1416" s="27" t="n"/>
      <c r="R1416" s="27" t="n"/>
      <c r="S1416" s="27" t="n"/>
      <c r="T1416" s="27" t="n"/>
    </row>
    <row r="1417" ht="13.8" customFormat="1" customHeight="1" s="70">
      <c r="M1417" s="27" t="n"/>
      <c r="N1417" s="27" t="n"/>
      <c r="O1417" s="27" t="n"/>
      <c r="P1417" s="27" t="n"/>
      <c r="Q1417" s="27" t="n"/>
      <c r="R1417" s="27" t="n"/>
      <c r="S1417" s="27" t="n"/>
      <c r="T1417" s="27" t="n"/>
    </row>
    <row r="1418" ht="13.8" customFormat="1" customHeight="1" s="70">
      <c r="M1418" s="27" t="n"/>
      <c r="N1418" s="27" t="n"/>
      <c r="O1418" s="27" t="n"/>
      <c r="P1418" s="27" t="n"/>
      <c r="Q1418" s="27" t="n"/>
      <c r="R1418" s="27" t="n"/>
      <c r="S1418" s="27" t="n"/>
      <c r="T1418" s="27" t="n"/>
    </row>
    <row r="1419" ht="13.8" customFormat="1" customHeight="1" s="70">
      <c r="M1419" s="27" t="n"/>
      <c r="N1419" s="27" t="n"/>
      <c r="O1419" s="27" t="n"/>
      <c r="P1419" s="27" t="n"/>
      <c r="Q1419" s="27" t="n"/>
      <c r="R1419" s="27" t="n"/>
      <c r="S1419" s="27" t="n"/>
      <c r="T1419" s="27" t="n"/>
    </row>
    <row r="1420" ht="13.8" customFormat="1" customHeight="1" s="70">
      <c r="M1420" s="27" t="n"/>
      <c r="N1420" s="27" t="n"/>
      <c r="O1420" s="27" t="n"/>
      <c r="P1420" s="27" t="n"/>
      <c r="Q1420" s="27" t="n"/>
      <c r="R1420" s="27" t="n"/>
      <c r="S1420" s="27" t="n"/>
      <c r="T1420" s="27" t="n"/>
    </row>
    <row r="1421" ht="13.8" customFormat="1" customHeight="1" s="70">
      <c r="M1421" s="27" t="n"/>
      <c r="N1421" s="27" t="n"/>
      <c r="O1421" s="27" t="n"/>
      <c r="P1421" s="27" t="n"/>
      <c r="Q1421" s="27" t="n"/>
      <c r="R1421" s="27" t="n"/>
      <c r="S1421" s="27" t="n"/>
      <c r="T1421" s="27" t="n"/>
    </row>
    <row r="1422" ht="13.8" customFormat="1" customHeight="1" s="70">
      <c r="M1422" s="27" t="n"/>
      <c r="N1422" s="27" t="n"/>
      <c r="O1422" s="27" t="n"/>
      <c r="P1422" s="27" t="n"/>
      <c r="Q1422" s="27" t="n"/>
      <c r="R1422" s="27" t="n"/>
      <c r="S1422" s="27" t="n"/>
      <c r="T1422" s="27" t="n"/>
    </row>
    <row r="1423" ht="13.8" customFormat="1" customHeight="1" s="70">
      <c r="M1423" s="27" t="n"/>
      <c r="N1423" s="27" t="n"/>
      <c r="O1423" s="27" t="n"/>
      <c r="P1423" s="27" t="n"/>
      <c r="Q1423" s="27" t="n"/>
      <c r="R1423" s="27" t="n"/>
      <c r="S1423" s="27" t="n"/>
      <c r="T1423" s="27" t="n"/>
    </row>
    <row r="1424" ht="13.8" customFormat="1" customHeight="1" s="70">
      <c r="M1424" s="27" t="n"/>
      <c r="N1424" s="27" t="n"/>
      <c r="O1424" s="27" t="n"/>
      <c r="P1424" s="27" t="n"/>
      <c r="Q1424" s="27" t="n"/>
      <c r="R1424" s="27" t="n"/>
      <c r="S1424" s="27" t="n"/>
      <c r="T1424" s="27" t="n"/>
    </row>
    <row r="1425" ht="13.8" customFormat="1" customHeight="1" s="70">
      <c r="M1425" s="27" t="n"/>
      <c r="N1425" s="27" t="n"/>
      <c r="O1425" s="27" t="n"/>
      <c r="P1425" s="27" t="n"/>
      <c r="Q1425" s="27" t="n"/>
      <c r="R1425" s="27" t="n"/>
      <c r="S1425" s="27" t="n"/>
      <c r="T1425" s="27" t="n"/>
    </row>
    <row r="1426" ht="13.8" customFormat="1" customHeight="1" s="70">
      <c r="M1426" s="27" t="n"/>
      <c r="N1426" s="27" t="n"/>
      <c r="O1426" s="27" t="n"/>
      <c r="P1426" s="27" t="n"/>
      <c r="Q1426" s="27" t="n"/>
      <c r="R1426" s="27" t="n"/>
      <c r="S1426" s="27" t="n"/>
      <c r="T1426" s="27" t="n"/>
    </row>
    <row r="1427" ht="13.8" customFormat="1" customHeight="1" s="70">
      <c r="M1427" s="27" t="n"/>
      <c r="N1427" s="27" t="n"/>
      <c r="O1427" s="27" t="n"/>
      <c r="P1427" s="27" t="n"/>
      <c r="Q1427" s="27" t="n"/>
      <c r="R1427" s="27" t="n"/>
      <c r="S1427" s="27" t="n"/>
      <c r="T1427" s="27" t="n"/>
    </row>
    <row r="1428" ht="13.8" customFormat="1" customHeight="1" s="70">
      <c r="M1428" s="27" t="n"/>
      <c r="N1428" s="27" t="n"/>
      <c r="O1428" s="27" t="n"/>
      <c r="P1428" s="27" t="n"/>
      <c r="Q1428" s="27" t="n"/>
      <c r="R1428" s="27" t="n"/>
      <c r="S1428" s="27" t="n"/>
      <c r="T1428" s="27" t="n"/>
    </row>
    <row r="1429" ht="13.8" customFormat="1" customHeight="1" s="70">
      <c r="M1429" s="27" t="n"/>
      <c r="N1429" s="27" t="n"/>
      <c r="O1429" s="27" t="n"/>
      <c r="P1429" s="27" t="n"/>
      <c r="Q1429" s="27" t="n"/>
      <c r="R1429" s="27" t="n"/>
      <c r="S1429" s="27" t="n"/>
      <c r="T1429" s="27" t="n"/>
    </row>
    <row r="1430" ht="13.8" customFormat="1" customHeight="1" s="70">
      <c r="M1430" s="27" t="n"/>
      <c r="N1430" s="27" t="n"/>
      <c r="O1430" s="27" t="n"/>
      <c r="P1430" s="27" t="n"/>
      <c r="Q1430" s="27" t="n"/>
      <c r="R1430" s="27" t="n"/>
      <c r="S1430" s="27" t="n"/>
      <c r="T1430" s="27" t="n"/>
    </row>
    <row r="1431" ht="13.8" customFormat="1" customHeight="1" s="70">
      <c r="M1431" s="27" t="n"/>
      <c r="N1431" s="27" t="n"/>
      <c r="O1431" s="27" t="n"/>
      <c r="P1431" s="27" t="n"/>
      <c r="Q1431" s="27" t="n"/>
      <c r="R1431" s="27" t="n"/>
      <c r="S1431" s="27" t="n"/>
      <c r="T1431" s="27" t="n"/>
    </row>
    <row r="1432" ht="13.8" customFormat="1" customHeight="1" s="70">
      <c r="M1432" s="27" t="n"/>
      <c r="N1432" s="27" t="n"/>
      <c r="O1432" s="27" t="n"/>
      <c r="P1432" s="27" t="n"/>
      <c r="Q1432" s="27" t="n"/>
      <c r="R1432" s="27" t="n"/>
      <c r="S1432" s="27" t="n"/>
      <c r="T1432" s="27" t="n"/>
    </row>
    <row r="1433" ht="13.8" customFormat="1" customHeight="1" s="70">
      <c r="M1433" s="27" t="n"/>
      <c r="N1433" s="27" t="n"/>
      <c r="O1433" s="27" t="n"/>
      <c r="P1433" s="27" t="n"/>
      <c r="Q1433" s="27" t="n"/>
      <c r="R1433" s="27" t="n"/>
      <c r="S1433" s="27" t="n"/>
      <c r="T1433" s="27" t="n"/>
    </row>
    <row r="1434" ht="13.8" customFormat="1" customHeight="1" s="70">
      <c r="M1434" s="27" t="n"/>
      <c r="N1434" s="27" t="n"/>
      <c r="O1434" s="27" t="n"/>
      <c r="P1434" s="27" t="n"/>
      <c r="Q1434" s="27" t="n"/>
      <c r="R1434" s="27" t="n"/>
      <c r="S1434" s="27" t="n"/>
      <c r="T1434" s="27" t="n"/>
    </row>
    <row r="1435" ht="13.8" customFormat="1" customHeight="1" s="70">
      <c r="M1435" s="27" t="n"/>
      <c r="N1435" s="27" t="n"/>
      <c r="O1435" s="27" t="n"/>
      <c r="P1435" s="27" t="n"/>
      <c r="Q1435" s="27" t="n"/>
      <c r="R1435" s="27" t="n"/>
      <c r="S1435" s="27" t="n"/>
      <c r="T1435" s="27" t="n"/>
    </row>
    <row r="1436" ht="13.8" customFormat="1" customHeight="1" s="70">
      <c r="M1436" s="27" t="n"/>
      <c r="N1436" s="27" t="n"/>
      <c r="O1436" s="27" t="n"/>
      <c r="P1436" s="27" t="n"/>
      <c r="Q1436" s="27" t="n"/>
      <c r="R1436" s="27" t="n"/>
      <c r="S1436" s="27" t="n"/>
      <c r="T1436" s="27" t="n"/>
    </row>
    <row r="1437" ht="13.8" customFormat="1" customHeight="1" s="70">
      <c r="M1437" s="27" t="n"/>
      <c r="N1437" s="27" t="n"/>
      <c r="O1437" s="27" t="n"/>
      <c r="P1437" s="27" t="n"/>
      <c r="Q1437" s="27" t="n"/>
      <c r="R1437" s="27" t="n"/>
      <c r="S1437" s="27" t="n"/>
      <c r="T1437" s="27" t="n"/>
    </row>
    <row r="1438" ht="13.8" customFormat="1" customHeight="1" s="70">
      <c r="M1438" s="27" t="n"/>
      <c r="N1438" s="27" t="n"/>
      <c r="O1438" s="27" t="n"/>
      <c r="P1438" s="27" t="n"/>
      <c r="Q1438" s="27" t="n"/>
      <c r="R1438" s="27" t="n"/>
      <c r="S1438" s="27" t="n"/>
      <c r="T1438" s="27" t="n"/>
    </row>
    <row r="1439" ht="13.8" customFormat="1" customHeight="1" s="70">
      <c r="M1439" s="27" t="n"/>
      <c r="N1439" s="27" t="n"/>
      <c r="O1439" s="27" t="n"/>
      <c r="P1439" s="27" t="n"/>
      <c r="Q1439" s="27" t="n"/>
      <c r="R1439" s="27" t="n"/>
      <c r="S1439" s="27" t="n"/>
      <c r="T1439" s="27" t="n"/>
    </row>
    <row r="1440" ht="13.8" customFormat="1" customHeight="1" s="70">
      <c r="M1440" s="27" t="n"/>
      <c r="N1440" s="27" t="n"/>
      <c r="O1440" s="27" t="n"/>
      <c r="P1440" s="27" t="n"/>
      <c r="Q1440" s="27" t="n"/>
      <c r="R1440" s="27" t="n"/>
      <c r="S1440" s="27" t="n"/>
      <c r="T1440" s="27" t="n"/>
    </row>
    <row r="1441" ht="13.8" customFormat="1" customHeight="1" s="70">
      <c r="M1441" s="27" t="n"/>
      <c r="N1441" s="27" t="n"/>
      <c r="O1441" s="27" t="n"/>
      <c r="P1441" s="27" t="n"/>
      <c r="Q1441" s="27" t="n"/>
      <c r="R1441" s="27" t="n"/>
      <c r="S1441" s="27" t="n"/>
      <c r="T1441" s="27" t="n"/>
    </row>
    <row r="1442" ht="13.8" customFormat="1" customHeight="1" s="70">
      <c r="M1442" s="27" t="n"/>
      <c r="N1442" s="27" t="n"/>
      <c r="O1442" s="27" t="n"/>
      <c r="P1442" s="27" t="n"/>
      <c r="Q1442" s="27" t="n"/>
      <c r="R1442" s="27" t="n"/>
      <c r="S1442" s="27" t="n"/>
      <c r="T1442" s="27" t="n"/>
    </row>
    <row r="1443" ht="13.8" customFormat="1" customHeight="1" s="70">
      <c r="M1443" s="27" t="n"/>
      <c r="N1443" s="27" t="n"/>
      <c r="O1443" s="27" t="n"/>
      <c r="P1443" s="27" t="n"/>
      <c r="Q1443" s="27" t="n"/>
      <c r="R1443" s="27" t="n"/>
      <c r="S1443" s="27" t="n"/>
      <c r="T1443" s="27" t="n"/>
    </row>
    <row r="1444" ht="13.8" customFormat="1" customHeight="1" s="70">
      <c r="M1444" s="27" t="n"/>
      <c r="N1444" s="27" t="n"/>
      <c r="O1444" s="27" t="n"/>
      <c r="P1444" s="27" t="n"/>
      <c r="Q1444" s="27" t="n"/>
      <c r="R1444" s="27" t="n"/>
      <c r="S1444" s="27" t="n"/>
      <c r="T1444" s="27" t="n"/>
    </row>
    <row r="1445" ht="13.8" customFormat="1" customHeight="1" s="70">
      <c r="M1445" s="27" t="n"/>
      <c r="N1445" s="27" t="n"/>
      <c r="O1445" s="27" t="n"/>
      <c r="P1445" s="27" t="n"/>
      <c r="Q1445" s="27" t="n"/>
      <c r="R1445" s="27" t="n"/>
      <c r="S1445" s="27" t="n"/>
      <c r="T1445" s="27" t="n"/>
    </row>
    <row r="1446" ht="13.8" customFormat="1" customHeight="1" s="70">
      <c r="M1446" s="27" t="n"/>
      <c r="N1446" s="27" t="n"/>
      <c r="O1446" s="27" t="n"/>
      <c r="P1446" s="27" t="n"/>
      <c r="Q1446" s="27" t="n"/>
      <c r="R1446" s="27" t="n"/>
      <c r="S1446" s="27" t="n"/>
      <c r="T1446" s="27" t="n"/>
    </row>
    <row r="1447" ht="13.8" customFormat="1" customHeight="1" s="70">
      <c r="M1447" s="27" t="n"/>
      <c r="N1447" s="27" t="n"/>
      <c r="O1447" s="27" t="n"/>
      <c r="P1447" s="27" t="n"/>
      <c r="Q1447" s="27" t="n"/>
      <c r="R1447" s="27" t="n"/>
      <c r="S1447" s="27" t="n"/>
      <c r="T1447" s="27" t="n"/>
    </row>
    <row r="1448" ht="13.8" customFormat="1" customHeight="1" s="70">
      <c r="M1448" s="27" t="n"/>
      <c r="N1448" s="27" t="n"/>
      <c r="O1448" s="27" t="n"/>
      <c r="P1448" s="27" t="n"/>
      <c r="Q1448" s="27" t="n"/>
      <c r="R1448" s="27" t="n"/>
      <c r="S1448" s="27" t="n"/>
      <c r="T1448" s="27" t="n"/>
    </row>
    <row r="1449" ht="13.8" customFormat="1" customHeight="1" s="70">
      <c r="M1449" s="27" t="n"/>
      <c r="N1449" s="27" t="n"/>
      <c r="O1449" s="27" t="n"/>
      <c r="P1449" s="27" t="n"/>
      <c r="Q1449" s="27" t="n"/>
      <c r="R1449" s="27" t="n"/>
      <c r="S1449" s="27" t="n"/>
      <c r="T1449" s="27" t="n"/>
    </row>
    <row r="1450" ht="13.8" customFormat="1" customHeight="1" s="70">
      <c r="M1450" s="27" t="n"/>
      <c r="N1450" s="27" t="n"/>
      <c r="O1450" s="27" t="n"/>
      <c r="P1450" s="27" t="n"/>
      <c r="Q1450" s="27" t="n"/>
      <c r="R1450" s="27" t="n"/>
      <c r="S1450" s="27" t="n"/>
      <c r="T1450" s="27" t="n"/>
    </row>
    <row r="1451" ht="13.8" customFormat="1" customHeight="1" s="70">
      <c r="M1451" s="27" t="n"/>
      <c r="N1451" s="27" t="n"/>
      <c r="O1451" s="27" t="n"/>
      <c r="P1451" s="27" t="n"/>
      <c r="Q1451" s="27" t="n"/>
      <c r="R1451" s="27" t="n"/>
      <c r="S1451" s="27" t="n"/>
      <c r="T1451" s="27" t="n"/>
    </row>
    <row r="1452" ht="13.8" customFormat="1" customHeight="1" s="70">
      <c r="M1452" s="27" t="n"/>
      <c r="N1452" s="27" t="n"/>
      <c r="O1452" s="27" t="n"/>
      <c r="P1452" s="27" t="n"/>
      <c r="Q1452" s="27" t="n"/>
      <c r="R1452" s="27" t="n"/>
      <c r="S1452" s="27" t="n"/>
      <c r="T1452" s="27" t="n"/>
    </row>
    <row r="1453" ht="13.8" customFormat="1" customHeight="1" s="70">
      <c r="M1453" s="27" t="n"/>
      <c r="N1453" s="27" t="n"/>
      <c r="O1453" s="27" t="n"/>
      <c r="P1453" s="27" t="n"/>
      <c r="Q1453" s="27" t="n"/>
      <c r="R1453" s="27" t="n"/>
      <c r="S1453" s="27" t="n"/>
      <c r="T1453" s="27" t="n"/>
    </row>
    <row r="1454" ht="13.8" customFormat="1" customHeight="1" s="70">
      <c r="M1454" s="27" t="n"/>
      <c r="N1454" s="27" t="n"/>
      <c r="O1454" s="27" t="n"/>
      <c r="P1454" s="27" t="n"/>
      <c r="Q1454" s="27" t="n"/>
      <c r="R1454" s="27" t="n"/>
      <c r="S1454" s="27" t="n"/>
      <c r="T1454" s="27" t="n"/>
    </row>
    <row r="1455" ht="13.8" customFormat="1" customHeight="1" s="70">
      <c r="M1455" s="27" t="n"/>
      <c r="N1455" s="27" t="n"/>
      <c r="O1455" s="27" t="n"/>
      <c r="P1455" s="27" t="n"/>
      <c r="Q1455" s="27" t="n"/>
      <c r="R1455" s="27" t="n"/>
      <c r="S1455" s="27" t="n"/>
      <c r="T1455" s="27" t="n"/>
    </row>
    <row r="1456" ht="13.8" customFormat="1" customHeight="1" s="70">
      <c r="M1456" s="27" t="n"/>
      <c r="N1456" s="27" t="n"/>
      <c r="O1456" s="27" t="n"/>
      <c r="P1456" s="27" t="n"/>
      <c r="Q1456" s="27" t="n"/>
      <c r="R1456" s="27" t="n"/>
      <c r="S1456" s="27" t="n"/>
      <c r="T1456" s="27" t="n"/>
    </row>
    <row r="1457" ht="13.8" customFormat="1" customHeight="1" s="70">
      <c r="M1457" s="27" t="n"/>
      <c r="N1457" s="27" t="n"/>
      <c r="O1457" s="27" t="n"/>
      <c r="P1457" s="27" t="n"/>
      <c r="Q1457" s="27" t="n"/>
      <c r="R1457" s="27" t="n"/>
      <c r="S1457" s="27" t="n"/>
      <c r="T1457" s="27" t="n"/>
    </row>
    <row r="1458" ht="13.8" customFormat="1" customHeight="1" s="70">
      <c r="M1458" s="27" t="n"/>
      <c r="N1458" s="27" t="n"/>
      <c r="O1458" s="27" t="n"/>
      <c r="P1458" s="27" t="n"/>
      <c r="Q1458" s="27" t="n"/>
      <c r="R1458" s="27" t="n"/>
      <c r="S1458" s="27" t="n"/>
      <c r="T1458" s="27" t="n"/>
    </row>
    <row r="1459" ht="13.8" customFormat="1" customHeight="1" s="70">
      <c r="M1459" s="27" t="n"/>
      <c r="N1459" s="27" t="n"/>
      <c r="O1459" s="27" t="n"/>
      <c r="P1459" s="27" t="n"/>
      <c r="Q1459" s="27" t="n"/>
      <c r="R1459" s="27" t="n"/>
      <c r="S1459" s="27" t="n"/>
      <c r="T1459" s="27" t="n"/>
    </row>
    <row r="1460" ht="13.8" customFormat="1" customHeight="1" s="70">
      <c r="M1460" s="27" t="n"/>
      <c r="N1460" s="27" t="n"/>
      <c r="O1460" s="27" t="n"/>
      <c r="P1460" s="27" t="n"/>
      <c r="Q1460" s="27" t="n"/>
      <c r="R1460" s="27" t="n"/>
      <c r="S1460" s="27" t="n"/>
      <c r="T1460" s="27" t="n"/>
    </row>
    <row r="1461" ht="13.8" customFormat="1" customHeight="1" s="70">
      <c r="M1461" s="27" t="n"/>
      <c r="N1461" s="27" t="n"/>
      <c r="O1461" s="27" t="n"/>
      <c r="P1461" s="27" t="n"/>
      <c r="Q1461" s="27" t="n"/>
      <c r="R1461" s="27" t="n"/>
      <c r="S1461" s="27" t="n"/>
      <c r="T1461" s="27" t="n"/>
    </row>
    <row r="1462" ht="13.8" customFormat="1" customHeight="1" s="70">
      <c r="M1462" s="27" t="n"/>
      <c r="N1462" s="27" t="n"/>
      <c r="O1462" s="27" t="n"/>
      <c r="P1462" s="27" t="n"/>
      <c r="Q1462" s="27" t="n"/>
      <c r="R1462" s="27" t="n"/>
      <c r="S1462" s="27" t="n"/>
      <c r="T1462" s="27" t="n"/>
    </row>
    <row r="1463" ht="13.8" customFormat="1" customHeight="1" s="70">
      <c r="M1463" s="27" t="n"/>
      <c r="N1463" s="27" t="n"/>
      <c r="O1463" s="27" t="n"/>
      <c r="P1463" s="27" t="n"/>
      <c r="Q1463" s="27" t="n"/>
      <c r="R1463" s="27" t="n"/>
      <c r="S1463" s="27" t="n"/>
      <c r="T1463" s="27" t="n"/>
    </row>
    <row r="1464" ht="13.8" customFormat="1" customHeight="1" s="70">
      <c r="M1464" s="27" t="n"/>
      <c r="N1464" s="27" t="n"/>
      <c r="O1464" s="27" t="n"/>
      <c r="P1464" s="27" t="n"/>
      <c r="Q1464" s="27" t="n"/>
      <c r="R1464" s="27" t="n"/>
      <c r="S1464" s="27" t="n"/>
      <c r="T1464" s="27" t="n"/>
    </row>
    <row r="1465" ht="13.8" customFormat="1" customHeight="1" s="70">
      <c r="M1465" s="27" t="n"/>
      <c r="N1465" s="27" t="n"/>
      <c r="O1465" s="27" t="n"/>
      <c r="P1465" s="27" t="n"/>
      <c r="Q1465" s="27" t="n"/>
      <c r="R1465" s="27" t="n"/>
      <c r="S1465" s="27" t="n"/>
      <c r="T1465" s="27" t="n"/>
    </row>
    <row r="1466" ht="13.8" customFormat="1" customHeight="1" s="70">
      <c r="M1466" s="27" t="n"/>
      <c r="N1466" s="27" t="n"/>
      <c r="O1466" s="27" t="n"/>
      <c r="P1466" s="27" t="n"/>
      <c r="Q1466" s="27" t="n"/>
      <c r="R1466" s="27" t="n"/>
      <c r="S1466" s="27" t="n"/>
      <c r="T1466" s="27" t="n"/>
    </row>
    <row r="1467" ht="13.8" customFormat="1" customHeight="1" s="70">
      <c r="M1467" s="27" t="n"/>
      <c r="N1467" s="27" t="n"/>
      <c r="O1467" s="27" t="n"/>
      <c r="P1467" s="27" t="n"/>
      <c r="Q1467" s="27" t="n"/>
      <c r="R1467" s="27" t="n"/>
      <c r="S1467" s="27" t="n"/>
      <c r="T1467" s="27" t="n"/>
    </row>
    <row r="1468" ht="13.8" customFormat="1" customHeight="1" s="70">
      <c r="M1468" s="27" t="n"/>
      <c r="N1468" s="27" t="n"/>
      <c r="O1468" s="27" t="n"/>
      <c r="P1468" s="27" t="n"/>
      <c r="Q1468" s="27" t="n"/>
      <c r="R1468" s="27" t="n"/>
      <c r="S1468" s="27" t="n"/>
      <c r="T1468" s="27" t="n"/>
    </row>
    <row r="1469" ht="13.8" customFormat="1" customHeight="1" s="70">
      <c r="M1469" s="27" t="n"/>
      <c r="N1469" s="27" t="n"/>
      <c r="O1469" s="27" t="n"/>
      <c r="P1469" s="27" t="n"/>
      <c r="Q1469" s="27" t="n"/>
      <c r="R1469" s="27" t="n"/>
      <c r="S1469" s="27" t="n"/>
      <c r="T1469" s="27" t="n"/>
    </row>
    <row r="1470" ht="13.8" customFormat="1" customHeight="1" s="70">
      <c r="M1470" s="27" t="n"/>
      <c r="N1470" s="27" t="n"/>
      <c r="O1470" s="27" t="n"/>
      <c r="P1470" s="27" t="n"/>
      <c r="Q1470" s="27" t="n"/>
      <c r="R1470" s="27" t="n"/>
      <c r="S1470" s="27" t="n"/>
      <c r="T1470" s="27" t="n"/>
    </row>
    <row r="1471" ht="13.8" customFormat="1" customHeight="1" s="70">
      <c r="M1471" s="27" t="n"/>
      <c r="N1471" s="27" t="n"/>
      <c r="O1471" s="27" t="n"/>
      <c r="P1471" s="27" t="n"/>
      <c r="Q1471" s="27" t="n"/>
      <c r="R1471" s="27" t="n"/>
      <c r="S1471" s="27" t="n"/>
      <c r="T1471" s="27" t="n"/>
    </row>
    <row r="1472" ht="13.8" customFormat="1" customHeight="1" s="70">
      <c r="M1472" s="27" t="n"/>
      <c r="N1472" s="27" t="n"/>
      <c r="O1472" s="27" t="n"/>
      <c r="P1472" s="27" t="n"/>
      <c r="Q1472" s="27" t="n"/>
      <c r="R1472" s="27" t="n"/>
      <c r="S1472" s="27" t="n"/>
      <c r="T1472" s="27" t="n"/>
    </row>
    <row r="1473" ht="13.8" customFormat="1" customHeight="1" s="70">
      <c r="M1473" s="27" t="n"/>
      <c r="N1473" s="27" t="n"/>
      <c r="O1473" s="27" t="n"/>
      <c r="P1473" s="27" t="n"/>
      <c r="Q1473" s="27" t="n"/>
      <c r="R1473" s="27" t="n"/>
      <c r="S1473" s="27" t="n"/>
      <c r="T1473" s="27" t="n"/>
    </row>
    <row r="1474" ht="13.8" customFormat="1" customHeight="1" s="70">
      <c r="M1474" s="27" t="n"/>
      <c r="N1474" s="27" t="n"/>
      <c r="O1474" s="27" t="n"/>
      <c r="P1474" s="27" t="n"/>
      <c r="Q1474" s="27" t="n"/>
      <c r="R1474" s="27" t="n"/>
      <c r="S1474" s="27" t="n"/>
      <c r="T1474" s="27" t="n"/>
    </row>
    <row r="1475" ht="13.8" customFormat="1" customHeight="1" s="70">
      <c r="M1475" s="27" t="n"/>
      <c r="N1475" s="27" t="n"/>
      <c r="O1475" s="27" t="n"/>
      <c r="P1475" s="27" t="n"/>
      <c r="Q1475" s="27" t="n"/>
      <c r="R1475" s="27" t="n"/>
      <c r="S1475" s="27" t="n"/>
      <c r="T1475" s="27" t="n"/>
    </row>
    <row r="1476" ht="13.8" customFormat="1" customHeight="1" s="70">
      <c r="M1476" s="27" t="n"/>
      <c r="N1476" s="27" t="n"/>
      <c r="O1476" s="27" t="n"/>
      <c r="P1476" s="27" t="n"/>
      <c r="Q1476" s="27" t="n"/>
      <c r="R1476" s="27" t="n"/>
      <c r="S1476" s="27" t="n"/>
      <c r="T1476" s="27" t="n"/>
    </row>
    <row r="1477" ht="13.8" customFormat="1" customHeight="1" s="70">
      <c r="M1477" s="27" t="n"/>
      <c r="N1477" s="27" t="n"/>
      <c r="O1477" s="27" t="n"/>
      <c r="P1477" s="27" t="n"/>
      <c r="Q1477" s="27" t="n"/>
      <c r="R1477" s="27" t="n"/>
      <c r="S1477" s="27" t="n"/>
      <c r="T1477" s="27" t="n"/>
    </row>
    <row r="1478" ht="13.8" customFormat="1" customHeight="1" s="70">
      <c r="M1478" s="27" t="n"/>
      <c r="N1478" s="27" t="n"/>
      <c r="O1478" s="27" t="n"/>
      <c r="P1478" s="27" t="n"/>
      <c r="Q1478" s="27" t="n"/>
      <c r="R1478" s="27" t="n"/>
      <c r="S1478" s="27" t="n"/>
      <c r="T1478" s="27" t="n"/>
    </row>
    <row r="1479" ht="13.8" customFormat="1" customHeight="1" s="70">
      <c r="M1479" s="27" t="n"/>
      <c r="N1479" s="27" t="n"/>
      <c r="O1479" s="27" t="n"/>
      <c r="P1479" s="27" t="n"/>
      <c r="Q1479" s="27" t="n"/>
      <c r="R1479" s="27" t="n"/>
      <c r="S1479" s="27" t="n"/>
      <c r="T1479" s="27" t="n"/>
    </row>
    <row r="1480" ht="13.8" customFormat="1" customHeight="1" s="70">
      <c r="M1480" s="27" t="n"/>
      <c r="N1480" s="27" t="n"/>
      <c r="O1480" s="27" t="n"/>
      <c r="P1480" s="27" t="n"/>
      <c r="Q1480" s="27" t="n"/>
      <c r="R1480" s="27" t="n"/>
      <c r="S1480" s="27" t="n"/>
      <c r="T1480" s="27" t="n"/>
    </row>
    <row r="1481" ht="13.8" customFormat="1" customHeight="1" s="70">
      <c r="M1481" s="27" t="n"/>
      <c r="N1481" s="27" t="n"/>
      <c r="O1481" s="27" t="n"/>
      <c r="P1481" s="27" t="n"/>
      <c r="Q1481" s="27" t="n"/>
      <c r="R1481" s="27" t="n"/>
      <c r="S1481" s="27" t="n"/>
      <c r="T1481" s="27" t="n"/>
    </row>
    <row r="1482" ht="13.8" customFormat="1" customHeight="1" s="70">
      <c r="M1482" s="27" t="n"/>
      <c r="N1482" s="27" t="n"/>
      <c r="O1482" s="27" t="n"/>
      <c r="P1482" s="27" t="n"/>
      <c r="Q1482" s="27" t="n"/>
      <c r="R1482" s="27" t="n"/>
      <c r="S1482" s="27" t="n"/>
      <c r="T1482" s="27" t="n"/>
    </row>
    <row r="1483" ht="13.8" customFormat="1" customHeight="1" s="70">
      <c r="M1483" s="27" t="n"/>
      <c r="N1483" s="27" t="n"/>
      <c r="O1483" s="27" t="n"/>
      <c r="P1483" s="27" t="n"/>
      <c r="Q1483" s="27" t="n"/>
      <c r="R1483" s="27" t="n"/>
      <c r="S1483" s="27" t="n"/>
      <c r="T1483" s="27" t="n"/>
    </row>
    <row r="1484" ht="13.8" customFormat="1" customHeight="1" s="70">
      <c r="M1484" s="27" t="n"/>
      <c r="N1484" s="27" t="n"/>
      <c r="O1484" s="27" t="n"/>
      <c r="P1484" s="27" t="n"/>
      <c r="Q1484" s="27" t="n"/>
      <c r="R1484" s="27" t="n"/>
      <c r="S1484" s="27" t="n"/>
      <c r="T1484" s="27" t="n"/>
    </row>
    <row r="1485" ht="13.8" customFormat="1" customHeight="1" s="70">
      <c r="M1485" s="27" t="n"/>
      <c r="N1485" s="27" t="n"/>
      <c r="O1485" s="27" t="n"/>
      <c r="P1485" s="27" t="n"/>
      <c r="Q1485" s="27" t="n"/>
      <c r="R1485" s="27" t="n"/>
      <c r="S1485" s="27" t="n"/>
      <c r="T1485" s="27" t="n"/>
    </row>
    <row r="1486" ht="13.8" customFormat="1" customHeight="1" s="70">
      <c r="M1486" s="27" t="n"/>
      <c r="N1486" s="27" t="n"/>
      <c r="O1486" s="27" t="n"/>
      <c r="P1486" s="27" t="n"/>
      <c r="Q1486" s="27" t="n"/>
      <c r="R1486" s="27" t="n"/>
      <c r="S1486" s="27" t="n"/>
      <c r="T1486" s="27" t="n"/>
    </row>
    <row r="1487" ht="13.8" customFormat="1" customHeight="1" s="70">
      <c r="M1487" s="27" t="n"/>
      <c r="N1487" s="27" t="n"/>
      <c r="O1487" s="27" t="n"/>
      <c r="P1487" s="27" t="n"/>
      <c r="Q1487" s="27" t="n"/>
      <c r="R1487" s="27" t="n"/>
      <c r="S1487" s="27" t="n"/>
      <c r="T1487" s="27" t="n"/>
    </row>
    <row r="1488" ht="13.8" customFormat="1" customHeight="1" s="70">
      <c r="M1488" s="27" t="n"/>
      <c r="N1488" s="27" t="n"/>
      <c r="O1488" s="27" t="n"/>
      <c r="P1488" s="27" t="n"/>
      <c r="Q1488" s="27" t="n"/>
      <c r="R1488" s="27" t="n"/>
      <c r="S1488" s="27" t="n"/>
      <c r="T1488" s="27" t="n"/>
    </row>
    <row r="1489" ht="13.8" customFormat="1" customHeight="1" s="70">
      <c r="M1489" s="27" t="n"/>
      <c r="N1489" s="27" t="n"/>
      <c r="O1489" s="27" t="n"/>
      <c r="P1489" s="27" t="n"/>
      <c r="Q1489" s="27" t="n"/>
      <c r="R1489" s="27" t="n"/>
      <c r="S1489" s="27" t="n"/>
      <c r="T1489" s="27" t="n"/>
    </row>
    <row r="1490" ht="13.8" customFormat="1" customHeight="1" s="70">
      <c r="M1490" s="27" t="n"/>
      <c r="N1490" s="27" t="n"/>
      <c r="O1490" s="27" t="n"/>
      <c r="P1490" s="27" t="n"/>
      <c r="Q1490" s="27" t="n"/>
      <c r="R1490" s="27" t="n"/>
      <c r="S1490" s="27" t="n"/>
      <c r="T1490" s="27" t="n"/>
    </row>
    <row r="1491" ht="13.8" customFormat="1" customHeight="1" s="70">
      <c r="M1491" s="27" t="n"/>
      <c r="N1491" s="27" t="n"/>
      <c r="O1491" s="27" t="n"/>
      <c r="P1491" s="27" t="n"/>
      <c r="Q1491" s="27" t="n"/>
      <c r="R1491" s="27" t="n"/>
      <c r="S1491" s="27" t="n"/>
      <c r="T1491" s="27" t="n"/>
    </row>
    <row r="1492" ht="13.8" customFormat="1" customHeight="1" s="70">
      <c r="M1492" s="27" t="n"/>
      <c r="N1492" s="27" t="n"/>
      <c r="O1492" s="27" t="n"/>
      <c r="P1492" s="27" t="n"/>
      <c r="Q1492" s="27" t="n"/>
      <c r="R1492" s="27" t="n"/>
      <c r="S1492" s="27" t="n"/>
      <c r="T1492" s="27" t="n"/>
    </row>
    <row r="1493" ht="13.8" customFormat="1" customHeight="1" s="70">
      <c r="M1493" s="27" t="n"/>
      <c r="N1493" s="27" t="n"/>
      <c r="O1493" s="27" t="n"/>
      <c r="P1493" s="27" t="n"/>
      <c r="Q1493" s="27" t="n"/>
      <c r="R1493" s="27" t="n"/>
      <c r="S1493" s="27" t="n"/>
      <c r="T1493" s="27" t="n"/>
    </row>
    <row r="1494" ht="13.8" customFormat="1" customHeight="1" s="70">
      <c r="M1494" s="27" t="n"/>
      <c r="N1494" s="27" t="n"/>
      <c r="O1494" s="27" t="n"/>
      <c r="P1494" s="27" t="n"/>
      <c r="Q1494" s="27" t="n"/>
      <c r="R1494" s="27" t="n"/>
      <c r="S1494" s="27" t="n"/>
      <c r="T1494" s="27" t="n"/>
    </row>
    <row r="1495" ht="13.8" customFormat="1" customHeight="1" s="70">
      <c r="M1495" s="27" t="n"/>
      <c r="N1495" s="27" t="n"/>
      <c r="O1495" s="27" t="n"/>
      <c r="P1495" s="27" t="n"/>
      <c r="Q1495" s="27" t="n"/>
      <c r="R1495" s="27" t="n"/>
      <c r="S1495" s="27" t="n"/>
      <c r="T1495" s="27" t="n"/>
    </row>
    <row r="1496" ht="13.8" customFormat="1" customHeight="1" s="70">
      <c r="M1496" s="27" t="n"/>
      <c r="N1496" s="27" t="n"/>
      <c r="O1496" s="27" t="n"/>
      <c r="P1496" s="27" t="n"/>
      <c r="Q1496" s="27" t="n"/>
      <c r="R1496" s="27" t="n"/>
      <c r="S1496" s="27" t="n"/>
      <c r="T1496" s="27" t="n"/>
    </row>
    <row r="1497" ht="13.8" customFormat="1" customHeight="1" s="70">
      <c r="M1497" s="27" t="n"/>
      <c r="N1497" s="27" t="n"/>
      <c r="O1497" s="27" t="n"/>
      <c r="P1497" s="27" t="n"/>
      <c r="Q1497" s="27" t="n"/>
      <c r="R1497" s="27" t="n"/>
      <c r="S1497" s="27" t="n"/>
      <c r="T1497" s="27" t="n"/>
    </row>
    <row r="1498" ht="13.8" customFormat="1" customHeight="1" s="70">
      <c r="M1498" s="27" t="n"/>
      <c r="N1498" s="27" t="n"/>
      <c r="O1498" s="27" t="n"/>
      <c r="P1498" s="27" t="n"/>
      <c r="Q1498" s="27" t="n"/>
      <c r="R1498" s="27" t="n"/>
      <c r="S1498" s="27" t="n"/>
      <c r="T1498" s="27" t="n"/>
    </row>
    <row r="1499" ht="13.8" customFormat="1" customHeight="1" s="70">
      <c r="M1499" s="27" t="n"/>
      <c r="N1499" s="27" t="n"/>
      <c r="O1499" s="27" t="n"/>
      <c r="P1499" s="27" t="n"/>
      <c r="Q1499" s="27" t="n"/>
      <c r="R1499" s="27" t="n"/>
      <c r="S1499" s="27" t="n"/>
      <c r="T1499" s="27" t="n"/>
    </row>
    <row r="1500" ht="13.8" customFormat="1" customHeight="1" s="70">
      <c r="M1500" s="27" t="n"/>
      <c r="N1500" s="27" t="n"/>
      <c r="O1500" s="27" t="n"/>
      <c r="P1500" s="27" t="n"/>
      <c r="Q1500" s="27" t="n"/>
      <c r="R1500" s="27" t="n"/>
      <c r="S1500" s="27" t="n"/>
      <c r="T1500" s="27" t="n"/>
    </row>
    <row r="1501" ht="13.8" customFormat="1" customHeight="1" s="70">
      <c r="M1501" s="27" t="n"/>
      <c r="N1501" s="27" t="n"/>
      <c r="O1501" s="27" t="n"/>
      <c r="P1501" s="27" t="n"/>
      <c r="Q1501" s="27" t="n"/>
      <c r="R1501" s="27" t="n"/>
      <c r="S1501" s="27" t="n"/>
      <c r="T1501" s="27" t="n"/>
    </row>
    <row r="1502" ht="13.8" customFormat="1" customHeight="1" s="70">
      <c r="M1502" s="27" t="n"/>
      <c r="N1502" s="27" t="n"/>
      <c r="O1502" s="27" t="n"/>
      <c r="P1502" s="27" t="n"/>
      <c r="Q1502" s="27" t="n"/>
      <c r="R1502" s="27" t="n"/>
      <c r="S1502" s="27" t="n"/>
      <c r="T1502" s="27" t="n"/>
    </row>
    <row r="1503" ht="13.8" customFormat="1" customHeight="1" s="70">
      <c r="M1503" s="27" t="n"/>
      <c r="N1503" s="27" t="n"/>
      <c r="O1503" s="27" t="n"/>
      <c r="P1503" s="27" t="n"/>
      <c r="Q1503" s="27" t="n"/>
      <c r="R1503" s="27" t="n"/>
      <c r="S1503" s="27" t="n"/>
      <c r="T1503" s="27" t="n"/>
    </row>
    <row r="1504" ht="13.8" customFormat="1" customHeight="1" s="70">
      <c r="M1504" s="27" t="n"/>
      <c r="N1504" s="27" t="n"/>
      <c r="O1504" s="27" t="n"/>
      <c r="P1504" s="27" t="n"/>
      <c r="Q1504" s="27" t="n"/>
      <c r="R1504" s="27" t="n"/>
      <c r="S1504" s="27" t="n"/>
      <c r="T1504" s="27" t="n"/>
    </row>
    <row r="1505" ht="13.8" customFormat="1" customHeight="1" s="70">
      <c r="M1505" s="27" t="n"/>
      <c r="N1505" s="27" t="n"/>
      <c r="O1505" s="27" t="n"/>
      <c r="P1505" s="27" t="n"/>
      <c r="Q1505" s="27" t="n"/>
      <c r="R1505" s="27" t="n"/>
      <c r="S1505" s="27" t="n"/>
      <c r="T1505" s="27" t="n"/>
    </row>
    <row r="1506" ht="13.8" customFormat="1" customHeight="1" s="70">
      <c r="M1506" s="27" t="n"/>
      <c r="N1506" s="27" t="n"/>
      <c r="O1506" s="27" t="n"/>
      <c r="P1506" s="27" t="n"/>
      <c r="Q1506" s="27" t="n"/>
      <c r="R1506" s="27" t="n"/>
      <c r="S1506" s="27" t="n"/>
      <c r="T1506" s="27" t="n"/>
    </row>
    <row r="1507" ht="13.8" customFormat="1" customHeight="1" s="70">
      <c r="M1507" s="27" t="n"/>
      <c r="N1507" s="27" t="n"/>
      <c r="O1507" s="27" t="n"/>
      <c r="P1507" s="27" t="n"/>
      <c r="Q1507" s="27" t="n"/>
      <c r="R1507" s="27" t="n"/>
      <c r="S1507" s="27" t="n"/>
      <c r="T1507" s="27" t="n"/>
    </row>
    <row r="1508" ht="13.8" customFormat="1" customHeight="1" s="70">
      <c r="M1508" s="27" t="n"/>
      <c r="N1508" s="27" t="n"/>
      <c r="O1508" s="27" t="n"/>
      <c r="P1508" s="27" t="n"/>
      <c r="Q1508" s="27" t="n"/>
      <c r="R1508" s="27" t="n"/>
      <c r="S1508" s="27" t="n"/>
      <c r="T1508" s="27" t="n"/>
    </row>
    <row r="1509" ht="13.8" customFormat="1" customHeight="1" s="70">
      <c r="M1509" s="27" t="n"/>
      <c r="N1509" s="27" t="n"/>
      <c r="O1509" s="27" t="n"/>
      <c r="P1509" s="27" t="n"/>
      <c r="Q1509" s="27" t="n"/>
      <c r="R1509" s="27" t="n"/>
      <c r="S1509" s="27" t="n"/>
      <c r="T1509" s="27" t="n"/>
    </row>
    <row r="1510" ht="13.8" customFormat="1" customHeight="1" s="70">
      <c r="M1510" s="27" t="n"/>
      <c r="N1510" s="27" t="n"/>
      <c r="O1510" s="27" t="n"/>
      <c r="P1510" s="27" t="n"/>
      <c r="Q1510" s="27" t="n"/>
      <c r="R1510" s="27" t="n"/>
      <c r="S1510" s="27" t="n"/>
      <c r="T1510" s="27" t="n"/>
    </row>
    <row r="1511" ht="13.8" customFormat="1" customHeight="1" s="70">
      <c r="M1511" s="27" t="n"/>
      <c r="N1511" s="27" t="n"/>
      <c r="O1511" s="27" t="n"/>
      <c r="P1511" s="27" t="n"/>
      <c r="Q1511" s="27" t="n"/>
      <c r="R1511" s="27" t="n"/>
      <c r="S1511" s="27" t="n"/>
      <c r="T1511" s="27" t="n"/>
    </row>
    <row r="1512" ht="13.8" customFormat="1" customHeight="1" s="70">
      <c r="M1512" s="27" t="n"/>
      <c r="N1512" s="27" t="n"/>
      <c r="O1512" s="27" t="n"/>
      <c r="P1512" s="27" t="n"/>
      <c r="Q1512" s="27" t="n"/>
      <c r="R1512" s="27" t="n"/>
      <c r="S1512" s="27" t="n"/>
      <c r="T1512" s="27" t="n"/>
    </row>
    <row r="1513" ht="13.8" customFormat="1" customHeight="1" s="70">
      <c r="M1513" s="27" t="n"/>
      <c r="N1513" s="27" t="n"/>
      <c r="O1513" s="27" t="n"/>
      <c r="P1513" s="27" t="n"/>
      <c r="Q1513" s="27" t="n"/>
      <c r="R1513" s="27" t="n"/>
      <c r="S1513" s="27" t="n"/>
      <c r="T1513" s="27" t="n"/>
    </row>
    <row r="1514" ht="13.8" customFormat="1" customHeight="1" s="70">
      <c r="M1514" s="27" t="n"/>
      <c r="N1514" s="27" t="n"/>
      <c r="O1514" s="27" t="n"/>
      <c r="P1514" s="27" t="n"/>
      <c r="Q1514" s="27" t="n"/>
      <c r="R1514" s="27" t="n"/>
      <c r="S1514" s="27" t="n"/>
      <c r="T1514" s="27" t="n"/>
    </row>
    <row r="1515" ht="13.8" customFormat="1" customHeight="1" s="70">
      <c r="M1515" s="27" t="n"/>
      <c r="N1515" s="27" t="n"/>
      <c r="O1515" s="27" t="n"/>
      <c r="P1515" s="27" t="n"/>
      <c r="Q1515" s="27" t="n"/>
      <c r="R1515" s="27" t="n"/>
      <c r="S1515" s="27" t="n"/>
      <c r="T1515" s="27" t="n"/>
    </row>
    <row r="1516" ht="13.8" customFormat="1" customHeight="1" s="70">
      <c r="M1516" s="27" t="n"/>
      <c r="N1516" s="27" t="n"/>
      <c r="O1516" s="27" t="n"/>
      <c r="P1516" s="27" t="n"/>
      <c r="Q1516" s="27" t="n"/>
      <c r="R1516" s="27" t="n"/>
      <c r="S1516" s="27" t="n"/>
      <c r="T1516" s="27" t="n"/>
    </row>
    <row r="1517" ht="13.8" customFormat="1" customHeight="1" s="70">
      <c r="M1517" s="27" t="n"/>
      <c r="N1517" s="27" t="n"/>
      <c r="O1517" s="27" t="n"/>
      <c r="P1517" s="27" t="n"/>
      <c r="Q1517" s="27" t="n"/>
      <c r="R1517" s="27" t="n"/>
      <c r="S1517" s="27" t="n"/>
      <c r="T1517" s="27" t="n"/>
    </row>
    <row r="1518" ht="13.8" customFormat="1" customHeight="1" s="70">
      <c r="M1518" s="27" t="n"/>
      <c r="N1518" s="27" t="n"/>
      <c r="O1518" s="27" t="n"/>
      <c r="P1518" s="27" t="n"/>
      <c r="Q1518" s="27" t="n"/>
      <c r="R1518" s="27" t="n"/>
      <c r="S1518" s="27" t="n"/>
      <c r="T1518" s="27" t="n"/>
    </row>
    <row r="1519" ht="13.8" customFormat="1" customHeight="1" s="70">
      <c r="M1519" s="27" t="n"/>
      <c r="N1519" s="27" t="n"/>
      <c r="O1519" s="27" t="n"/>
      <c r="P1519" s="27" t="n"/>
      <c r="Q1519" s="27" t="n"/>
      <c r="R1519" s="27" t="n"/>
      <c r="S1519" s="27" t="n"/>
      <c r="T1519" s="27" t="n"/>
    </row>
    <row r="1520" ht="13.8" customFormat="1" customHeight="1" s="70">
      <c r="M1520" s="27" t="n"/>
      <c r="N1520" s="27" t="n"/>
      <c r="O1520" s="27" t="n"/>
      <c r="P1520" s="27" t="n"/>
      <c r="Q1520" s="27" t="n"/>
      <c r="R1520" s="27" t="n"/>
      <c r="S1520" s="27" t="n"/>
      <c r="T1520" s="27" t="n"/>
    </row>
    <row r="1521" ht="13.8" customFormat="1" customHeight="1" s="70">
      <c r="M1521" s="27" t="n"/>
      <c r="N1521" s="27" t="n"/>
      <c r="O1521" s="27" t="n"/>
      <c r="P1521" s="27" t="n"/>
      <c r="Q1521" s="27" t="n"/>
      <c r="R1521" s="27" t="n"/>
      <c r="S1521" s="27" t="n"/>
      <c r="T1521" s="27" t="n"/>
    </row>
    <row r="1522" ht="13.8" customFormat="1" customHeight="1" s="70">
      <c r="M1522" s="27" t="n"/>
      <c r="N1522" s="27" t="n"/>
      <c r="O1522" s="27" t="n"/>
      <c r="P1522" s="27" t="n"/>
      <c r="Q1522" s="27" t="n"/>
      <c r="R1522" s="27" t="n"/>
      <c r="S1522" s="27" t="n"/>
      <c r="T1522" s="27" t="n"/>
    </row>
    <row r="1523" ht="13.8" customFormat="1" customHeight="1" s="70">
      <c r="M1523" s="27" t="n"/>
      <c r="N1523" s="27" t="n"/>
      <c r="O1523" s="27" t="n"/>
      <c r="P1523" s="27" t="n"/>
      <c r="Q1523" s="27" t="n"/>
      <c r="R1523" s="27" t="n"/>
      <c r="S1523" s="27" t="n"/>
      <c r="T1523" s="27" t="n"/>
    </row>
    <row r="1524" ht="13.8" customFormat="1" customHeight="1" s="70">
      <c r="M1524" s="27" t="n"/>
      <c r="N1524" s="27" t="n"/>
      <c r="O1524" s="27" t="n"/>
      <c r="P1524" s="27" t="n"/>
      <c r="Q1524" s="27" t="n"/>
      <c r="R1524" s="27" t="n"/>
      <c r="S1524" s="27" t="n"/>
      <c r="T1524" s="27" t="n"/>
    </row>
    <row r="1525" ht="13.8" customFormat="1" customHeight="1" s="70">
      <c r="M1525" s="27" t="n"/>
      <c r="N1525" s="27" t="n"/>
      <c r="O1525" s="27" t="n"/>
      <c r="P1525" s="27" t="n"/>
      <c r="Q1525" s="27" t="n"/>
      <c r="R1525" s="27" t="n"/>
      <c r="S1525" s="27" t="n"/>
      <c r="T1525" s="27" t="n"/>
    </row>
    <row r="1526" ht="13.8" customFormat="1" customHeight="1" s="70">
      <c r="M1526" s="27" t="n"/>
      <c r="N1526" s="27" t="n"/>
      <c r="O1526" s="27" t="n"/>
      <c r="P1526" s="27" t="n"/>
      <c r="Q1526" s="27" t="n"/>
      <c r="R1526" s="27" t="n"/>
      <c r="S1526" s="27" t="n"/>
      <c r="T1526" s="27" t="n"/>
    </row>
    <row r="1527" ht="13.8" customFormat="1" customHeight="1" s="70">
      <c r="M1527" s="27" t="n"/>
      <c r="N1527" s="27" t="n"/>
      <c r="O1527" s="27" t="n"/>
      <c r="P1527" s="27" t="n"/>
      <c r="Q1527" s="27" t="n"/>
      <c r="R1527" s="27" t="n"/>
      <c r="S1527" s="27" t="n"/>
      <c r="T1527" s="27" t="n"/>
    </row>
    <row r="1528" ht="13.8" customFormat="1" customHeight="1" s="70">
      <c r="M1528" s="27" t="n"/>
      <c r="N1528" s="27" t="n"/>
      <c r="O1528" s="27" t="n"/>
      <c r="P1528" s="27" t="n"/>
      <c r="Q1528" s="27" t="n"/>
      <c r="R1528" s="27" t="n"/>
      <c r="S1528" s="27" t="n"/>
      <c r="T1528" s="27" t="n"/>
    </row>
    <row r="1529" ht="13.8" customFormat="1" customHeight="1" s="70">
      <c r="M1529" s="27" t="n"/>
      <c r="N1529" s="27" t="n"/>
      <c r="O1529" s="27" t="n"/>
      <c r="P1529" s="27" t="n"/>
      <c r="Q1529" s="27" t="n"/>
      <c r="R1529" s="27" t="n"/>
      <c r="S1529" s="27" t="n"/>
      <c r="T1529" s="27" t="n"/>
    </row>
    <row r="1530" ht="13.8" customFormat="1" customHeight="1" s="70">
      <c r="M1530" s="27" t="n"/>
      <c r="N1530" s="27" t="n"/>
      <c r="O1530" s="27" t="n"/>
      <c r="P1530" s="27" t="n"/>
      <c r="Q1530" s="27" t="n"/>
      <c r="R1530" s="27" t="n"/>
      <c r="S1530" s="27" t="n"/>
      <c r="T1530" s="27" t="n"/>
    </row>
    <row r="1531" ht="13.8" customFormat="1" customHeight="1" s="70">
      <c r="M1531" s="27" t="n"/>
      <c r="N1531" s="27" t="n"/>
      <c r="O1531" s="27" t="n"/>
      <c r="P1531" s="27" t="n"/>
      <c r="Q1531" s="27" t="n"/>
      <c r="R1531" s="27" t="n"/>
      <c r="S1531" s="27" t="n"/>
      <c r="T1531" s="27" t="n"/>
    </row>
    <row r="1532" ht="13.8" customFormat="1" customHeight="1" s="70">
      <c r="M1532" s="27" t="n"/>
      <c r="N1532" s="27" t="n"/>
      <c r="O1532" s="27" t="n"/>
      <c r="P1532" s="27" t="n"/>
      <c r="Q1532" s="27" t="n"/>
      <c r="R1532" s="27" t="n"/>
      <c r="S1532" s="27" t="n"/>
      <c r="T1532" s="27" t="n"/>
    </row>
    <row r="1533" ht="13.8" customFormat="1" customHeight="1" s="70">
      <c r="M1533" s="27" t="n"/>
      <c r="N1533" s="27" t="n"/>
      <c r="O1533" s="27" t="n"/>
      <c r="P1533" s="27" t="n"/>
      <c r="Q1533" s="27" t="n"/>
      <c r="R1533" s="27" t="n"/>
      <c r="S1533" s="27" t="n"/>
      <c r="T1533" s="27" t="n"/>
    </row>
    <row r="1534" ht="13.8" customFormat="1" customHeight="1" s="70">
      <c r="M1534" s="27" t="n"/>
      <c r="N1534" s="27" t="n"/>
      <c r="O1534" s="27" t="n"/>
      <c r="P1534" s="27" t="n"/>
      <c r="Q1534" s="27" t="n"/>
      <c r="R1534" s="27" t="n"/>
      <c r="S1534" s="27" t="n"/>
      <c r="T1534" s="27" t="n"/>
    </row>
    <row r="1535" ht="13.8" customFormat="1" customHeight="1" s="70">
      <c r="M1535" s="27" t="n"/>
      <c r="N1535" s="27" t="n"/>
      <c r="O1535" s="27" t="n"/>
      <c r="P1535" s="27" t="n"/>
      <c r="Q1535" s="27" t="n"/>
      <c r="R1535" s="27" t="n"/>
      <c r="S1535" s="27" t="n"/>
      <c r="T1535" s="27" t="n"/>
    </row>
    <row r="1536" ht="13.8" customFormat="1" customHeight="1" s="70">
      <c r="M1536" s="27" t="n"/>
      <c r="N1536" s="27" t="n"/>
      <c r="O1536" s="27" t="n"/>
      <c r="P1536" s="27" t="n"/>
      <c r="Q1536" s="27" t="n"/>
      <c r="R1536" s="27" t="n"/>
      <c r="S1536" s="27" t="n"/>
      <c r="T1536" s="27" t="n"/>
    </row>
    <row r="1537" ht="13.8" customFormat="1" customHeight="1" s="70">
      <c r="M1537" s="27" t="n"/>
      <c r="N1537" s="27" t="n"/>
      <c r="O1537" s="27" t="n"/>
      <c r="P1537" s="27" t="n"/>
      <c r="Q1537" s="27" t="n"/>
      <c r="R1537" s="27" t="n"/>
      <c r="S1537" s="27" t="n"/>
      <c r="T1537" s="27" t="n"/>
    </row>
    <row r="1538" ht="13.8" customFormat="1" customHeight="1" s="70">
      <c r="M1538" s="27" t="n"/>
      <c r="N1538" s="27" t="n"/>
      <c r="O1538" s="27" t="n"/>
      <c r="P1538" s="27" t="n"/>
      <c r="Q1538" s="27" t="n"/>
      <c r="R1538" s="27" t="n"/>
      <c r="S1538" s="27" t="n"/>
      <c r="T1538" s="27" t="n"/>
    </row>
    <row r="1539" ht="13.8" customFormat="1" customHeight="1" s="70">
      <c r="M1539" s="27" t="n"/>
      <c r="N1539" s="27" t="n"/>
      <c r="O1539" s="27" t="n"/>
      <c r="P1539" s="27" t="n"/>
      <c r="Q1539" s="27" t="n"/>
      <c r="R1539" s="27" t="n"/>
      <c r="S1539" s="27" t="n"/>
      <c r="T1539" s="27" t="n"/>
    </row>
    <row r="1540" ht="13.8" customFormat="1" customHeight="1" s="70">
      <c r="M1540" s="27" t="n"/>
      <c r="N1540" s="27" t="n"/>
      <c r="O1540" s="27" t="n"/>
      <c r="P1540" s="27" t="n"/>
      <c r="Q1540" s="27" t="n"/>
      <c r="R1540" s="27" t="n"/>
      <c r="S1540" s="27" t="n"/>
      <c r="T1540" s="27" t="n"/>
    </row>
    <row r="1541" ht="13.8" customFormat="1" customHeight="1" s="70">
      <c r="M1541" s="27" t="n"/>
      <c r="N1541" s="27" t="n"/>
      <c r="O1541" s="27" t="n"/>
      <c r="P1541" s="27" t="n"/>
      <c r="Q1541" s="27" t="n"/>
      <c r="R1541" s="27" t="n"/>
      <c r="S1541" s="27" t="n"/>
      <c r="T1541" s="27" t="n"/>
    </row>
    <row r="1542" ht="13.8" customFormat="1" customHeight="1" s="70">
      <c r="M1542" s="27" t="n"/>
      <c r="N1542" s="27" t="n"/>
      <c r="O1542" s="27" t="n"/>
      <c r="P1542" s="27" t="n"/>
      <c r="Q1542" s="27" t="n"/>
      <c r="R1542" s="27" t="n"/>
      <c r="S1542" s="27" t="n"/>
      <c r="T1542" s="27" t="n"/>
    </row>
    <row r="1543" ht="13.8" customFormat="1" customHeight="1" s="70">
      <c r="M1543" s="27" t="n"/>
      <c r="N1543" s="27" t="n"/>
      <c r="O1543" s="27" t="n"/>
      <c r="P1543" s="27" t="n"/>
      <c r="Q1543" s="27" t="n"/>
      <c r="R1543" s="27" t="n"/>
      <c r="S1543" s="27" t="n"/>
      <c r="T1543" s="27" t="n"/>
    </row>
    <row r="1544" ht="13.8" customFormat="1" customHeight="1" s="70">
      <c r="M1544" s="27" t="n"/>
      <c r="N1544" s="27" t="n"/>
      <c r="O1544" s="27" t="n"/>
      <c r="P1544" s="27" t="n"/>
      <c r="Q1544" s="27" t="n"/>
      <c r="R1544" s="27" t="n"/>
      <c r="S1544" s="27" t="n"/>
      <c r="T1544" s="27" t="n"/>
    </row>
    <row r="1545" ht="13.8" customFormat="1" customHeight="1" s="70">
      <c r="M1545" s="27" t="n"/>
      <c r="N1545" s="27" t="n"/>
      <c r="O1545" s="27" t="n"/>
      <c r="P1545" s="27" t="n"/>
      <c r="Q1545" s="27" t="n"/>
      <c r="R1545" s="27" t="n"/>
      <c r="S1545" s="27" t="n"/>
      <c r="T1545" s="27" t="n"/>
    </row>
    <row r="1546" ht="13.8" customFormat="1" customHeight="1" s="70">
      <c r="M1546" s="27" t="n"/>
      <c r="N1546" s="27" t="n"/>
      <c r="O1546" s="27" t="n"/>
      <c r="P1546" s="27" t="n"/>
      <c r="Q1546" s="27" t="n"/>
      <c r="R1546" s="27" t="n"/>
      <c r="S1546" s="27" t="n"/>
      <c r="T1546" s="27" t="n"/>
    </row>
    <row r="1547" ht="13.8" customFormat="1" customHeight="1" s="70">
      <c r="M1547" s="27" t="n"/>
      <c r="N1547" s="27" t="n"/>
      <c r="O1547" s="27" t="n"/>
      <c r="P1547" s="27" t="n"/>
      <c r="Q1547" s="27" t="n"/>
      <c r="R1547" s="27" t="n"/>
      <c r="S1547" s="27" t="n"/>
      <c r="T1547" s="27" t="n"/>
    </row>
    <row r="1548" ht="13.8" customFormat="1" customHeight="1" s="70">
      <c r="M1548" s="27" t="n"/>
      <c r="N1548" s="27" t="n"/>
      <c r="O1548" s="27" t="n"/>
      <c r="P1548" s="27" t="n"/>
      <c r="Q1548" s="27" t="n"/>
      <c r="R1548" s="27" t="n"/>
      <c r="S1548" s="27" t="n"/>
      <c r="T1548" s="27" t="n"/>
    </row>
    <row r="1549" ht="13.8" customFormat="1" customHeight="1" s="70">
      <c r="M1549" s="27" t="n"/>
      <c r="N1549" s="27" t="n"/>
      <c r="O1549" s="27" t="n"/>
      <c r="P1549" s="27" t="n"/>
      <c r="Q1549" s="27" t="n"/>
      <c r="R1549" s="27" t="n"/>
      <c r="S1549" s="27" t="n"/>
      <c r="T1549" s="27" t="n"/>
    </row>
    <row r="1550" ht="13.8" customFormat="1" customHeight="1" s="70">
      <c r="M1550" s="27" t="n"/>
      <c r="N1550" s="27" t="n"/>
      <c r="O1550" s="27" t="n"/>
      <c r="P1550" s="27" t="n"/>
      <c r="Q1550" s="27" t="n"/>
      <c r="R1550" s="27" t="n"/>
      <c r="S1550" s="27" t="n"/>
      <c r="T1550" s="27" t="n"/>
    </row>
    <row r="1551" ht="13.8" customFormat="1" customHeight="1" s="70">
      <c r="M1551" s="27" t="n"/>
      <c r="N1551" s="27" t="n"/>
      <c r="O1551" s="27" t="n"/>
      <c r="P1551" s="27" t="n"/>
      <c r="Q1551" s="27" t="n"/>
      <c r="R1551" s="27" t="n"/>
      <c r="S1551" s="27" t="n"/>
      <c r="T1551" s="27" t="n"/>
    </row>
    <row r="1552" ht="13.8" customFormat="1" customHeight="1" s="70">
      <c r="M1552" s="27" t="n"/>
      <c r="N1552" s="27" t="n"/>
      <c r="O1552" s="27" t="n"/>
      <c r="P1552" s="27" t="n"/>
      <c r="Q1552" s="27" t="n"/>
      <c r="R1552" s="27" t="n"/>
      <c r="S1552" s="27" t="n"/>
      <c r="T1552" s="27" t="n"/>
    </row>
    <row r="1553" ht="13.8" customFormat="1" customHeight="1" s="70">
      <c r="M1553" s="27" t="n"/>
      <c r="N1553" s="27" t="n"/>
      <c r="O1553" s="27" t="n"/>
      <c r="P1553" s="27" t="n"/>
      <c r="Q1553" s="27" t="n"/>
      <c r="R1553" s="27" t="n"/>
      <c r="S1553" s="27" t="n"/>
      <c r="T1553" s="27" t="n"/>
    </row>
    <row r="1554" ht="13.8" customFormat="1" customHeight="1" s="70">
      <c r="M1554" s="27" t="n"/>
      <c r="N1554" s="27" t="n"/>
      <c r="O1554" s="27" t="n"/>
      <c r="P1554" s="27" t="n"/>
      <c r="Q1554" s="27" t="n"/>
      <c r="R1554" s="27" t="n"/>
      <c r="S1554" s="27" t="n"/>
      <c r="T1554" s="27" t="n"/>
    </row>
    <row r="1555" ht="13.8" customFormat="1" customHeight="1" s="70">
      <c r="M1555" s="27" t="n"/>
      <c r="N1555" s="27" t="n"/>
      <c r="O1555" s="27" t="n"/>
      <c r="P1555" s="27" t="n"/>
      <c r="Q1555" s="27" t="n"/>
      <c r="R1555" s="27" t="n"/>
      <c r="S1555" s="27" t="n"/>
      <c r="T1555" s="27" t="n"/>
    </row>
    <row r="1556" ht="13.8" customFormat="1" customHeight="1" s="70">
      <c r="M1556" s="27" t="n"/>
      <c r="N1556" s="27" t="n"/>
      <c r="O1556" s="27" t="n"/>
      <c r="P1556" s="27" t="n"/>
      <c r="Q1556" s="27" t="n"/>
      <c r="R1556" s="27" t="n"/>
      <c r="S1556" s="27" t="n"/>
      <c r="T1556" s="27" t="n"/>
    </row>
    <row r="1557" ht="13.8" customFormat="1" customHeight="1" s="70">
      <c r="M1557" s="27" t="n"/>
      <c r="N1557" s="27" t="n"/>
      <c r="O1557" s="27" t="n"/>
      <c r="P1557" s="27" t="n"/>
      <c r="Q1557" s="27" t="n"/>
      <c r="R1557" s="27" t="n"/>
      <c r="S1557" s="27" t="n"/>
      <c r="T1557" s="27" t="n"/>
    </row>
    <row r="1558" ht="13.8" customFormat="1" customHeight="1" s="70">
      <c r="M1558" s="27" t="n"/>
      <c r="N1558" s="27" t="n"/>
      <c r="O1558" s="27" t="n"/>
      <c r="P1558" s="27" t="n"/>
      <c r="Q1558" s="27" t="n"/>
      <c r="R1558" s="27" t="n"/>
      <c r="S1558" s="27" t="n"/>
      <c r="T1558" s="27" t="n"/>
    </row>
    <row r="1559" ht="13.8" customFormat="1" customHeight="1" s="70">
      <c r="M1559" s="27" t="n"/>
      <c r="N1559" s="27" t="n"/>
      <c r="O1559" s="27" t="n"/>
      <c r="P1559" s="27" t="n"/>
      <c r="Q1559" s="27" t="n"/>
      <c r="R1559" s="27" t="n"/>
      <c r="S1559" s="27" t="n"/>
      <c r="T1559" s="27" t="n"/>
    </row>
    <row r="1560" ht="13.8" customFormat="1" customHeight="1" s="70">
      <c r="M1560" s="27" t="n"/>
      <c r="N1560" s="27" t="n"/>
      <c r="O1560" s="27" t="n"/>
      <c r="P1560" s="27" t="n"/>
      <c r="Q1560" s="27" t="n"/>
      <c r="R1560" s="27" t="n"/>
      <c r="S1560" s="27" t="n"/>
      <c r="T1560" s="27" t="n"/>
    </row>
    <row r="1561" ht="13.8" customFormat="1" customHeight="1" s="70">
      <c r="M1561" s="27" t="n"/>
      <c r="N1561" s="27" t="n"/>
      <c r="O1561" s="27" t="n"/>
      <c r="P1561" s="27" t="n"/>
      <c r="Q1561" s="27" t="n"/>
      <c r="R1561" s="27" t="n"/>
      <c r="S1561" s="27" t="n"/>
      <c r="T1561" s="27" t="n"/>
    </row>
    <row r="1562" ht="13.8" customFormat="1" customHeight="1" s="70">
      <c r="M1562" s="27" t="n"/>
      <c r="N1562" s="27" t="n"/>
      <c r="O1562" s="27" t="n"/>
      <c r="P1562" s="27" t="n"/>
      <c r="Q1562" s="27" t="n"/>
      <c r="R1562" s="27" t="n"/>
      <c r="S1562" s="27" t="n"/>
      <c r="T1562" s="27" t="n"/>
    </row>
    <row r="1563" ht="13.8" customFormat="1" customHeight="1" s="70">
      <c r="M1563" s="27" t="n"/>
      <c r="N1563" s="27" t="n"/>
      <c r="O1563" s="27" t="n"/>
      <c r="P1563" s="27" t="n"/>
      <c r="Q1563" s="27" t="n"/>
      <c r="R1563" s="27" t="n"/>
      <c r="S1563" s="27" t="n"/>
      <c r="T1563" s="27" t="n"/>
    </row>
    <row r="1564" ht="13.8" customFormat="1" customHeight="1" s="70">
      <c r="M1564" s="27" t="n"/>
      <c r="N1564" s="27" t="n"/>
      <c r="O1564" s="27" t="n"/>
      <c r="P1564" s="27" t="n"/>
      <c r="Q1564" s="27" t="n"/>
      <c r="R1564" s="27" t="n"/>
      <c r="S1564" s="27" t="n"/>
      <c r="T1564" s="27" t="n"/>
    </row>
    <row r="1565" ht="13.8" customFormat="1" customHeight="1" s="70">
      <c r="M1565" s="27" t="n"/>
      <c r="N1565" s="27" t="n"/>
      <c r="O1565" s="27" t="n"/>
      <c r="P1565" s="27" t="n"/>
      <c r="Q1565" s="27" t="n"/>
      <c r="R1565" s="27" t="n"/>
      <c r="S1565" s="27" t="n"/>
      <c r="T1565" s="27" t="n"/>
    </row>
    <row r="1566" ht="13.8" customFormat="1" customHeight="1" s="70">
      <c r="M1566" s="27" t="n"/>
      <c r="N1566" s="27" t="n"/>
      <c r="O1566" s="27" t="n"/>
      <c r="P1566" s="27" t="n"/>
      <c r="Q1566" s="27" t="n"/>
      <c r="R1566" s="27" t="n"/>
      <c r="S1566" s="27" t="n"/>
      <c r="T1566" s="27" t="n"/>
    </row>
    <row r="1567" ht="13.8" customFormat="1" customHeight="1" s="70">
      <c r="M1567" s="27" t="n"/>
      <c r="N1567" s="27" t="n"/>
      <c r="O1567" s="27" t="n"/>
      <c r="P1567" s="27" t="n"/>
      <c r="Q1567" s="27" t="n"/>
      <c r="R1567" s="27" t="n"/>
      <c r="S1567" s="27" t="n"/>
      <c r="T1567" s="27" t="n"/>
    </row>
    <row r="1568" ht="13.8" customFormat="1" customHeight="1" s="70">
      <c r="M1568" s="27" t="n"/>
      <c r="N1568" s="27" t="n"/>
      <c r="O1568" s="27" t="n"/>
      <c r="P1568" s="27" t="n"/>
      <c r="Q1568" s="27" t="n"/>
      <c r="R1568" s="27" t="n"/>
      <c r="S1568" s="27" t="n"/>
      <c r="T1568" s="27" t="n"/>
    </row>
    <row r="1569" ht="13.8" customFormat="1" customHeight="1" s="70">
      <c r="M1569" s="27" t="n"/>
      <c r="N1569" s="27" t="n"/>
      <c r="O1569" s="27" t="n"/>
      <c r="P1569" s="27" t="n"/>
      <c r="Q1569" s="27" t="n"/>
      <c r="R1569" s="27" t="n"/>
      <c r="S1569" s="27" t="n"/>
      <c r="T1569" s="27" t="n"/>
    </row>
    <row r="1570" ht="13.8" customFormat="1" customHeight="1" s="70">
      <c r="M1570" s="27" t="n"/>
      <c r="N1570" s="27" t="n"/>
      <c r="O1570" s="27" t="n"/>
      <c r="P1570" s="27" t="n"/>
      <c r="Q1570" s="27" t="n"/>
      <c r="R1570" s="27" t="n"/>
      <c r="S1570" s="27" t="n"/>
      <c r="T1570" s="27" t="n"/>
    </row>
    <row r="1571" ht="13.8" customFormat="1" customHeight="1" s="70">
      <c r="M1571" s="27" t="n"/>
      <c r="N1571" s="27" t="n"/>
      <c r="O1571" s="27" t="n"/>
      <c r="P1571" s="27" t="n"/>
      <c r="Q1571" s="27" t="n"/>
      <c r="R1571" s="27" t="n"/>
      <c r="S1571" s="27" t="n"/>
      <c r="T1571" s="27" t="n"/>
    </row>
    <row r="1572" ht="13.8" customFormat="1" customHeight="1" s="70">
      <c r="M1572" s="27" t="n"/>
      <c r="N1572" s="27" t="n"/>
      <c r="O1572" s="27" t="n"/>
      <c r="P1572" s="27" t="n"/>
      <c r="Q1572" s="27" t="n"/>
      <c r="R1572" s="27" t="n"/>
      <c r="S1572" s="27" t="n"/>
      <c r="T1572" s="27" t="n"/>
    </row>
    <row r="1573" ht="13.8" customFormat="1" customHeight="1" s="70">
      <c r="M1573" s="27" t="n"/>
      <c r="N1573" s="27" t="n"/>
      <c r="O1573" s="27" t="n"/>
      <c r="P1573" s="27" t="n"/>
      <c r="Q1573" s="27" t="n"/>
      <c r="R1573" s="27" t="n"/>
      <c r="S1573" s="27" t="n"/>
      <c r="T1573" s="27" t="n"/>
    </row>
    <row r="1574" ht="13.8" customFormat="1" customHeight="1" s="70">
      <c r="M1574" s="27" t="n"/>
      <c r="N1574" s="27" t="n"/>
      <c r="O1574" s="27" t="n"/>
      <c r="P1574" s="27" t="n"/>
      <c r="Q1574" s="27" t="n"/>
      <c r="R1574" s="27" t="n"/>
      <c r="S1574" s="27" t="n"/>
      <c r="T1574" s="27" t="n"/>
    </row>
    <row r="1575" ht="13.8" customFormat="1" customHeight="1" s="70">
      <c r="M1575" s="27" t="n"/>
      <c r="N1575" s="27" t="n"/>
      <c r="O1575" s="27" t="n"/>
      <c r="P1575" s="27" t="n"/>
      <c r="Q1575" s="27" t="n"/>
      <c r="R1575" s="27" t="n"/>
      <c r="S1575" s="27" t="n"/>
      <c r="T1575" s="27" t="n"/>
    </row>
    <row r="1576" ht="13.8" customFormat="1" customHeight="1" s="70">
      <c r="M1576" s="27" t="n"/>
      <c r="N1576" s="27" t="n"/>
      <c r="O1576" s="27" t="n"/>
      <c r="P1576" s="27" t="n"/>
      <c r="Q1576" s="27" t="n"/>
      <c r="R1576" s="27" t="n"/>
      <c r="S1576" s="27" t="n"/>
      <c r="T1576" s="27" t="n"/>
    </row>
    <row r="1577" ht="13.8" customFormat="1" customHeight="1" s="70">
      <c r="M1577" s="27" t="n"/>
      <c r="N1577" s="27" t="n"/>
      <c r="O1577" s="27" t="n"/>
      <c r="P1577" s="27" t="n"/>
      <c r="Q1577" s="27" t="n"/>
      <c r="R1577" s="27" t="n"/>
      <c r="S1577" s="27" t="n"/>
      <c r="T1577" s="27" t="n"/>
    </row>
    <row r="1578" ht="13.8" customFormat="1" customHeight="1" s="70">
      <c r="M1578" s="27" t="n"/>
      <c r="N1578" s="27" t="n"/>
      <c r="O1578" s="27" t="n"/>
      <c r="P1578" s="27" t="n"/>
      <c r="Q1578" s="27" t="n"/>
      <c r="R1578" s="27" t="n"/>
      <c r="S1578" s="27" t="n"/>
      <c r="T1578" s="27" t="n"/>
    </row>
    <row r="1579" ht="13.8" customFormat="1" customHeight="1" s="70">
      <c r="M1579" s="27" t="n"/>
      <c r="N1579" s="27" t="n"/>
      <c r="O1579" s="27" t="n"/>
      <c r="P1579" s="27" t="n"/>
      <c r="Q1579" s="27" t="n"/>
      <c r="R1579" s="27" t="n"/>
      <c r="S1579" s="27" t="n"/>
      <c r="T1579" s="27" t="n"/>
    </row>
    <row r="1580" ht="13.8" customFormat="1" customHeight="1" s="70">
      <c r="M1580" s="27" t="n"/>
      <c r="N1580" s="27" t="n"/>
      <c r="O1580" s="27" t="n"/>
      <c r="P1580" s="27" t="n"/>
      <c r="Q1580" s="27" t="n"/>
      <c r="R1580" s="27" t="n"/>
      <c r="S1580" s="27" t="n"/>
      <c r="T1580" s="27" t="n"/>
    </row>
    <row r="1581" ht="13.8" customFormat="1" customHeight="1" s="70">
      <c r="M1581" s="27" t="n"/>
      <c r="N1581" s="27" t="n"/>
      <c r="O1581" s="27" t="n"/>
      <c r="P1581" s="27" t="n"/>
      <c r="Q1581" s="27" t="n"/>
      <c r="R1581" s="27" t="n"/>
      <c r="S1581" s="27" t="n"/>
      <c r="T1581" s="27" t="n"/>
    </row>
    <row r="1582" ht="13.8" customFormat="1" customHeight="1" s="70">
      <c r="M1582" s="27" t="n"/>
      <c r="N1582" s="27" t="n"/>
      <c r="O1582" s="27" t="n"/>
      <c r="P1582" s="27" t="n"/>
      <c r="Q1582" s="27" t="n"/>
      <c r="R1582" s="27" t="n"/>
      <c r="S1582" s="27" t="n"/>
      <c r="T1582" s="27" t="n"/>
    </row>
    <row r="1583" ht="13.8" customFormat="1" customHeight="1" s="70">
      <c r="M1583" s="27" t="n"/>
      <c r="N1583" s="27" t="n"/>
      <c r="O1583" s="27" t="n"/>
      <c r="P1583" s="27" t="n"/>
      <c r="Q1583" s="27" t="n"/>
      <c r="R1583" s="27" t="n"/>
      <c r="S1583" s="27" t="n"/>
      <c r="T1583" s="27" t="n"/>
    </row>
    <row r="1584" ht="13.8" customFormat="1" customHeight="1" s="70">
      <c r="M1584" s="27" t="n"/>
      <c r="N1584" s="27" t="n"/>
      <c r="O1584" s="27" t="n"/>
      <c r="P1584" s="27" t="n"/>
      <c r="Q1584" s="27" t="n"/>
      <c r="R1584" s="27" t="n"/>
      <c r="S1584" s="27" t="n"/>
      <c r="T1584" s="27" t="n"/>
    </row>
    <row r="1585" ht="13.8" customFormat="1" customHeight="1" s="70">
      <c r="M1585" s="27" t="n"/>
      <c r="N1585" s="27" t="n"/>
      <c r="O1585" s="27" t="n"/>
      <c r="P1585" s="27" t="n"/>
      <c r="Q1585" s="27" t="n"/>
      <c r="R1585" s="27" t="n"/>
      <c r="S1585" s="27" t="n"/>
      <c r="T1585" s="27" t="n"/>
    </row>
    <row r="1586" ht="13.8" customFormat="1" customHeight="1" s="70">
      <c r="M1586" s="27" t="n"/>
      <c r="N1586" s="27" t="n"/>
      <c r="O1586" s="27" t="n"/>
      <c r="P1586" s="27" t="n"/>
      <c r="Q1586" s="27" t="n"/>
      <c r="R1586" s="27" t="n"/>
      <c r="S1586" s="27" t="n"/>
      <c r="T1586" s="27" t="n"/>
    </row>
    <row r="1587" ht="13.8" customFormat="1" customHeight="1" s="70">
      <c r="M1587" s="27" t="n"/>
      <c r="N1587" s="27" t="n"/>
      <c r="O1587" s="27" t="n"/>
      <c r="P1587" s="27" t="n"/>
      <c r="Q1587" s="27" t="n"/>
      <c r="R1587" s="27" t="n"/>
      <c r="S1587" s="27" t="n"/>
      <c r="T1587" s="27" t="n"/>
    </row>
    <row r="1588" ht="13.8" customFormat="1" customHeight="1" s="70">
      <c r="M1588" s="27" t="n"/>
      <c r="N1588" s="27" t="n"/>
      <c r="O1588" s="27" t="n"/>
      <c r="P1588" s="27" t="n"/>
      <c r="Q1588" s="27" t="n"/>
      <c r="R1588" s="27" t="n"/>
      <c r="S1588" s="27" t="n"/>
      <c r="T1588" s="27" t="n"/>
    </row>
    <row r="1589" ht="13.8" customFormat="1" customHeight="1" s="70">
      <c r="M1589" s="27" t="n"/>
      <c r="N1589" s="27" t="n"/>
      <c r="O1589" s="27" t="n"/>
      <c r="P1589" s="27" t="n"/>
      <c r="Q1589" s="27" t="n"/>
      <c r="R1589" s="27" t="n"/>
      <c r="S1589" s="27" t="n"/>
      <c r="T1589" s="27" t="n"/>
    </row>
    <row r="1590" ht="13.8" customFormat="1" customHeight="1" s="70">
      <c r="M1590" s="27" t="n"/>
      <c r="N1590" s="27" t="n"/>
      <c r="O1590" s="27" t="n"/>
      <c r="P1590" s="27" t="n"/>
      <c r="Q1590" s="27" t="n"/>
      <c r="R1590" s="27" t="n"/>
      <c r="S1590" s="27" t="n"/>
      <c r="T1590" s="27" t="n"/>
    </row>
    <row r="1591" ht="13.8" customFormat="1" customHeight="1" s="70">
      <c r="M1591" s="27" t="n"/>
      <c r="N1591" s="27" t="n"/>
      <c r="O1591" s="27" t="n"/>
      <c r="P1591" s="27" t="n"/>
      <c r="Q1591" s="27" t="n"/>
      <c r="R1591" s="27" t="n"/>
      <c r="S1591" s="27" t="n"/>
      <c r="T1591" s="27" t="n"/>
    </row>
    <row r="1592" ht="13.8" customFormat="1" customHeight="1" s="70">
      <c r="M1592" s="27" t="n"/>
      <c r="N1592" s="27" t="n"/>
      <c r="O1592" s="27" t="n"/>
      <c r="P1592" s="27" t="n"/>
      <c r="Q1592" s="27" t="n"/>
      <c r="R1592" s="27" t="n"/>
      <c r="S1592" s="27" t="n"/>
      <c r="T1592" s="27" t="n"/>
    </row>
    <row r="1593" ht="13.8" customFormat="1" customHeight="1" s="70">
      <c r="M1593" s="27" t="n"/>
      <c r="N1593" s="27" t="n"/>
      <c r="O1593" s="27" t="n"/>
      <c r="P1593" s="27" t="n"/>
      <c r="Q1593" s="27" t="n"/>
      <c r="R1593" s="27" t="n"/>
      <c r="S1593" s="27" t="n"/>
      <c r="T1593" s="27" t="n"/>
    </row>
    <row r="1594" ht="13.8" customFormat="1" customHeight="1" s="70">
      <c r="M1594" s="27" t="n"/>
      <c r="N1594" s="27" t="n"/>
      <c r="O1594" s="27" t="n"/>
      <c r="P1594" s="27" t="n"/>
      <c r="Q1594" s="27" t="n"/>
      <c r="R1594" s="27" t="n"/>
      <c r="S1594" s="27" t="n"/>
      <c r="T1594" s="27" t="n"/>
    </row>
    <row r="1595" ht="13.8" customFormat="1" customHeight="1" s="70">
      <c r="M1595" s="27" t="n"/>
      <c r="N1595" s="27" t="n"/>
      <c r="O1595" s="27" t="n"/>
      <c r="P1595" s="27" t="n"/>
      <c r="Q1595" s="27" t="n"/>
      <c r="R1595" s="27" t="n"/>
      <c r="S1595" s="27" t="n"/>
      <c r="T1595" s="27" t="n"/>
    </row>
    <row r="1596" ht="13.8" customFormat="1" customHeight="1" s="70">
      <c r="M1596" s="27" t="n"/>
      <c r="N1596" s="27" t="n"/>
      <c r="O1596" s="27" t="n"/>
      <c r="P1596" s="27" t="n"/>
      <c r="Q1596" s="27" t="n"/>
      <c r="R1596" s="27" t="n"/>
      <c r="S1596" s="27" t="n"/>
      <c r="T1596" s="27" t="n"/>
    </row>
    <row r="1597" ht="13.8" customFormat="1" customHeight="1" s="70">
      <c r="M1597" s="27" t="n"/>
      <c r="N1597" s="27" t="n"/>
      <c r="O1597" s="27" t="n"/>
      <c r="P1597" s="27" t="n"/>
      <c r="Q1597" s="27" t="n"/>
      <c r="R1597" s="27" t="n"/>
      <c r="S1597" s="27" t="n"/>
      <c r="T1597" s="27" t="n"/>
    </row>
    <row r="1598" ht="13.8" customFormat="1" customHeight="1" s="70">
      <c r="M1598" s="27" t="n"/>
      <c r="N1598" s="27" t="n"/>
      <c r="O1598" s="27" t="n"/>
      <c r="P1598" s="27" t="n"/>
      <c r="Q1598" s="27" t="n"/>
      <c r="R1598" s="27" t="n"/>
      <c r="S1598" s="27" t="n"/>
      <c r="T1598" s="27" t="n"/>
    </row>
    <row r="1599" ht="13.8" customFormat="1" customHeight="1" s="70">
      <c r="M1599" s="27" t="n"/>
      <c r="N1599" s="27" t="n"/>
      <c r="O1599" s="27" t="n"/>
      <c r="P1599" s="27" t="n"/>
      <c r="Q1599" s="27" t="n"/>
      <c r="R1599" s="27" t="n"/>
      <c r="S1599" s="27" t="n"/>
      <c r="T1599" s="27" t="n"/>
    </row>
    <row r="1600" ht="13.8" customFormat="1" customHeight="1" s="70">
      <c r="M1600" s="27" t="n"/>
      <c r="N1600" s="27" t="n"/>
      <c r="O1600" s="27" t="n"/>
      <c r="P1600" s="27" t="n"/>
      <c r="Q1600" s="27" t="n"/>
      <c r="R1600" s="27" t="n"/>
      <c r="S1600" s="27" t="n"/>
      <c r="T1600" s="27" t="n"/>
    </row>
    <row r="1601" ht="13.8" customFormat="1" customHeight="1" s="70">
      <c r="M1601" s="27" t="n"/>
      <c r="N1601" s="27" t="n"/>
      <c r="O1601" s="27" t="n"/>
      <c r="P1601" s="27" t="n"/>
      <c r="Q1601" s="27" t="n"/>
      <c r="R1601" s="27" t="n"/>
      <c r="S1601" s="27" t="n"/>
      <c r="T1601" s="27" t="n"/>
    </row>
    <row r="1602" ht="13.8" customFormat="1" customHeight="1" s="70">
      <c r="M1602" s="27" t="n"/>
      <c r="N1602" s="27" t="n"/>
      <c r="O1602" s="27" t="n"/>
      <c r="P1602" s="27" t="n"/>
      <c r="Q1602" s="27" t="n"/>
      <c r="R1602" s="27" t="n"/>
      <c r="S1602" s="27" t="n"/>
      <c r="T1602" s="27" t="n"/>
    </row>
    <row r="1603" ht="13.8" customFormat="1" customHeight="1" s="70">
      <c r="M1603" s="27" t="n"/>
      <c r="N1603" s="27" t="n"/>
      <c r="O1603" s="27" t="n"/>
      <c r="P1603" s="27" t="n"/>
      <c r="Q1603" s="27" t="n"/>
      <c r="R1603" s="27" t="n"/>
      <c r="S1603" s="27" t="n"/>
      <c r="T1603" s="27" t="n"/>
    </row>
    <row r="1604" ht="13.8" customFormat="1" customHeight="1" s="70">
      <c r="M1604" s="27" t="n"/>
      <c r="N1604" s="27" t="n"/>
      <c r="O1604" s="27" t="n"/>
      <c r="P1604" s="27" t="n"/>
      <c r="Q1604" s="27" t="n"/>
      <c r="R1604" s="27" t="n"/>
      <c r="S1604" s="27" t="n"/>
      <c r="T1604" s="27" t="n"/>
    </row>
    <row r="1605" ht="13.8" customFormat="1" customHeight="1" s="70">
      <c r="M1605" s="27" t="n"/>
      <c r="N1605" s="27" t="n"/>
      <c r="O1605" s="27" t="n"/>
      <c r="P1605" s="27" t="n"/>
      <c r="Q1605" s="27" t="n"/>
      <c r="R1605" s="27" t="n"/>
      <c r="S1605" s="27" t="n"/>
      <c r="T1605" s="27" t="n"/>
    </row>
    <row r="1606" ht="13.8" customFormat="1" customHeight="1" s="70">
      <c r="M1606" s="27" t="n"/>
      <c r="N1606" s="27" t="n"/>
      <c r="O1606" s="27" t="n"/>
      <c r="P1606" s="27" t="n"/>
      <c r="Q1606" s="27" t="n"/>
      <c r="R1606" s="27" t="n"/>
      <c r="S1606" s="27" t="n"/>
      <c r="T1606" s="27" t="n"/>
    </row>
    <row r="1607" ht="13.8" customFormat="1" customHeight="1" s="70">
      <c r="M1607" s="27" t="n"/>
      <c r="N1607" s="27" t="n"/>
      <c r="O1607" s="27" t="n"/>
      <c r="P1607" s="27" t="n"/>
      <c r="Q1607" s="27" t="n"/>
      <c r="R1607" s="27" t="n"/>
      <c r="S1607" s="27" t="n"/>
      <c r="T1607" s="27" t="n"/>
    </row>
    <row r="1608" ht="13.8" customFormat="1" customHeight="1" s="70">
      <c r="M1608" s="27" t="n"/>
      <c r="N1608" s="27" t="n"/>
      <c r="O1608" s="27" t="n"/>
      <c r="P1608" s="27" t="n"/>
      <c r="Q1608" s="27" t="n"/>
      <c r="R1608" s="27" t="n"/>
      <c r="S1608" s="27" t="n"/>
      <c r="T1608" s="27" t="n"/>
    </row>
    <row r="1609" ht="13.8" customFormat="1" customHeight="1" s="70">
      <c r="M1609" s="27" t="n"/>
      <c r="N1609" s="27" t="n"/>
      <c r="O1609" s="27" t="n"/>
      <c r="P1609" s="27" t="n"/>
      <c r="Q1609" s="27" t="n"/>
      <c r="R1609" s="27" t="n"/>
      <c r="S1609" s="27" t="n"/>
      <c r="T1609" s="27" t="n"/>
    </row>
    <row r="1610" ht="13.8" customFormat="1" customHeight="1" s="70">
      <c r="M1610" s="27" t="n"/>
      <c r="N1610" s="27" t="n"/>
      <c r="O1610" s="27" t="n"/>
      <c r="P1610" s="27" t="n"/>
      <c r="Q1610" s="27" t="n"/>
      <c r="R1610" s="27" t="n"/>
      <c r="S1610" s="27" t="n"/>
      <c r="T1610" s="27" t="n"/>
    </row>
    <row r="1611" ht="13.8" customFormat="1" customHeight="1" s="70">
      <c r="M1611" s="27" t="n"/>
      <c r="N1611" s="27" t="n"/>
      <c r="O1611" s="27" t="n"/>
      <c r="P1611" s="27" t="n"/>
      <c r="Q1611" s="27" t="n"/>
      <c r="R1611" s="27" t="n"/>
      <c r="S1611" s="27" t="n"/>
      <c r="T1611" s="27" t="n"/>
    </row>
    <row r="1612" ht="13.8" customFormat="1" customHeight="1" s="70">
      <c r="M1612" s="27" t="n"/>
      <c r="N1612" s="27" t="n"/>
      <c r="O1612" s="27" t="n"/>
      <c r="P1612" s="27" t="n"/>
      <c r="Q1612" s="27" t="n"/>
      <c r="R1612" s="27" t="n"/>
      <c r="S1612" s="27" t="n"/>
      <c r="T1612" s="27" t="n"/>
    </row>
    <row r="1613" ht="13.8" customFormat="1" customHeight="1" s="70">
      <c r="M1613" s="27" t="n"/>
      <c r="N1613" s="27" t="n"/>
      <c r="O1613" s="27" t="n"/>
      <c r="P1613" s="27" t="n"/>
      <c r="Q1613" s="27" t="n"/>
      <c r="R1613" s="27" t="n"/>
      <c r="S1613" s="27" t="n"/>
      <c r="T1613" s="27" t="n"/>
    </row>
    <row r="1614" ht="13.8" customFormat="1" customHeight="1" s="70">
      <c r="M1614" s="27" t="n"/>
      <c r="N1614" s="27" t="n"/>
      <c r="O1614" s="27" t="n"/>
      <c r="P1614" s="27" t="n"/>
      <c r="Q1614" s="27" t="n"/>
      <c r="R1614" s="27" t="n"/>
      <c r="S1614" s="27" t="n"/>
      <c r="T1614" s="27" t="n"/>
    </row>
    <row r="1615" ht="13.8" customFormat="1" customHeight="1" s="70">
      <c r="M1615" s="27" t="n"/>
      <c r="N1615" s="27" t="n"/>
      <c r="O1615" s="27" t="n"/>
      <c r="P1615" s="27" t="n"/>
      <c r="Q1615" s="27" t="n"/>
      <c r="R1615" s="27" t="n"/>
      <c r="S1615" s="27" t="n"/>
      <c r="T1615" s="27" t="n"/>
    </row>
    <row r="1616" ht="13.8" customFormat="1" customHeight="1" s="70">
      <c r="M1616" s="27" t="n"/>
      <c r="N1616" s="27" t="n"/>
      <c r="O1616" s="27" t="n"/>
      <c r="P1616" s="27" t="n"/>
      <c r="Q1616" s="27" t="n"/>
      <c r="R1616" s="27" t="n"/>
      <c r="S1616" s="27" t="n"/>
      <c r="T1616" s="27" t="n"/>
    </row>
    <row r="1617" ht="13.8" customFormat="1" customHeight="1" s="70">
      <c r="M1617" s="27" t="n"/>
      <c r="N1617" s="27" t="n"/>
      <c r="O1617" s="27" t="n"/>
      <c r="P1617" s="27" t="n"/>
      <c r="Q1617" s="27" t="n"/>
      <c r="R1617" s="27" t="n"/>
      <c r="S1617" s="27" t="n"/>
      <c r="T1617" s="27" t="n"/>
    </row>
    <row r="1618" ht="13.8" customFormat="1" customHeight="1" s="70">
      <c r="M1618" s="27" t="n"/>
      <c r="N1618" s="27" t="n"/>
      <c r="O1618" s="27" t="n"/>
      <c r="P1618" s="27" t="n"/>
      <c r="Q1618" s="27" t="n"/>
      <c r="R1618" s="27" t="n"/>
      <c r="S1618" s="27" t="n"/>
      <c r="T1618" s="27" t="n"/>
    </row>
    <row r="1619" ht="13.8" customFormat="1" customHeight="1" s="70">
      <c r="M1619" s="27" t="n"/>
      <c r="N1619" s="27" t="n"/>
      <c r="O1619" s="27" t="n"/>
      <c r="P1619" s="27" t="n"/>
      <c r="Q1619" s="27" t="n"/>
      <c r="R1619" s="27" t="n"/>
      <c r="S1619" s="27" t="n"/>
      <c r="T1619" s="27" t="n"/>
    </row>
    <row r="1620" ht="13.8" customFormat="1" customHeight="1" s="70">
      <c r="M1620" s="27" t="n"/>
      <c r="N1620" s="27" t="n"/>
      <c r="O1620" s="27" t="n"/>
      <c r="P1620" s="27" t="n"/>
      <c r="Q1620" s="27" t="n"/>
      <c r="R1620" s="27" t="n"/>
      <c r="S1620" s="27" t="n"/>
      <c r="T1620" s="27" t="n"/>
    </row>
    <row r="1621" ht="13.8" customFormat="1" customHeight="1" s="70">
      <c r="M1621" s="27" t="n"/>
      <c r="N1621" s="27" t="n"/>
      <c r="O1621" s="27" t="n"/>
      <c r="P1621" s="27" t="n"/>
      <c r="Q1621" s="27" t="n"/>
      <c r="R1621" s="27" t="n"/>
      <c r="S1621" s="27" t="n"/>
      <c r="T1621" s="27" t="n"/>
    </row>
    <row r="1622" ht="13.8" customFormat="1" customHeight="1" s="70">
      <c r="M1622" s="27" t="n"/>
      <c r="N1622" s="27" t="n"/>
      <c r="O1622" s="27" t="n"/>
      <c r="P1622" s="27" t="n"/>
      <c r="Q1622" s="27" t="n"/>
      <c r="R1622" s="27" t="n"/>
      <c r="S1622" s="27" t="n"/>
      <c r="T1622" s="27" t="n"/>
    </row>
    <row r="1623" ht="13.8" customFormat="1" customHeight="1" s="70">
      <c r="M1623" s="27" t="n"/>
      <c r="N1623" s="27" t="n"/>
      <c r="O1623" s="27" t="n"/>
      <c r="P1623" s="27" t="n"/>
      <c r="Q1623" s="27" t="n"/>
      <c r="R1623" s="27" t="n"/>
      <c r="S1623" s="27" t="n"/>
      <c r="T1623" s="27" t="n"/>
    </row>
    <row r="1624" ht="13.8" customFormat="1" customHeight="1" s="70">
      <c r="M1624" s="27" t="n"/>
      <c r="N1624" s="27" t="n"/>
      <c r="O1624" s="27" t="n"/>
      <c r="P1624" s="27" t="n"/>
      <c r="Q1624" s="27" t="n"/>
      <c r="R1624" s="27" t="n"/>
      <c r="S1624" s="27" t="n"/>
      <c r="T1624" s="27" t="n"/>
    </row>
    <row r="1625" ht="13.8" customFormat="1" customHeight="1" s="70">
      <c r="M1625" s="27" t="n"/>
      <c r="N1625" s="27" t="n"/>
      <c r="O1625" s="27" t="n"/>
      <c r="P1625" s="27" t="n"/>
      <c r="Q1625" s="27" t="n"/>
      <c r="R1625" s="27" t="n"/>
      <c r="S1625" s="27" t="n"/>
      <c r="T1625" s="27" t="n"/>
    </row>
    <row r="1626" ht="13.8" customFormat="1" customHeight="1" s="70">
      <c r="M1626" s="27" t="n"/>
      <c r="N1626" s="27" t="n"/>
      <c r="O1626" s="27" t="n"/>
      <c r="P1626" s="27" t="n"/>
      <c r="Q1626" s="27" t="n"/>
      <c r="R1626" s="27" t="n"/>
      <c r="S1626" s="27" t="n"/>
      <c r="T1626" s="27" t="n"/>
    </row>
    <row r="1627" ht="13.8" customFormat="1" customHeight="1" s="70">
      <c r="M1627" s="27" t="n"/>
      <c r="N1627" s="27" t="n"/>
      <c r="O1627" s="27" t="n"/>
      <c r="P1627" s="27" t="n"/>
      <c r="Q1627" s="27" t="n"/>
      <c r="R1627" s="27" t="n"/>
      <c r="S1627" s="27" t="n"/>
      <c r="T1627" s="27" t="n"/>
    </row>
    <row r="1628" ht="13.8" customFormat="1" customHeight="1" s="70">
      <c r="M1628" s="27" t="n"/>
      <c r="N1628" s="27" t="n"/>
      <c r="O1628" s="27" t="n"/>
      <c r="P1628" s="27" t="n"/>
      <c r="Q1628" s="27" t="n"/>
      <c r="R1628" s="27" t="n"/>
      <c r="S1628" s="27" t="n"/>
      <c r="T1628" s="27" t="n"/>
    </row>
    <row r="1629" ht="13.8" customFormat="1" customHeight="1" s="70">
      <c r="M1629" s="27" t="n"/>
      <c r="N1629" s="27" t="n"/>
      <c r="O1629" s="27" t="n"/>
      <c r="P1629" s="27" t="n"/>
      <c r="Q1629" s="27" t="n"/>
      <c r="R1629" s="27" t="n"/>
      <c r="S1629" s="27" t="n"/>
      <c r="T1629" s="27" t="n"/>
    </row>
    <row r="1630" ht="13.8" customFormat="1" customHeight="1" s="70">
      <c r="M1630" s="27" t="n"/>
      <c r="N1630" s="27" t="n"/>
      <c r="O1630" s="27" t="n"/>
      <c r="P1630" s="27" t="n"/>
      <c r="Q1630" s="27" t="n"/>
      <c r="R1630" s="27" t="n"/>
      <c r="S1630" s="27" t="n"/>
      <c r="T1630" s="27" t="n"/>
    </row>
    <row r="1631" ht="13.8" customFormat="1" customHeight="1" s="70">
      <c r="M1631" s="27" t="n"/>
      <c r="N1631" s="27" t="n"/>
      <c r="O1631" s="27" t="n"/>
      <c r="P1631" s="27" t="n"/>
      <c r="Q1631" s="27" t="n"/>
      <c r="R1631" s="27" t="n"/>
      <c r="S1631" s="27" t="n"/>
      <c r="T1631" s="27" t="n"/>
    </row>
    <row r="1632" ht="13.8" customFormat="1" customHeight="1" s="70">
      <c r="M1632" s="27" t="n"/>
      <c r="N1632" s="27" t="n"/>
      <c r="O1632" s="27" t="n"/>
      <c r="P1632" s="27" t="n"/>
      <c r="Q1632" s="27" t="n"/>
      <c r="R1632" s="27" t="n"/>
      <c r="S1632" s="27" t="n"/>
      <c r="T1632" s="27" t="n"/>
    </row>
    <row r="1633" ht="13.8" customFormat="1" customHeight="1" s="70">
      <c r="M1633" s="27" t="n"/>
      <c r="N1633" s="27" t="n"/>
      <c r="O1633" s="27" t="n"/>
      <c r="P1633" s="27" t="n"/>
      <c r="Q1633" s="27" t="n"/>
      <c r="R1633" s="27" t="n"/>
      <c r="S1633" s="27" t="n"/>
      <c r="T1633" s="27" t="n"/>
    </row>
    <row r="1634" ht="13.8" customFormat="1" customHeight="1" s="70">
      <c r="M1634" s="27" t="n"/>
      <c r="N1634" s="27" t="n"/>
      <c r="O1634" s="27" t="n"/>
      <c r="P1634" s="27" t="n"/>
      <c r="Q1634" s="27" t="n"/>
      <c r="R1634" s="27" t="n"/>
      <c r="S1634" s="27" t="n"/>
      <c r="T1634" s="27" t="n"/>
    </row>
    <row r="1635" ht="13.8" customFormat="1" customHeight="1" s="70">
      <c r="M1635" s="27" t="n"/>
      <c r="N1635" s="27" t="n"/>
      <c r="O1635" s="27" t="n"/>
      <c r="P1635" s="27" t="n"/>
      <c r="Q1635" s="27" t="n"/>
      <c r="R1635" s="27" t="n"/>
      <c r="S1635" s="27" t="n"/>
      <c r="T1635" s="27" t="n"/>
    </row>
    <row r="1636" ht="13.8" customFormat="1" customHeight="1" s="70">
      <c r="M1636" s="27" t="n"/>
      <c r="N1636" s="27" t="n"/>
      <c r="O1636" s="27" t="n"/>
      <c r="P1636" s="27" t="n"/>
      <c r="Q1636" s="27" t="n"/>
      <c r="R1636" s="27" t="n"/>
      <c r="S1636" s="27" t="n"/>
      <c r="T1636" s="27" t="n"/>
    </row>
    <row r="1637" ht="13.8" customFormat="1" customHeight="1" s="70">
      <c r="M1637" s="27" t="n"/>
      <c r="N1637" s="27" t="n"/>
      <c r="O1637" s="27" t="n"/>
      <c r="P1637" s="27" t="n"/>
      <c r="Q1637" s="27" t="n"/>
      <c r="R1637" s="27" t="n"/>
      <c r="S1637" s="27" t="n"/>
      <c r="T1637" s="27" t="n"/>
    </row>
    <row r="1638" ht="13.8" customFormat="1" customHeight="1" s="70">
      <c r="M1638" s="27" t="n"/>
      <c r="N1638" s="27" t="n"/>
      <c r="O1638" s="27" t="n"/>
      <c r="P1638" s="27" t="n"/>
      <c r="Q1638" s="27" t="n"/>
      <c r="R1638" s="27" t="n"/>
      <c r="S1638" s="27" t="n"/>
      <c r="T1638" s="27" t="n"/>
    </row>
    <row r="1639" ht="13.8" customFormat="1" customHeight="1" s="70">
      <c r="M1639" s="27" t="n"/>
      <c r="N1639" s="27" t="n"/>
      <c r="O1639" s="27" t="n"/>
      <c r="P1639" s="27" t="n"/>
      <c r="Q1639" s="27" t="n"/>
      <c r="R1639" s="27" t="n"/>
      <c r="S1639" s="27" t="n"/>
      <c r="T1639" s="27" t="n"/>
    </row>
    <row r="1640" ht="13.8" customFormat="1" customHeight="1" s="70">
      <c r="M1640" s="27" t="n"/>
      <c r="N1640" s="27" t="n"/>
      <c r="O1640" s="27" t="n"/>
      <c r="P1640" s="27" t="n"/>
      <c r="Q1640" s="27" t="n"/>
      <c r="R1640" s="27" t="n"/>
      <c r="S1640" s="27" t="n"/>
      <c r="T1640" s="27" t="n"/>
    </row>
    <row r="1641" ht="13.8" customFormat="1" customHeight="1" s="70">
      <c r="M1641" s="27" t="n"/>
      <c r="N1641" s="27" t="n"/>
      <c r="O1641" s="27" t="n"/>
      <c r="P1641" s="27" t="n"/>
      <c r="Q1641" s="27" t="n"/>
      <c r="R1641" s="27" t="n"/>
      <c r="S1641" s="27" t="n"/>
      <c r="T1641" s="27" t="n"/>
    </row>
    <row r="1642" ht="13.8" customFormat="1" customHeight="1" s="70">
      <c r="M1642" s="27" t="n"/>
      <c r="N1642" s="27" t="n"/>
      <c r="O1642" s="27" t="n"/>
      <c r="P1642" s="27" t="n"/>
      <c r="Q1642" s="27" t="n"/>
      <c r="R1642" s="27" t="n"/>
      <c r="S1642" s="27" t="n"/>
      <c r="T1642" s="27" t="n"/>
    </row>
    <row r="1643" ht="13.8" customFormat="1" customHeight="1" s="70">
      <c r="M1643" s="27" t="n"/>
      <c r="N1643" s="27" t="n"/>
      <c r="O1643" s="27" t="n"/>
      <c r="P1643" s="27" t="n"/>
      <c r="Q1643" s="27" t="n"/>
      <c r="R1643" s="27" t="n"/>
      <c r="S1643" s="27" t="n"/>
      <c r="T1643" s="27" t="n"/>
    </row>
    <row r="1644" ht="13.8" customFormat="1" customHeight="1" s="70">
      <c r="M1644" s="27" t="n"/>
      <c r="N1644" s="27" t="n"/>
      <c r="O1644" s="27" t="n"/>
      <c r="P1644" s="27" t="n"/>
      <c r="Q1644" s="27" t="n"/>
      <c r="R1644" s="27" t="n"/>
      <c r="S1644" s="27" t="n"/>
      <c r="T1644" s="27" t="n"/>
    </row>
    <row r="1645" ht="13.8" customFormat="1" customHeight="1" s="70">
      <c r="M1645" s="27" t="n"/>
      <c r="N1645" s="27" t="n"/>
      <c r="O1645" s="27" t="n"/>
      <c r="P1645" s="27" t="n"/>
      <c r="Q1645" s="27" t="n"/>
      <c r="R1645" s="27" t="n"/>
      <c r="S1645" s="27" t="n"/>
      <c r="T1645" s="27" t="n"/>
    </row>
    <row r="1646" ht="13.8" customFormat="1" customHeight="1" s="70">
      <c r="M1646" s="27" t="n"/>
      <c r="N1646" s="27" t="n"/>
      <c r="O1646" s="27" t="n"/>
      <c r="P1646" s="27" t="n"/>
      <c r="Q1646" s="27" t="n"/>
      <c r="R1646" s="27" t="n"/>
      <c r="S1646" s="27" t="n"/>
      <c r="T1646" s="27" t="n"/>
    </row>
    <row r="1647" ht="13.8" customFormat="1" customHeight="1" s="70">
      <c r="M1647" s="27" t="n"/>
      <c r="N1647" s="27" t="n"/>
      <c r="O1647" s="27" t="n"/>
      <c r="P1647" s="27" t="n"/>
      <c r="Q1647" s="27" t="n"/>
      <c r="R1647" s="27" t="n"/>
      <c r="S1647" s="27" t="n"/>
      <c r="T1647" s="27" t="n"/>
    </row>
    <row r="1648" ht="13.8" customFormat="1" customHeight="1" s="70">
      <c r="M1648" s="27" t="n"/>
      <c r="N1648" s="27" t="n"/>
      <c r="O1648" s="27" t="n"/>
      <c r="P1648" s="27" t="n"/>
      <c r="Q1648" s="27" t="n"/>
      <c r="R1648" s="27" t="n"/>
      <c r="S1648" s="27" t="n"/>
      <c r="T1648" s="27" t="n"/>
    </row>
    <row r="1649" ht="13.8" customFormat="1" customHeight="1" s="70">
      <c r="M1649" s="27" t="n"/>
      <c r="N1649" s="27" t="n"/>
      <c r="O1649" s="27" t="n"/>
      <c r="P1649" s="27" t="n"/>
      <c r="Q1649" s="27" t="n"/>
      <c r="R1649" s="27" t="n"/>
      <c r="S1649" s="27" t="n"/>
      <c r="T1649" s="27" t="n"/>
    </row>
    <row r="1650" ht="13.8" customFormat="1" customHeight="1" s="70">
      <c r="M1650" s="27" t="n"/>
      <c r="N1650" s="27" t="n"/>
      <c r="O1650" s="27" t="n"/>
      <c r="P1650" s="27" t="n"/>
      <c r="Q1650" s="27" t="n"/>
      <c r="R1650" s="27" t="n"/>
      <c r="S1650" s="27" t="n"/>
      <c r="T1650" s="27" t="n"/>
    </row>
    <row r="1651" ht="13.8" customFormat="1" customHeight="1" s="70">
      <c r="M1651" s="27" t="n"/>
      <c r="N1651" s="27" t="n"/>
      <c r="O1651" s="27" t="n"/>
      <c r="P1651" s="27" t="n"/>
      <c r="Q1651" s="27" t="n"/>
      <c r="R1651" s="27" t="n"/>
      <c r="S1651" s="27" t="n"/>
      <c r="T1651" s="27" t="n"/>
    </row>
    <row r="1652" ht="13.8" customFormat="1" customHeight="1" s="70">
      <c r="M1652" s="27" t="n"/>
      <c r="N1652" s="27" t="n"/>
      <c r="O1652" s="27" t="n"/>
      <c r="P1652" s="27" t="n"/>
      <c r="Q1652" s="27" t="n"/>
      <c r="R1652" s="27" t="n"/>
      <c r="S1652" s="27" t="n"/>
      <c r="T1652" s="27" t="n"/>
    </row>
    <row r="1653" ht="13.8" customFormat="1" customHeight="1" s="70">
      <c r="M1653" s="27" t="n"/>
      <c r="N1653" s="27" t="n"/>
      <c r="O1653" s="27" t="n"/>
      <c r="P1653" s="27" t="n"/>
      <c r="Q1653" s="27" t="n"/>
      <c r="R1653" s="27" t="n"/>
      <c r="S1653" s="27" t="n"/>
      <c r="T1653" s="27" t="n"/>
    </row>
    <row r="1654" ht="13.8" customFormat="1" customHeight="1" s="70">
      <c r="M1654" s="27" t="n"/>
      <c r="N1654" s="27" t="n"/>
      <c r="O1654" s="27" t="n"/>
      <c r="P1654" s="27" t="n"/>
      <c r="Q1654" s="27" t="n"/>
      <c r="R1654" s="27" t="n"/>
      <c r="S1654" s="27" t="n"/>
      <c r="T1654" s="27" t="n"/>
    </row>
    <row r="1655" ht="13.8" customFormat="1" customHeight="1" s="70">
      <c r="M1655" s="27" t="n"/>
      <c r="N1655" s="27" t="n"/>
      <c r="O1655" s="27" t="n"/>
      <c r="P1655" s="27" t="n"/>
      <c r="Q1655" s="27" t="n"/>
      <c r="R1655" s="27" t="n"/>
      <c r="S1655" s="27" t="n"/>
      <c r="T1655" s="27" t="n"/>
    </row>
    <row r="1656" ht="13.8" customFormat="1" customHeight="1" s="70">
      <c r="M1656" s="27" t="n"/>
      <c r="N1656" s="27" t="n"/>
      <c r="O1656" s="27" t="n"/>
      <c r="P1656" s="27" t="n"/>
      <c r="Q1656" s="27" t="n"/>
      <c r="R1656" s="27" t="n"/>
      <c r="S1656" s="27" t="n"/>
      <c r="T1656" s="27" t="n"/>
    </row>
    <row r="1657" ht="13.8" customFormat="1" customHeight="1" s="70">
      <c r="M1657" s="27" t="n"/>
      <c r="N1657" s="27" t="n"/>
      <c r="O1657" s="27" t="n"/>
      <c r="P1657" s="27" t="n"/>
      <c r="Q1657" s="27" t="n"/>
      <c r="R1657" s="27" t="n"/>
      <c r="S1657" s="27" t="n"/>
      <c r="T1657" s="27" t="n"/>
    </row>
    <row r="1658" ht="13.8" customFormat="1" customHeight="1" s="70">
      <c r="M1658" s="27" t="n"/>
      <c r="N1658" s="27" t="n"/>
      <c r="O1658" s="27" t="n"/>
      <c r="P1658" s="27" t="n"/>
      <c r="Q1658" s="27" t="n"/>
      <c r="R1658" s="27" t="n"/>
      <c r="S1658" s="27" t="n"/>
      <c r="T1658" s="27" t="n"/>
    </row>
    <row r="1659" ht="13.8" customFormat="1" customHeight="1" s="70">
      <c r="M1659" s="27" t="n"/>
      <c r="N1659" s="27" t="n"/>
      <c r="O1659" s="27" t="n"/>
      <c r="P1659" s="27" t="n"/>
      <c r="Q1659" s="27" t="n"/>
      <c r="R1659" s="27" t="n"/>
      <c r="S1659" s="27" t="n"/>
      <c r="T1659" s="27" t="n"/>
    </row>
    <row r="1660" ht="13.8" customFormat="1" customHeight="1" s="70">
      <c r="M1660" s="27" t="n"/>
      <c r="N1660" s="27" t="n"/>
      <c r="O1660" s="27" t="n"/>
      <c r="P1660" s="27" t="n"/>
      <c r="Q1660" s="27" t="n"/>
      <c r="R1660" s="27" t="n"/>
      <c r="S1660" s="27" t="n"/>
      <c r="T1660" s="27" t="n"/>
    </row>
    <row r="1661" ht="13.8" customFormat="1" customHeight="1" s="70">
      <c r="M1661" s="27" t="n"/>
      <c r="N1661" s="27" t="n"/>
      <c r="O1661" s="27" t="n"/>
      <c r="P1661" s="27" t="n"/>
      <c r="Q1661" s="27" t="n"/>
      <c r="R1661" s="27" t="n"/>
      <c r="S1661" s="27" t="n"/>
      <c r="T1661" s="27" t="n"/>
    </row>
    <row r="1662" ht="13.8" customFormat="1" customHeight="1" s="70">
      <c r="M1662" s="27" t="n"/>
      <c r="N1662" s="27" t="n"/>
      <c r="O1662" s="27" t="n"/>
      <c r="P1662" s="27" t="n"/>
      <c r="Q1662" s="27" t="n"/>
      <c r="R1662" s="27" t="n"/>
      <c r="S1662" s="27" t="n"/>
      <c r="T1662" s="27" t="n"/>
    </row>
    <row r="1663" ht="13.8" customFormat="1" customHeight="1" s="70">
      <c r="M1663" s="27" t="n"/>
      <c r="N1663" s="27" t="n"/>
      <c r="O1663" s="27" t="n"/>
      <c r="P1663" s="27" t="n"/>
      <c r="Q1663" s="27" t="n"/>
      <c r="R1663" s="27" t="n"/>
      <c r="S1663" s="27" t="n"/>
      <c r="T1663" s="27" t="n"/>
    </row>
    <row r="1664" ht="13.8" customFormat="1" customHeight="1" s="70">
      <c r="M1664" s="27" t="n"/>
      <c r="N1664" s="27" t="n"/>
      <c r="O1664" s="27" t="n"/>
      <c r="P1664" s="27" t="n"/>
      <c r="Q1664" s="27" t="n"/>
      <c r="R1664" s="27" t="n"/>
      <c r="S1664" s="27" t="n"/>
      <c r="T1664" s="27" t="n"/>
    </row>
    <row r="1665" ht="13.8" customFormat="1" customHeight="1" s="70">
      <c r="M1665" s="27" t="n"/>
      <c r="N1665" s="27" t="n"/>
      <c r="O1665" s="27" t="n"/>
      <c r="P1665" s="27" t="n"/>
      <c r="Q1665" s="27" t="n"/>
      <c r="R1665" s="27" t="n"/>
      <c r="S1665" s="27" t="n"/>
      <c r="T1665" s="27" t="n"/>
    </row>
    <row r="1666" ht="13.8" customFormat="1" customHeight="1" s="70">
      <c r="M1666" s="27" t="n"/>
      <c r="N1666" s="27" t="n"/>
      <c r="O1666" s="27" t="n"/>
      <c r="P1666" s="27" t="n"/>
      <c r="Q1666" s="27" t="n"/>
      <c r="R1666" s="27" t="n"/>
      <c r="S1666" s="27" t="n"/>
      <c r="T1666" s="27" t="n"/>
    </row>
    <row r="1667" ht="13.8" customFormat="1" customHeight="1" s="70">
      <c r="M1667" s="27" t="n"/>
      <c r="N1667" s="27" t="n"/>
      <c r="O1667" s="27" t="n"/>
      <c r="P1667" s="27" t="n"/>
      <c r="Q1667" s="27" t="n"/>
      <c r="R1667" s="27" t="n"/>
      <c r="S1667" s="27" t="n"/>
      <c r="T1667" s="27" t="n"/>
    </row>
    <row r="1668" ht="13.8" customFormat="1" customHeight="1" s="70">
      <c r="M1668" s="27" t="n"/>
      <c r="N1668" s="27" t="n"/>
      <c r="O1668" s="27" t="n"/>
      <c r="P1668" s="27" t="n"/>
      <c r="Q1668" s="27" t="n"/>
      <c r="R1668" s="27" t="n"/>
      <c r="S1668" s="27" t="n"/>
      <c r="T1668" s="27" t="n"/>
    </row>
    <row r="1669" ht="13.8" customFormat="1" customHeight="1" s="70">
      <c r="M1669" s="27" t="n"/>
      <c r="N1669" s="27" t="n"/>
      <c r="O1669" s="27" t="n"/>
      <c r="P1669" s="27" t="n"/>
      <c r="Q1669" s="27" t="n"/>
      <c r="R1669" s="27" t="n"/>
      <c r="S1669" s="27" t="n"/>
      <c r="T1669" s="27" t="n"/>
    </row>
    <row r="1670" ht="13.8" customFormat="1" customHeight="1" s="70">
      <c r="M1670" s="27" t="n"/>
      <c r="N1670" s="27" t="n"/>
      <c r="O1670" s="27" t="n"/>
      <c r="P1670" s="27" t="n"/>
      <c r="Q1670" s="27" t="n"/>
      <c r="R1670" s="27" t="n"/>
      <c r="S1670" s="27" t="n"/>
      <c r="T1670" s="27" t="n"/>
    </row>
    <row r="1671" ht="13.8" customFormat="1" customHeight="1" s="70">
      <c r="M1671" s="27" t="n"/>
      <c r="N1671" s="27" t="n"/>
      <c r="O1671" s="27" t="n"/>
      <c r="P1671" s="27" t="n"/>
      <c r="Q1671" s="27" t="n"/>
      <c r="R1671" s="27" t="n"/>
      <c r="S1671" s="27" t="n"/>
      <c r="T1671" s="27" t="n"/>
    </row>
    <row r="1672" ht="13.8" customFormat="1" customHeight="1" s="70">
      <c r="M1672" s="27" t="n"/>
      <c r="N1672" s="27" t="n"/>
      <c r="O1672" s="27" t="n"/>
      <c r="P1672" s="27" t="n"/>
      <c r="Q1672" s="27" t="n"/>
      <c r="R1672" s="27" t="n"/>
      <c r="S1672" s="27" t="n"/>
      <c r="T1672" s="27" t="n"/>
    </row>
    <row r="1673" ht="13.8" customFormat="1" customHeight="1" s="70">
      <c r="M1673" s="27" t="n"/>
      <c r="N1673" s="27" t="n"/>
      <c r="O1673" s="27" t="n"/>
      <c r="P1673" s="27" t="n"/>
      <c r="Q1673" s="27" t="n"/>
      <c r="R1673" s="27" t="n"/>
      <c r="S1673" s="27" t="n"/>
      <c r="T1673" s="27" t="n"/>
    </row>
    <row r="1674" ht="13.8" customFormat="1" customHeight="1" s="70">
      <c r="M1674" s="27" t="n"/>
      <c r="N1674" s="27" t="n"/>
      <c r="O1674" s="27" t="n"/>
      <c r="P1674" s="27" t="n"/>
      <c r="Q1674" s="27" t="n"/>
      <c r="R1674" s="27" t="n"/>
      <c r="S1674" s="27" t="n"/>
      <c r="T1674" s="27" t="n"/>
    </row>
    <row r="1675" ht="13.8" customFormat="1" customHeight="1" s="70">
      <c r="M1675" s="27" t="n"/>
      <c r="N1675" s="27" t="n"/>
      <c r="O1675" s="27" t="n"/>
      <c r="P1675" s="27" t="n"/>
      <c r="Q1675" s="27" t="n"/>
      <c r="R1675" s="27" t="n"/>
      <c r="S1675" s="27" t="n"/>
      <c r="T1675" s="27" t="n"/>
    </row>
    <row r="1676" ht="13.8" customFormat="1" customHeight="1" s="70">
      <c r="M1676" s="27" t="n"/>
      <c r="N1676" s="27" t="n"/>
      <c r="O1676" s="27" t="n"/>
      <c r="P1676" s="27" t="n"/>
      <c r="Q1676" s="27" t="n"/>
      <c r="R1676" s="27" t="n"/>
      <c r="S1676" s="27" t="n"/>
      <c r="T1676" s="27" t="n"/>
    </row>
    <row r="1677" ht="13.8" customFormat="1" customHeight="1" s="70">
      <c r="M1677" s="27" t="n"/>
      <c r="N1677" s="27" t="n"/>
      <c r="O1677" s="27" t="n"/>
      <c r="P1677" s="27" t="n"/>
      <c r="Q1677" s="27" t="n"/>
      <c r="R1677" s="27" t="n"/>
      <c r="S1677" s="27" t="n"/>
      <c r="T1677" s="27" t="n"/>
    </row>
    <row r="1678" ht="13.8" customFormat="1" customHeight="1" s="70">
      <c r="M1678" s="27" t="n"/>
      <c r="N1678" s="27" t="n"/>
      <c r="O1678" s="27" t="n"/>
      <c r="P1678" s="27" t="n"/>
      <c r="Q1678" s="27" t="n"/>
      <c r="R1678" s="27" t="n"/>
      <c r="S1678" s="27" t="n"/>
      <c r="T1678" s="27" t="n"/>
    </row>
    <row r="1679" ht="13.8" customFormat="1" customHeight="1" s="70">
      <c r="M1679" s="27" t="n"/>
      <c r="N1679" s="27" t="n"/>
      <c r="O1679" s="27" t="n"/>
      <c r="P1679" s="27" t="n"/>
      <c r="Q1679" s="27" t="n"/>
      <c r="R1679" s="27" t="n"/>
      <c r="S1679" s="27" t="n"/>
      <c r="T1679" s="27" t="n"/>
    </row>
    <row r="1680" ht="13.8" customFormat="1" customHeight="1" s="70">
      <c r="M1680" s="27" t="n"/>
      <c r="N1680" s="27" t="n"/>
      <c r="O1680" s="27" t="n"/>
      <c r="P1680" s="27" t="n"/>
      <c r="Q1680" s="27" t="n"/>
      <c r="R1680" s="27" t="n"/>
      <c r="S1680" s="27" t="n"/>
      <c r="T1680" s="27" t="n"/>
    </row>
    <row r="1681" ht="13.8" customFormat="1" customHeight="1" s="70">
      <c r="M1681" s="27" t="n"/>
      <c r="N1681" s="27" t="n"/>
      <c r="O1681" s="27" t="n"/>
      <c r="P1681" s="27" t="n"/>
      <c r="Q1681" s="27" t="n"/>
      <c r="R1681" s="27" t="n"/>
      <c r="S1681" s="27" t="n"/>
      <c r="T1681" s="27" t="n"/>
    </row>
    <row r="1682" ht="13.8" customFormat="1" customHeight="1" s="70">
      <c r="M1682" s="27" t="n"/>
      <c r="N1682" s="27" t="n"/>
      <c r="O1682" s="27" t="n"/>
      <c r="P1682" s="27" t="n"/>
      <c r="Q1682" s="27" t="n"/>
      <c r="R1682" s="27" t="n"/>
      <c r="S1682" s="27" t="n"/>
      <c r="T1682" s="27" t="n"/>
    </row>
    <row r="1683" ht="13.8" customFormat="1" customHeight="1" s="70">
      <c r="M1683" s="27" t="n"/>
      <c r="N1683" s="27" t="n"/>
      <c r="O1683" s="27" t="n"/>
      <c r="P1683" s="27" t="n"/>
      <c r="Q1683" s="27" t="n"/>
      <c r="R1683" s="27" t="n"/>
      <c r="S1683" s="27" t="n"/>
      <c r="T1683" s="27" t="n"/>
    </row>
    <row r="1684" ht="13.8" customFormat="1" customHeight="1" s="70">
      <c r="M1684" s="27" t="n"/>
      <c r="N1684" s="27" t="n"/>
      <c r="O1684" s="27" t="n"/>
      <c r="P1684" s="27" t="n"/>
      <c r="Q1684" s="27" t="n"/>
      <c r="R1684" s="27" t="n"/>
      <c r="S1684" s="27" t="n"/>
      <c r="T1684" s="27" t="n"/>
    </row>
    <row r="1685" ht="13.8" customFormat="1" customHeight="1" s="70">
      <c r="M1685" s="27" t="n"/>
      <c r="N1685" s="27" t="n"/>
      <c r="O1685" s="27" t="n"/>
      <c r="P1685" s="27" t="n"/>
      <c r="Q1685" s="27" t="n"/>
      <c r="R1685" s="27" t="n"/>
      <c r="S1685" s="27" t="n"/>
      <c r="T1685" s="27" t="n"/>
    </row>
    <row r="1686" ht="13.8" customFormat="1" customHeight="1" s="70">
      <c r="M1686" s="27" t="n"/>
      <c r="N1686" s="27" t="n"/>
      <c r="O1686" s="27" t="n"/>
      <c r="P1686" s="27" t="n"/>
      <c r="Q1686" s="27" t="n"/>
      <c r="R1686" s="27" t="n"/>
      <c r="S1686" s="27" t="n"/>
      <c r="T1686" s="27" t="n"/>
    </row>
    <row r="1687" ht="13.8" customFormat="1" customHeight="1" s="70">
      <c r="M1687" s="27" t="n"/>
      <c r="N1687" s="27" t="n"/>
      <c r="O1687" s="27" t="n"/>
      <c r="P1687" s="27" t="n"/>
      <c r="Q1687" s="27" t="n"/>
      <c r="R1687" s="27" t="n"/>
      <c r="S1687" s="27" t="n"/>
      <c r="T1687" s="27" t="n"/>
    </row>
    <row r="1688" ht="13.8" customFormat="1" customHeight="1" s="70">
      <c r="M1688" s="27" t="n"/>
      <c r="N1688" s="27" t="n"/>
      <c r="O1688" s="27" t="n"/>
      <c r="P1688" s="27" t="n"/>
      <c r="Q1688" s="27" t="n"/>
      <c r="R1688" s="27" t="n"/>
      <c r="S1688" s="27" t="n"/>
      <c r="T1688" s="27" t="n"/>
    </row>
    <row r="1689" ht="13.8" customFormat="1" customHeight="1" s="70">
      <c r="M1689" s="27" t="n"/>
      <c r="N1689" s="27" t="n"/>
      <c r="O1689" s="27" t="n"/>
      <c r="P1689" s="27" t="n"/>
      <c r="Q1689" s="27" t="n"/>
      <c r="R1689" s="27" t="n"/>
      <c r="S1689" s="27" t="n"/>
      <c r="T1689" s="27" t="n"/>
    </row>
    <row r="1690" ht="13.8" customFormat="1" customHeight="1" s="70">
      <c r="M1690" s="27" t="n"/>
      <c r="N1690" s="27" t="n"/>
      <c r="O1690" s="27" t="n"/>
      <c r="P1690" s="27" t="n"/>
      <c r="Q1690" s="27" t="n"/>
      <c r="R1690" s="27" t="n"/>
      <c r="S1690" s="27" t="n"/>
      <c r="T1690" s="27" t="n"/>
    </row>
    <row r="1691" ht="13.8" customFormat="1" customHeight="1" s="70">
      <c r="M1691" s="27" t="n"/>
      <c r="N1691" s="27" t="n"/>
      <c r="O1691" s="27" t="n"/>
      <c r="P1691" s="27" t="n"/>
      <c r="Q1691" s="27" t="n"/>
      <c r="R1691" s="27" t="n"/>
      <c r="S1691" s="27" t="n"/>
      <c r="T1691" s="27" t="n"/>
    </row>
    <row r="1692" ht="13.8" customFormat="1" customHeight="1" s="70">
      <c r="M1692" s="27" t="n"/>
      <c r="N1692" s="27" t="n"/>
      <c r="O1692" s="27" t="n"/>
      <c r="P1692" s="27" t="n"/>
      <c r="Q1692" s="27" t="n"/>
      <c r="R1692" s="27" t="n"/>
      <c r="S1692" s="27" t="n"/>
      <c r="T1692" s="27" t="n"/>
    </row>
    <row r="1693" ht="13.8" customFormat="1" customHeight="1" s="70">
      <c r="M1693" s="27" t="n"/>
      <c r="N1693" s="27" t="n"/>
      <c r="O1693" s="27" t="n"/>
      <c r="P1693" s="27" t="n"/>
      <c r="Q1693" s="27" t="n"/>
      <c r="R1693" s="27" t="n"/>
      <c r="S1693" s="27" t="n"/>
      <c r="T1693" s="27" t="n"/>
    </row>
    <row r="1694" ht="13.8" customFormat="1" customHeight="1" s="70">
      <c r="M1694" s="27" t="n"/>
      <c r="N1694" s="27" t="n"/>
      <c r="O1694" s="27" t="n"/>
      <c r="P1694" s="27" t="n"/>
      <c r="Q1694" s="27" t="n"/>
      <c r="R1694" s="27" t="n"/>
      <c r="S1694" s="27" t="n"/>
      <c r="T1694" s="27" t="n"/>
    </row>
    <row r="1695" ht="13.8" customFormat="1" customHeight="1" s="70">
      <c r="M1695" s="27" t="n"/>
      <c r="N1695" s="27" t="n"/>
      <c r="O1695" s="27" t="n"/>
      <c r="P1695" s="27" t="n"/>
      <c r="Q1695" s="27" t="n"/>
      <c r="R1695" s="27" t="n"/>
      <c r="S1695" s="27" t="n"/>
      <c r="T1695" s="27" t="n"/>
    </row>
    <row r="1696" ht="13.8" customFormat="1" customHeight="1" s="70">
      <c r="M1696" s="27" t="n"/>
      <c r="N1696" s="27" t="n"/>
      <c r="O1696" s="27" t="n"/>
      <c r="P1696" s="27" t="n"/>
      <c r="Q1696" s="27" t="n"/>
      <c r="R1696" s="27" t="n"/>
      <c r="S1696" s="27" t="n"/>
      <c r="T1696" s="27" t="n"/>
    </row>
    <row r="1697" ht="13.8" customFormat="1" customHeight="1" s="70">
      <c r="M1697" s="27" t="n"/>
      <c r="N1697" s="27" t="n"/>
      <c r="O1697" s="27" t="n"/>
      <c r="P1697" s="27" t="n"/>
      <c r="Q1697" s="27" t="n"/>
      <c r="R1697" s="27" t="n"/>
      <c r="S1697" s="27" t="n"/>
      <c r="T1697" s="27" t="n"/>
    </row>
    <row r="1698" ht="13.8" customFormat="1" customHeight="1" s="70">
      <c r="M1698" s="27" t="n"/>
      <c r="N1698" s="27" t="n"/>
      <c r="O1698" s="27" t="n"/>
      <c r="P1698" s="27" t="n"/>
      <c r="Q1698" s="27" t="n"/>
      <c r="R1698" s="27" t="n"/>
      <c r="S1698" s="27" t="n"/>
      <c r="T1698" s="27" t="n"/>
    </row>
    <row r="1699" ht="13.8" customFormat="1" customHeight="1" s="70">
      <c r="M1699" s="27" t="n"/>
      <c r="N1699" s="27" t="n"/>
      <c r="O1699" s="27" t="n"/>
      <c r="P1699" s="27" t="n"/>
      <c r="Q1699" s="27" t="n"/>
      <c r="R1699" s="27" t="n"/>
      <c r="S1699" s="27" t="n"/>
      <c r="T1699" s="27" t="n"/>
    </row>
    <row r="1700" ht="13.8" customFormat="1" customHeight="1" s="70">
      <c r="M1700" s="27" t="n"/>
      <c r="N1700" s="27" t="n"/>
      <c r="O1700" s="27" t="n"/>
      <c r="P1700" s="27" t="n"/>
      <c r="Q1700" s="27" t="n"/>
      <c r="R1700" s="27" t="n"/>
      <c r="S1700" s="27" t="n"/>
      <c r="T1700" s="27" t="n"/>
    </row>
    <row r="1701" ht="13.8" customFormat="1" customHeight="1" s="70">
      <c r="M1701" s="27" t="n"/>
      <c r="N1701" s="27" t="n"/>
      <c r="O1701" s="27" t="n"/>
      <c r="P1701" s="27" t="n"/>
      <c r="Q1701" s="27" t="n"/>
      <c r="R1701" s="27" t="n"/>
      <c r="S1701" s="27" t="n"/>
      <c r="T1701" s="27" t="n"/>
    </row>
    <row r="1702" ht="13.8" customFormat="1" customHeight="1" s="70">
      <c r="M1702" s="27" t="n"/>
      <c r="N1702" s="27" t="n"/>
      <c r="O1702" s="27" t="n"/>
      <c r="P1702" s="27" t="n"/>
      <c r="Q1702" s="27" t="n"/>
      <c r="R1702" s="27" t="n"/>
      <c r="S1702" s="27" t="n"/>
      <c r="T1702" s="27" t="n"/>
    </row>
    <row r="1703" ht="13.8" customFormat="1" customHeight="1" s="70">
      <c r="M1703" s="27" t="n"/>
      <c r="N1703" s="27" t="n"/>
      <c r="O1703" s="27" t="n"/>
      <c r="P1703" s="27" t="n"/>
      <c r="Q1703" s="27" t="n"/>
      <c r="R1703" s="27" t="n"/>
      <c r="S1703" s="27" t="n"/>
      <c r="T1703" s="27" t="n"/>
    </row>
    <row r="1704" ht="13.8" customFormat="1" customHeight="1" s="70">
      <c r="M1704" s="27" t="n"/>
      <c r="N1704" s="27" t="n"/>
      <c r="O1704" s="27" t="n"/>
      <c r="P1704" s="27" t="n"/>
      <c r="Q1704" s="27" t="n"/>
      <c r="R1704" s="27" t="n"/>
      <c r="S1704" s="27" t="n"/>
      <c r="T1704" s="27" t="n"/>
    </row>
    <row r="1705" ht="13.8" customFormat="1" customHeight="1" s="70">
      <c r="M1705" s="27" t="n"/>
      <c r="N1705" s="27" t="n"/>
      <c r="O1705" s="27" t="n"/>
      <c r="P1705" s="27" t="n"/>
      <c r="Q1705" s="27" t="n"/>
      <c r="R1705" s="27" t="n"/>
      <c r="S1705" s="27" t="n"/>
      <c r="T1705" s="27" t="n"/>
    </row>
    <row r="1706" ht="13.8" customFormat="1" customHeight="1" s="70">
      <c r="M1706" s="27" t="n"/>
      <c r="N1706" s="27" t="n"/>
      <c r="O1706" s="27" t="n"/>
      <c r="P1706" s="27" t="n"/>
      <c r="Q1706" s="27" t="n"/>
      <c r="R1706" s="27" t="n"/>
      <c r="S1706" s="27" t="n"/>
      <c r="T1706" s="27" t="n"/>
    </row>
    <row r="1707" ht="13.8" customFormat="1" customHeight="1" s="70">
      <c r="M1707" s="27" t="n"/>
      <c r="N1707" s="27" t="n"/>
      <c r="O1707" s="27" t="n"/>
      <c r="P1707" s="27" t="n"/>
      <c r="Q1707" s="27" t="n"/>
      <c r="R1707" s="27" t="n"/>
      <c r="S1707" s="27" t="n"/>
      <c r="T1707" s="27" t="n"/>
    </row>
    <row r="1708" ht="13.8" customFormat="1" customHeight="1" s="70">
      <c r="M1708" s="27" t="n"/>
      <c r="N1708" s="27" t="n"/>
      <c r="O1708" s="27" t="n"/>
      <c r="P1708" s="27" t="n"/>
      <c r="Q1708" s="27" t="n"/>
      <c r="R1708" s="27" t="n"/>
      <c r="S1708" s="27" t="n"/>
      <c r="T1708" s="27" t="n"/>
    </row>
    <row r="1709" ht="13.8" customFormat="1" customHeight="1" s="70">
      <c r="M1709" s="27" t="n"/>
      <c r="N1709" s="27" t="n"/>
      <c r="O1709" s="27" t="n"/>
      <c r="P1709" s="27" t="n"/>
      <c r="Q1709" s="27" t="n"/>
      <c r="R1709" s="27" t="n"/>
      <c r="S1709" s="27" t="n"/>
      <c r="T1709" s="27" t="n"/>
    </row>
    <row r="1710" ht="13.8" customFormat="1" customHeight="1" s="70">
      <c r="M1710" s="27" t="n"/>
      <c r="N1710" s="27" t="n"/>
      <c r="O1710" s="27" t="n"/>
      <c r="P1710" s="27" t="n"/>
      <c r="Q1710" s="27" t="n"/>
      <c r="R1710" s="27" t="n"/>
      <c r="S1710" s="27" t="n"/>
      <c r="T1710" s="27" t="n"/>
    </row>
    <row r="1711" ht="13.8" customFormat="1" customHeight="1" s="70">
      <c r="M1711" s="27" t="n"/>
      <c r="N1711" s="27" t="n"/>
      <c r="O1711" s="27" t="n"/>
      <c r="P1711" s="27" t="n"/>
      <c r="Q1711" s="27" t="n"/>
      <c r="R1711" s="27" t="n"/>
      <c r="S1711" s="27" t="n"/>
      <c r="T1711" s="27" t="n"/>
    </row>
    <row r="1712" ht="13.8" customFormat="1" customHeight="1" s="70">
      <c r="M1712" s="27" t="n"/>
      <c r="N1712" s="27" t="n"/>
      <c r="O1712" s="27" t="n"/>
      <c r="P1712" s="27" t="n"/>
      <c r="Q1712" s="27" t="n"/>
      <c r="R1712" s="27" t="n"/>
      <c r="S1712" s="27" t="n"/>
      <c r="T1712" s="27" t="n"/>
    </row>
    <row r="1713" ht="13.8" customFormat="1" customHeight="1" s="70">
      <c r="M1713" s="27" t="n"/>
      <c r="N1713" s="27" t="n"/>
      <c r="O1713" s="27" t="n"/>
      <c r="P1713" s="27" t="n"/>
      <c r="Q1713" s="27" t="n"/>
      <c r="R1713" s="27" t="n"/>
      <c r="S1713" s="27" t="n"/>
      <c r="T1713" s="27" t="n"/>
    </row>
    <row r="1714" ht="13.8" customFormat="1" customHeight="1" s="70">
      <c r="M1714" s="27" t="n"/>
      <c r="N1714" s="27" t="n"/>
      <c r="O1714" s="27" t="n"/>
      <c r="P1714" s="27" t="n"/>
      <c r="Q1714" s="27" t="n"/>
      <c r="R1714" s="27" t="n"/>
      <c r="S1714" s="27" t="n"/>
      <c r="T1714" s="27" t="n"/>
    </row>
    <row r="1715" ht="13.8" customFormat="1" customHeight="1" s="70">
      <c r="M1715" s="27" t="n"/>
      <c r="N1715" s="27" t="n"/>
      <c r="O1715" s="27" t="n"/>
      <c r="P1715" s="27" t="n"/>
      <c r="Q1715" s="27" t="n"/>
      <c r="R1715" s="27" t="n"/>
      <c r="S1715" s="27" t="n"/>
      <c r="T1715" s="27" t="n"/>
    </row>
    <row r="1716" ht="13.8" customFormat="1" customHeight="1" s="70">
      <c r="M1716" s="27" t="n"/>
      <c r="N1716" s="27" t="n"/>
      <c r="O1716" s="27" t="n"/>
      <c r="P1716" s="27" t="n"/>
      <c r="Q1716" s="27" t="n"/>
      <c r="R1716" s="27" t="n"/>
      <c r="S1716" s="27" t="n"/>
      <c r="T1716" s="27" t="n"/>
    </row>
    <row r="1717" ht="13.8" customFormat="1" customHeight="1" s="70">
      <c r="M1717" s="27" t="n"/>
      <c r="N1717" s="27" t="n"/>
      <c r="O1717" s="27" t="n"/>
      <c r="P1717" s="27" t="n"/>
      <c r="Q1717" s="27" t="n"/>
      <c r="R1717" s="27" t="n"/>
      <c r="S1717" s="27" t="n"/>
      <c r="T1717" s="27" t="n"/>
    </row>
    <row r="1718" ht="13.8" customFormat="1" customHeight="1" s="70">
      <c r="M1718" s="27" t="n"/>
      <c r="N1718" s="27" t="n"/>
      <c r="O1718" s="27" t="n"/>
      <c r="P1718" s="27" t="n"/>
      <c r="Q1718" s="27" t="n"/>
      <c r="R1718" s="27" t="n"/>
      <c r="S1718" s="27" t="n"/>
      <c r="T1718" s="27" t="n"/>
    </row>
    <row r="1719" ht="13.8" customFormat="1" customHeight="1" s="70">
      <c r="M1719" s="27" t="n"/>
      <c r="N1719" s="27" t="n"/>
      <c r="O1719" s="27" t="n"/>
      <c r="P1719" s="27" t="n"/>
      <c r="Q1719" s="27" t="n"/>
      <c r="R1719" s="27" t="n"/>
      <c r="S1719" s="27" t="n"/>
      <c r="T1719" s="27" t="n"/>
    </row>
    <row r="1720" ht="13.8" customFormat="1" customHeight="1" s="70">
      <c r="M1720" s="27" t="n"/>
      <c r="N1720" s="27" t="n"/>
      <c r="O1720" s="27" t="n"/>
      <c r="P1720" s="27" t="n"/>
      <c r="Q1720" s="27" t="n"/>
      <c r="R1720" s="27" t="n"/>
      <c r="S1720" s="27" t="n"/>
      <c r="T1720" s="27" t="n"/>
    </row>
    <row r="1721" ht="13.8" customFormat="1" customHeight="1" s="70">
      <c r="M1721" s="27" t="n"/>
      <c r="N1721" s="27" t="n"/>
      <c r="O1721" s="27" t="n"/>
      <c r="P1721" s="27" t="n"/>
      <c r="Q1721" s="27" t="n"/>
      <c r="R1721" s="27" t="n"/>
      <c r="S1721" s="27" t="n"/>
      <c r="T1721" s="27" t="n"/>
    </row>
    <row r="1722" ht="13.8" customFormat="1" customHeight="1" s="70">
      <c r="M1722" s="27" t="n"/>
      <c r="N1722" s="27" t="n"/>
      <c r="O1722" s="27" t="n"/>
      <c r="P1722" s="27" t="n"/>
      <c r="Q1722" s="27" t="n"/>
      <c r="R1722" s="27" t="n"/>
      <c r="S1722" s="27" t="n"/>
      <c r="T1722" s="27" t="n"/>
    </row>
    <row r="1723" ht="13.8" customFormat="1" customHeight="1" s="70">
      <c r="M1723" s="27" t="n"/>
      <c r="N1723" s="27" t="n"/>
      <c r="O1723" s="27" t="n"/>
      <c r="P1723" s="27" t="n"/>
      <c r="Q1723" s="27" t="n"/>
      <c r="R1723" s="27" t="n"/>
      <c r="S1723" s="27" t="n"/>
      <c r="T1723" s="27" t="n"/>
    </row>
    <row r="1724" ht="13.8" customFormat="1" customHeight="1" s="70">
      <c r="M1724" s="27" t="n"/>
      <c r="N1724" s="27" t="n"/>
      <c r="O1724" s="27" t="n"/>
      <c r="P1724" s="27" t="n"/>
      <c r="Q1724" s="27" t="n"/>
      <c r="R1724" s="27" t="n"/>
      <c r="S1724" s="27" t="n"/>
      <c r="T1724" s="27" t="n"/>
    </row>
    <row r="1725" ht="13.8" customFormat="1" customHeight="1" s="70">
      <c r="M1725" s="27" t="n"/>
      <c r="N1725" s="27" t="n"/>
      <c r="O1725" s="27" t="n"/>
      <c r="P1725" s="27" t="n"/>
      <c r="Q1725" s="27" t="n"/>
      <c r="R1725" s="27" t="n"/>
      <c r="S1725" s="27" t="n"/>
      <c r="T1725" s="27" t="n"/>
    </row>
    <row r="1726" ht="13.8" customFormat="1" customHeight="1" s="70">
      <c r="M1726" s="27" t="n"/>
      <c r="N1726" s="27" t="n"/>
      <c r="O1726" s="27" t="n"/>
      <c r="P1726" s="27" t="n"/>
      <c r="Q1726" s="27" t="n"/>
      <c r="R1726" s="27" t="n"/>
      <c r="S1726" s="27" t="n"/>
      <c r="T1726" s="27" t="n"/>
    </row>
    <row r="1727" ht="13.8" customFormat="1" customHeight="1" s="70">
      <c r="M1727" s="27" t="n"/>
      <c r="N1727" s="27" t="n"/>
      <c r="O1727" s="27" t="n"/>
      <c r="P1727" s="27" t="n"/>
      <c r="Q1727" s="27" t="n"/>
      <c r="R1727" s="27" t="n"/>
      <c r="S1727" s="27" t="n"/>
      <c r="T1727" s="27" t="n"/>
    </row>
    <row r="1728" ht="13.8" customFormat="1" customHeight="1" s="70">
      <c r="M1728" s="27" t="n"/>
      <c r="N1728" s="27" t="n"/>
      <c r="O1728" s="27" t="n"/>
      <c r="P1728" s="27" t="n"/>
      <c r="Q1728" s="27" t="n"/>
      <c r="R1728" s="27" t="n"/>
      <c r="S1728" s="27" t="n"/>
      <c r="T1728" s="27" t="n"/>
    </row>
    <row r="1729" ht="13.8" customFormat="1" customHeight="1" s="70">
      <c r="M1729" s="27" t="n"/>
      <c r="N1729" s="27" t="n"/>
      <c r="O1729" s="27" t="n"/>
      <c r="P1729" s="27" t="n"/>
      <c r="Q1729" s="27" t="n"/>
      <c r="R1729" s="27" t="n"/>
      <c r="S1729" s="27" t="n"/>
      <c r="T1729" s="27" t="n"/>
    </row>
    <row r="1730" ht="13.8" customFormat="1" customHeight="1" s="70">
      <c r="M1730" s="27" t="n"/>
      <c r="N1730" s="27" t="n"/>
      <c r="O1730" s="27" t="n"/>
      <c r="P1730" s="27" t="n"/>
      <c r="Q1730" s="27" t="n"/>
      <c r="R1730" s="27" t="n"/>
      <c r="S1730" s="27" t="n"/>
      <c r="T1730" s="27" t="n"/>
    </row>
    <row r="1731" ht="13.8" customFormat="1" customHeight="1" s="70">
      <c r="M1731" s="27" t="n"/>
      <c r="N1731" s="27" t="n"/>
      <c r="O1731" s="27" t="n"/>
      <c r="P1731" s="27" t="n"/>
      <c r="Q1731" s="27" t="n"/>
      <c r="R1731" s="27" t="n"/>
      <c r="S1731" s="27" t="n"/>
      <c r="T1731" s="27" t="n"/>
    </row>
    <row r="1732" ht="13.8" customFormat="1" customHeight="1" s="70">
      <c r="M1732" s="27" t="n"/>
      <c r="N1732" s="27" t="n"/>
      <c r="O1732" s="27" t="n"/>
      <c r="P1732" s="27" t="n"/>
      <c r="Q1732" s="27" t="n"/>
      <c r="R1732" s="27" t="n"/>
      <c r="S1732" s="27" t="n"/>
      <c r="T1732" s="27" t="n"/>
    </row>
    <row r="1733" ht="13.8" customFormat="1" customHeight="1" s="70">
      <c r="M1733" s="27" t="n"/>
      <c r="N1733" s="27" t="n"/>
      <c r="O1733" s="27" t="n"/>
      <c r="P1733" s="27" t="n"/>
      <c r="Q1733" s="27" t="n"/>
      <c r="R1733" s="27" t="n"/>
      <c r="S1733" s="27" t="n"/>
      <c r="T1733" s="27" t="n"/>
    </row>
    <row r="1734" ht="13.8" customFormat="1" customHeight="1" s="70">
      <c r="M1734" s="27" t="n"/>
      <c r="N1734" s="27" t="n"/>
      <c r="O1734" s="27" t="n"/>
      <c r="P1734" s="27" t="n"/>
      <c r="Q1734" s="27" t="n"/>
      <c r="R1734" s="27" t="n"/>
      <c r="S1734" s="27" t="n"/>
      <c r="T1734" s="27" t="n"/>
    </row>
    <row r="1735" ht="13.8" customFormat="1" customHeight="1" s="70">
      <c r="M1735" s="27" t="n"/>
      <c r="N1735" s="27" t="n"/>
      <c r="O1735" s="27" t="n"/>
      <c r="P1735" s="27" t="n"/>
      <c r="Q1735" s="27" t="n"/>
      <c r="R1735" s="27" t="n"/>
      <c r="S1735" s="27" t="n"/>
      <c r="T1735" s="27" t="n"/>
    </row>
    <row r="1736" ht="13.8" customFormat="1" customHeight="1" s="70">
      <c r="M1736" s="27" t="n"/>
      <c r="N1736" s="27" t="n"/>
      <c r="O1736" s="27" t="n"/>
      <c r="P1736" s="27" t="n"/>
      <c r="Q1736" s="27" t="n"/>
      <c r="R1736" s="27" t="n"/>
      <c r="S1736" s="27" t="n"/>
      <c r="T1736" s="27" t="n"/>
    </row>
    <row r="1737" ht="13.8" customFormat="1" customHeight="1" s="70">
      <c r="M1737" s="27" t="n"/>
      <c r="N1737" s="27" t="n"/>
      <c r="O1737" s="27" t="n"/>
      <c r="P1737" s="27" t="n"/>
      <c r="Q1737" s="27" t="n"/>
      <c r="R1737" s="27" t="n"/>
      <c r="S1737" s="27" t="n"/>
      <c r="T1737" s="27" t="n"/>
    </row>
    <row r="1738" ht="13.8" customFormat="1" customHeight="1" s="70">
      <c r="M1738" s="27" t="n"/>
      <c r="N1738" s="27" t="n"/>
      <c r="O1738" s="27" t="n"/>
      <c r="P1738" s="27" t="n"/>
      <c r="Q1738" s="27" t="n"/>
      <c r="R1738" s="27" t="n"/>
      <c r="S1738" s="27" t="n"/>
      <c r="T1738" s="27" t="n"/>
    </row>
    <row r="1739" ht="13.8" customFormat="1" customHeight="1" s="70">
      <c r="M1739" s="27" t="n"/>
      <c r="N1739" s="27" t="n"/>
      <c r="O1739" s="27" t="n"/>
      <c r="P1739" s="27" t="n"/>
      <c r="Q1739" s="27" t="n"/>
      <c r="R1739" s="27" t="n"/>
      <c r="S1739" s="27" t="n"/>
      <c r="T1739" s="27" t="n"/>
    </row>
    <row r="1740" ht="13.8" customFormat="1" customHeight="1" s="70">
      <c r="M1740" s="27" t="n"/>
      <c r="N1740" s="27" t="n"/>
      <c r="O1740" s="27" t="n"/>
      <c r="P1740" s="27" t="n"/>
      <c r="Q1740" s="27" t="n"/>
      <c r="R1740" s="27" t="n"/>
      <c r="S1740" s="27" t="n"/>
      <c r="T1740" s="27" t="n"/>
    </row>
    <row r="1741" ht="13.8" customFormat="1" customHeight="1" s="70">
      <c r="M1741" s="27" t="n"/>
      <c r="N1741" s="27" t="n"/>
      <c r="O1741" s="27" t="n"/>
      <c r="P1741" s="27" t="n"/>
      <c r="Q1741" s="27" t="n"/>
      <c r="R1741" s="27" t="n"/>
      <c r="S1741" s="27" t="n"/>
      <c r="T1741" s="27" t="n"/>
    </row>
    <row r="1742" ht="13.8" customFormat="1" customHeight="1" s="70">
      <c r="M1742" s="27" t="n"/>
      <c r="N1742" s="27" t="n"/>
      <c r="O1742" s="27" t="n"/>
      <c r="P1742" s="27" t="n"/>
      <c r="Q1742" s="27" t="n"/>
      <c r="R1742" s="27" t="n"/>
      <c r="S1742" s="27" t="n"/>
      <c r="T1742" s="27" t="n"/>
    </row>
    <row r="1743" ht="13.8" customFormat="1" customHeight="1" s="70">
      <c r="M1743" s="27" t="n"/>
      <c r="N1743" s="27" t="n"/>
      <c r="O1743" s="27" t="n"/>
      <c r="P1743" s="27" t="n"/>
      <c r="Q1743" s="27" t="n"/>
      <c r="R1743" s="27" t="n"/>
      <c r="S1743" s="27" t="n"/>
      <c r="T1743" s="27" t="n"/>
    </row>
    <row r="1744" ht="13.8" customFormat="1" customHeight="1" s="70">
      <c r="M1744" s="27" t="n"/>
      <c r="N1744" s="27" t="n"/>
      <c r="O1744" s="27" t="n"/>
      <c r="P1744" s="27" t="n"/>
      <c r="Q1744" s="27" t="n"/>
      <c r="R1744" s="27" t="n"/>
      <c r="S1744" s="27" t="n"/>
      <c r="T1744" s="27" t="n"/>
    </row>
    <row r="1745" ht="13.8" customFormat="1" customHeight="1" s="70">
      <c r="M1745" s="27" t="n"/>
      <c r="N1745" s="27" t="n"/>
      <c r="O1745" s="27" t="n"/>
      <c r="P1745" s="27" t="n"/>
      <c r="Q1745" s="27" t="n"/>
      <c r="R1745" s="27" t="n"/>
      <c r="S1745" s="27" t="n"/>
      <c r="T1745" s="27" t="n"/>
    </row>
    <row r="1746" ht="13.8" customFormat="1" customHeight="1" s="70">
      <c r="M1746" s="27" t="n"/>
      <c r="N1746" s="27" t="n"/>
      <c r="O1746" s="27" t="n"/>
      <c r="P1746" s="27" t="n"/>
      <c r="Q1746" s="27" t="n"/>
      <c r="R1746" s="27" t="n"/>
      <c r="S1746" s="27" t="n"/>
      <c r="T1746" s="27" t="n"/>
    </row>
    <row r="1747" ht="13.8" customFormat="1" customHeight="1" s="70">
      <c r="M1747" s="27" t="n"/>
      <c r="N1747" s="27" t="n"/>
      <c r="O1747" s="27" t="n"/>
      <c r="P1747" s="27" t="n"/>
      <c r="Q1747" s="27" t="n"/>
      <c r="R1747" s="27" t="n"/>
      <c r="S1747" s="27" t="n"/>
      <c r="T1747" s="27" t="n"/>
    </row>
    <row r="1748" ht="13.8" customFormat="1" customHeight="1" s="70">
      <c r="M1748" s="27" t="n"/>
      <c r="N1748" s="27" t="n"/>
      <c r="O1748" s="27" t="n"/>
      <c r="P1748" s="27" t="n"/>
      <c r="Q1748" s="27" t="n"/>
      <c r="R1748" s="27" t="n"/>
      <c r="S1748" s="27" t="n"/>
      <c r="T1748" s="27" t="n"/>
    </row>
    <row r="1749" ht="13.8" customFormat="1" customHeight="1" s="70">
      <c r="M1749" s="27" t="n"/>
      <c r="N1749" s="27" t="n"/>
      <c r="O1749" s="27" t="n"/>
      <c r="P1749" s="27" t="n"/>
      <c r="Q1749" s="27" t="n"/>
      <c r="R1749" s="27" t="n"/>
      <c r="S1749" s="27" t="n"/>
      <c r="T1749" s="27" t="n"/>
    </row>
    <row r="1750" ht="13.8" customFormat="1" customHeight="1" s="70">
      <c r="M1750" s="27" t="n"/>
      <c r="N1750" s="27" t="n"/>
      <c r="O1750" s="27" t="n"/>
      <c r="P1750" s="27" t="n"/>
      <c r="Q1750" s="27" t="n"/>
      <c r="R1750" s="27" t="n"/>
      <c r="S1750" s="27" t="n"/>
      <c r="T1750" s="27" t="n"/>
    </row>
    <row r="1751" ht="13.8" customFormat="1" customHeight="1" s="70">
      <c r="M1751" s="27" t="n"/>
      <c r="N1751" s="27" t="n"/>
      <c r="O1751" s="27" t="n"/>
      <c r="P1751" s="27" t="n"/>
      <c r="Q1751" s="27" t="n"/>
      <c r="R1751" s="27" t="n"/>
      <c r="S1751" s="27" t="n"/>
      <c r="T1751" s="27" t="n"/>
    </row>
    <row r="1752" ht="13.8" customFormat="1" customHeight="1" s="70">
      <c r="M1752" s="27" t="n"/>
      <c r="N1752" s="27" t="n"/>
      <c r="O1752" s="27" t="n"/>
      <c r="P1752" s="27" t="n"/>
      <c r="Q1752" s="27" t="n"/>
      <c r="R1752" s="27" t="n"/>
      <c r="S1752" s="27" t="n"/>
      <c r="T1752" s="27" t="n"/>
    </row>
    <row r="1753" ht="13.8" customFormat="1" customHeight="1" s="70">
      <c r="M1753" s="27" t="n"/>
      <c r="N1753" s="27" t="n"/>
      <c r="O1753" s="27" t="n"/>
      <c r="P1753" s="27" t="n"/>
      <c r="Q1753" s="27" t="n"/>
      <c r="R1753" s="27" t="n"/>
      <c r="S1753" s="27" t="n"/>
      <c r="T1753" s="27" t="n"/>
    </row>
    <row r="1754" ht="13.8" customFormat="1" customHeight="1" s="70">
      <c r="M1754" s="27" t="n"/>
      <c r="N1754" s="27" t="n"/>
      <c r="O1754" s="27" t="n"/>
      <c r="P1754" s="27" t="n"/>
      <c r="Q1754" s="27" t="n"/>
      <c r="R1754" s="27" t="n"/>
      <c r="S1754" s="27" t="n"/>
      <c r="T1754" s="27" t="n"/>
    </row>
    <row r="1755" ht="13.8" customFormat="1" customHeight="1" s="70">
      <c r="M1755" s="27" t="n"/>
      <c r="N1755" s="27" t="n"/>
      <c r="O1755" s="27" t="n"/>
      <c r="P1755" s="27" t="n"/>
      <c r="Q1755" s="27" t="n"/>
      <c r="R1755" s="27" t="n"/>
      <c r="S1755" s="27" t="n"/>
      <c r="T1755" s="27" t="n"/>
    </row>
    <row r="1756" ht="13.8" customFormat="1" customHeight="1" s="70">
      <c r="M1756" s="27" t="n"/>
      <c r="N1756" s="27" t="n"/>
      <c r="O1756" s="27" t="n"/>
      <c r="P1756" s="27" t="n"/>
      <c r="Q1756" s="27" t="n"/>
      <c r="R1756" s="27" t="n"/>
      <c r="S1756" s="27" t="n"/>
      <c r="T1756" s="27" t="n"/>
    </row>
    <row r="1757" ht="13.8" customFormat="1" customHeight="1" s="70">
      <c r="M1757" s="27" t="n"/>
      <c r="N1757" s="27" t="n"/>
      <c r="O1757" s="27" t="n"/>
      <c r="P1757" s="27" t="n"/>
      <c r="Q1757" s="27" t="n"/>
      <c r="R1757" s="27" t="n"/>
      <c r="S1757" s="27" t="n"/>
      <c r="T1757" s="27" t="n"/>
    </row>
    <row r="1758" ht="13.8" customFormat="1" customHeight="1" s="70">
      <c r="M1758" s="27" t="n"/>
      <c r="N1758" s="27" t="n"/>
      <c r="O1758" s="27" t="n"/>
      <c r="P1758" s="27" t="n"/>
      <c r="Q1758" s="27" t="n"/>
      <c r="R1758" s="27" t="n"/>
      <c r="S1758" s="27" t="n"/>
      <c r="T1758" s="27" t="n"/>
    </row>
    <row r="1759" ht="13.8" customFormat="1" customHeight="1" s="70">
      <c r="M1759" s="27" t="n"/>
      <c r="N1759" s="27" t="n"/>
      <c r="O1759" s="27" t="n"/>
      <c r="P1759" s="27" t="n"/>
      <c r="Q1759" s="27" t="n"/>
      <c r="R1759" s="27" t="n"/>
      <c r="S1759" s="27" t="n"/>
      <c r="T1759" s="27" t="n"/>
    </row>
    <row r="1760" ht="13.8" customFormat="1" customHeight="1" s="70">
      <c r="M1760" s="27" t="n"/>
      <c r="N1760" s="27" t="n"/>
      <c r="O1760" s="27" t="n"/>
      <c r="P1760" s="27" t="n"/>
      <c r="Q1760" s="27" t="n"/>
      <c r="R1760" s="27" t="n"/>
      <c r="S1760" s="27" t="n"/>
      <c r="T1760" s="27" t="n"/>
    </row>
    <row r="1761" ht="13.8" customFormat="1" customHeight="1" s="70">
      <c r="M1761" s="27" t="n"/>
      <c r="N1761" s="27" t="n"/>
      <c r="O1761" s="27" t="n"/>
      <c r="P1761" s="27" t="n"/>
      <c r="Q1761" s="27" t="n"/>
      <c r="R1761" s="27" t="n"/>
      <c r="S1761" s="27" t="n"/>
      <c r="T1761" s="27" t="n"/>
    </row>
    <row r="1762" ht="13.8" customFormat="1" customHeight="1" s="70">
      <c r="M1762" s="27" t="n"/>
      <c r="N1762" s="27" t="n"/>
      <c r="O1762" s="27" t="n"/>
      <c r="P1762" s="27" t="n"/>
      <c r="Q1762" s="27" t="n"/>
      <c r="R1762" s="27" t="n"/>
      <c r="S1762" s="27" t="n"/>
      <c r="T1762" s="27" t="n"/>
    </row>
    <row r="1763" ht="13.8" customFormat="1" customHeight="1" s="70">
      <c r="M1763" s="27" t="n"/>
      <c r="N1763" s="27" t="n"/>
      <c r="O1763" s="27" t="n"/>
      <c r="P1763" s="27" t="n"/>
      <c r="Q1763" s="27" t="n"/>
      <c r="R1763" s="27" t="n"/>
      <c r="S1763" s="27" t="n"/>
      <c r="T1763" s="27" t="n"/>
    </row>
    <row r="1764" ht="13.8" customFormat="1" customHeight="1" s="70">
      <c r="M1764" s="27" t="n"/>
      <c r="N1764" s="27" t="n"/>
      <c r="O1764" s="27" t="n"/>
      <c r="P1764" s="27" t="n"/>
      <c r="Q1764" s="27" t="n"/>
      <c r="R1764" s="27" t="n"/>
      <c r="S1764" s="27" t="n"/>
      <c r="T1764" s="27" t="n"/>
    </row>
    <row r="1765" ht="13.8" customFormat="1" customHeight="1" s="70">
      <c r="M1765" s="27" t="n"/>
      <c r="N1765" s="27" t="n"/>
      <c r="O1765" s="27" t="n"/>
      <c r="P1765" s="27" t="n"/>
      <c r="Q1765" s="27" t="n"/>
      <c r="R1765" s="27" t="n"/>
      <c r="S1765" s="27" t="n"/>
      <c r="T1765" s="27" t="n"/>
    </row>
    <row r="1766" ht="13.8" customFormat="1" customHeight="1" s="70">
      <c r="M1766" s="27" t="n"/>
      <c r="N1766" s="27" t="n"/>
      <c r="O1766" s="27" t="n"/>
      <c r="P1766" s="27" t="n"/>
      <c r="Q1766" s="27" t="n"/>
      <c r="R1766" s="27" t="n"/>
      <c r="S1766" s="27" t="n"/>
      <c r="T1766" s="27" t="n"/>
    </row>
    <row r="1767" ht="13.8" customFormat="1" customHeight="1" s="70">
      <c r="M1767" s="27" t="n"/>
      <c r="N1767" s="27" t="n"/>
      <c r="O1767" s="27" t="n"/>
      <c r="P1767" s="27" t="n"/>
      <c r="Q1767" s="27" t="n"/>
      <c r="R1767" s="27" t="n"/>
      <c r="S1767" s="27" t="n"/>
      <c r="T1767" s="27" t="n"/>
    </row>
    <row r="1768" ht="13.8" customFormat="1" customHeight="1" s="70">
      <c r="M1768" s="27" t="n"/>
      <c r="N1768" s="27" t="n"/>
      <c r="O1768" s="27" t="n"/>
      <c r="P1768" s="27" t="n"/>
      <c r="Q1768" s="27" t="n"/>
      <c r="R1768" s="27" t="n"/>
      <c r="S1768" s="27" t="n"/>
      <c r="T1768" s="27" t="n"/>
    </row>
    <row r="1769" ht="13.8" customFormat="1" customHeight="1" s="70">
      <c r="M1769" s="27" t="n"/>
      <c r="N1769" s="27" t="n"/>
      <c r="O1769" s="27" t="n"/>
      <c r="P1769" s="27" t="n"/>
      <c r="Q1769" s="27" t="n"/>
      <c r="R1769" s="27" t="n"/>
      <c r="S1769" s="27" t="n"/>
      <c r="T1769" s="27" t="n"/>
    </row>
    <row r="1770" ht="13.8" customFormat="1" customHeight="1" s="70">
      <c r="M1770" s="27" t="n"/>
      <c r="N1770" s="27" t="n"/>
      <c r="O1770" s="27" t="n"/>
      <c r="P1770" s="27" t="n"/>
      <c r="Q1770" s="27" t="n"/>
      <c r="R1770" s="27" t="n"/>
      <c r="S1770" s="27" t="n"/>
      <c r="T1770" s="27" t="n"/>
    </row>
    <row r="1771" ht="13.8" customFormat="1" customHeight="1" s="70">
      <c r="M1771" s="27" t="n"/>
      <c r="N1771" s="27" t="n"/>
      <c r="O1771" s="27" t="n"/>
      <c r="P1771" s="27" t="n"/>
      <c r="Q1771" s="27" t="n"/>
      <c r="R1771" s="27" t="n"/>
      <c r="S1771" s="27" t="n"/>
      <c r="T1771" s="27" t="n"/>
    </row>
    <row r="1772" ht="13.8" customFormat="1" customHeight="1" s="70">
      <c r="M1772" s="27" t="n"/>
      <c r="N1772" s="27" t="n"/>
      <c r="O1772" s="27" t="n"/>
      <c r="P1772" s="27" t="n"/>
      <c r="Q1772" s="27" t="n"/>
      <c r="R1772" s="27" t="n"/>
      <c r="S1772" s="27" t="n"/>
      <c r="T1772" s="27" t="n"/>
    </row>
    <row r="1773" ht="13.8" customFormat="1" customHeight="1" s="70">
      <c r="M1773" s="27" t="n"/>
      <c r="N1773" s="27" t="n"/>
      <c r="O1773" s="27" t="n"/>
      <c r="P1773" s="27" t="n"/>
      <c r="Q1773" s="27" t="n"/>
      <c r="R1773" s="27" t="n"/>
      <c r="S1773" s="27" t="n"/>
      <c r="T1773" s="27" t="n"/>
    </row>
    <row r="1774" ht="13.8" customFormat="1" customHeight="1" s="70">
      <c r="M1774" s="27" t="n"/>
      <c r="N1774" s="27" t="n"/>
      <c r="O1774" s="27" t="n"/>
      <c r="P1774" s="27" t="n"/>
      <c r="Q1774" s="27" t="n"/>
      <c r="R1774" s="27" t="n"/>
      <c r="S1774" s="27" t="n"/>
      <c r="T1774" s="27" t="n"/>
    </row>
    <row r="1775" ht="13.8" customFormat="1" customHeight="1" s="70">
      <c r="M1775" s="27" t="n"/>
      <c r="N1775" s="27" t="n"/>
      <c r="O1775" s="27" t="n"/>
      <c r="P1775" s="27" t="n"/>
      <c r="Q1775" s="27" t="n"/>
      <c r="R1775" s="27" t="n"/>
      <c r="S1775" s="27" t="n"/>
      <c r="T1775" s="27" t="n"/>
    </row>
    <row r="1776" ht="13.8" customFormat="1" customHeight="1" s="70">
      <c r="M1776" s="27" t="n"/>
      <c r="N1776" s="27" t="n"/>
      <c r="O1776" s="27" t="n"/>
      <c r="P1776" s="27" t="n"/>
      <c r="Q1776" s="27" t="n"/>
      <c r="R1776" s="27" t="n"/>
      <c r="S1776" s="27" t="n"/>
      <c r="T1776" s="27" t="n"/>
    </row>
    <row r="1777" ht="13.8" customFormat="1" customHeight="1" s="70">
      <c r="M1777" s="27" t="n"/>
      <c r="N1777" s="27" t="n"/>
      <c r="O1777" s="27" t="n"/>
      <c r="P1777" s="27" t="n"/>
      <c r="Q1777" s="27" t="n"/>
      <c r="R1777" s="27" t="n"/>
      <c r="S1777" s="27" t="n"/>
      <c r="T1777" s="27" t="n"/>
    </row>
    <row r="1778" ht="13.8" customFormat="1" customHeight="1" s="70">
      <c r="M1778" s="27" t="n"/>
      <c r="N1778" s="27" t="n"/>
      <c r="O1778" s="27" t="n"/>
      <c r="P1778" s="27" t="n"/>
      <c r="Q1778" s="27" t="n"/>
      <c r="R1778" s="27" t="n"/>
      <c r="S1778" s="27" t="n"/>
      <c r="T1778" s="27" t="n"/>
    </row>
    <row r="1779" ht="13.8" customFormat="1" customHeight="1" s="70">
      <c r="M1779" s="27" t="n"/>
      <c r="N1779" s="27" t="n"/>
      <c r="O1779" s="27" t="n"/>
      <c r="P1779" s="27" t="n"/>
      <c r="Q1779" s="27" t="n"/>
      <c r="R1779" s="27" t="n"/>
      <c r="S1779" s="27" t="n"/>
      <c r="T1779" s="27" t="n"/>
    </row>
    <row r="1780" ht="13.8" customFormat="1" customHeight="1" s="70">
      <c r="M1780" s="27" t="n"/>
      <c r="N1780" s="27" t="n"/>
      <c r="O1780" s="27" t="n"/>
      <c r="P1780" s="27" t="n"/>
      <c r="Q1780" s="27" t="n"/>
      <c r="R1780" s="27" t="n"/>
      <c r="S1780" s="27" t="n"/>
      <c r="T1780" s="27" t="n"/>
    </row>
    <row r="1781" ht="13.8" customFormat="1" customHeight="1" s="70">
      <c r="M1781" s="27" t="n"/>
      <c r="N1781" s="27" t="n"/>
      <c r="O1781" s="27" t="n"/>
      <c r="P1781" s="27" t="n"/>
      <c r="Q1781" s="27" t="n"/>
      <c r="R1781" s="27" t="n"/>
      <c r="S1781" s="27" t="n"/>
      <c r="T1781" s="27" t="n"/>
    </row>
    <row r="1782" ht="13.8" customFormat="1" customHeight="1" s="70">
      <c r="M1782" s="27" t="n"/>
      <c r="N1782" s="27" t="n"/>
      <c r="O1782" s="27" t="n"/>
      <c r="P1782" s="27" t="n"/>
      <c r="Q1782" s="27" t="n"/>
      <c r="R1782" s="27" t="n"/>
      <c r="S1782" s="27" t="n"/>
      <c r="T1782" s="27" t="n"/>
    </row>
    <row r="1783" ht="13.8" customFormat="1" customHeight="1" s="70">
      <c r="M1783" s="27" t="n"/>
      <c r="N1783" s="27" t="n"/>
      <c r="O1783" s="27" t="n"/>
      <c r="P1783" s="27" t="n"/>
      <c r="Q1783" s="27" t="n"/>
      <c r="R1783" s="27" t="n"/>
      <c r="S1783" s="27" t="n"/>
      <c r="T1783" s="27" t="n"/>
    </row>
    <row r="1784" ht="13.8" customFormat="1" customHeight="1" s="70">
      <c r="M1784" s="27" t="n"/>
      <c r="N1784" s="27" t="n"/>
      <c r="O1784" s="27" t="n"/>
      <c r="P1784" s="27" t="n"/>
      <c r="Q1784" s="27" t="n"/>
      <c r="R1784" s="27" t="n"/>
      <c r="S1784" s="27" t="n"/>
      <c r="T1784" s="27" t="n"/>
    </row>
    <row r="1785" ht="13.8" customFormat="1" customHeight="1" s="70">
      <c r="M1785" s="27" t="n"/>
      <c r="N1785" s="27" t="n"/>
      <c r="O1785" s="27" t="n"/>
      <c r="P1785" s="27" t="n"/>
      <c r="Q1785" s="27" t="n"/>
      <c r="R1785" s="27" t="n"/>
      <c r="S1785" s="27" t="n"/>
      <c r="T1785" s="27" t="n"/>
    </row>
    <row r="1786" ht="13.8" customFormat="1" customHeight="1" s="70">
      <c r="M1786" s="27" t="n"/>
      <c r="N1786" s="27" t="n"/>
      <c r="O1786" s="27" t="n"/>
      <c r="P1786" s="27" t="n"/>
      <c r="Q1786" s="27" t="n"/>
      <c r="R1786" s="27" t="n"/>
      <c r="S1786" s="27" t="n"/>
      <c r="T1786" s="27" t="n"/>
    </row>
    <row r="1787" ht="13.8" customFormat="1" customHeight="1" s="70">
      <c r="M1787" s="27" t="n"/>
      <c r="N1787" s="27" t="n"/>
      <c r="O1787" s="27" t="n"/>
      <c r="P1787" s="27" t="n"/>
      <c r="Q1787" s="27" t="n"/>
      <c r="R1787" s="27" t="n"/>
      <c r="S1787" s="27" t="n"/>
      <c r="T1787" s="27" t="n"/>
    </row>
    <row r="1788" ht="13.8" customFormat="1" customHeight="1" s="70">
      <c r="M1788" s="27" t="n"/>
      <c r="N1788" s="27" t="n"/>
      <c r="O1788" s="27" t="n"/>
      <c r="P1788" s="27" t="n"/>
      <c r="Q1788" s="27" t="n"/>
      <c r="R1788" s="27" t="n"/>
      <c r="S1788" s="27" t="n"/>
      <c r="T1788" s="27" t="n"/>
    </row>
    <row r="1789" ht="13.8" customFormat="1" customHeight="1" s="70">
      <c r="M1789" s="27" t="n"/>
      <c r="N1789" s="27" t="n"/>
      <c r="O1789" s="27" t="n"/>
      <c r="P1789" s="27" t="n"/>
      <c r="Q1789" s="27" t="n"/>
      <c r="R1789" s="27" t="n"/>
      <c r="S1789" s="27" t="n"/>
      <c r="T1789" s="27" t="n"/>
    </row>
    <row r="1790" ht="13.8" customFormat="1" customHeight="1" s="70">
      <c r="M1790" s="27" t="n"/>
      <c r="N1790" s="27" t="n"/>
      <c r="O1790" s="27" t="n"/>
      <c r="P1790" s="27" t="n"/>
      <c r="Q1790" s="27" t="n"/>
      <c r="R1790" s="27" t="n"/>
      <c r="S1790" s="27" t="n"/>
      <c r="T1790" s="27" t="n"/>
    </row>
    <row r="1791" ht="13.8" customFormat="1" customHeight="1" s="70">
      <c r="M1791" s="27" t="n"/>
      <c r="N1791" s="27" t="n"/>
      <c r="O1791" s="27" t="n"/>
      <c r="P1791" s="27" t="n"/>
      <c r="Q1791" s="27" t="n"/>
      <c r="R1791" s="27" t="n"/>
      <c r="S1791" s="27" t="n"/>
      <c r="T1791" s="27" t="n"/>
    </row>
    <row r="1792" ht="13.8" customFormat="1" customHeight="1" s="70">
      <c r="M1792" s="27" t="n"/>
      <c r="N1792" s="27" t="n"/>
      <c r="O1792" s="27" t="n"/>
      <c r="P1792" s="27" t="n"/>
      <c r="Q1792" s="27" t="n"/>
      <c r="R1792" s="27" t="n"/>
      <c r="S1792" s="27" t="n"/>
      <c r="T1792" s="27" t="n"/>
    </row>
    <row r="1793" ht="13.8" customFormat="1" customHeight="1" s="70">
      <c r="M1793" s="27" t="n"/>
      <c r="N1793" s="27" t="n"/>
      <c r="O1793" s="27" t="n"/>
      <c r="P1793" s="27" t="n"/>
      <c r="Q1793" s="27" t="n"/>
      <c r="R1793" s="27" t="n"/>
      <c r="S1793" s="27" t="n"/>
      <c r="T1793" s="27" t="n"/>
    </row>
    <row r="1794" ht="13.8" customFormat="1" customHeight="1" s="70">
      <c r="M1794" s="27" t="n"/>
      <c r="N1794" s="27" t="n"/>
      <c r="O1794" s="27" t="n"/>
      <c r="P1794" s="27" t="n"/>
      <c r="Q1794" s="27" t="n"/>
      <c r="R1794" s="27" t="n"/>
      <c r="S1794" s="27" t="n"/>
      <c r="T1794" s="27" t="n"/>
    </row>
    <row r="1795" ht="13.8" customFormat="1" customHeight="1" s="70">
      <c r="M1795" s="27" t="n"/>
      <c r="N1795" s="27" t="n"/>
      <c r="O1795" s="27" t="n"/>
      <c r="P1795" s="27" t="n"/>
      <c r="Q1795" s="27" t="n"/>
      <c r="R1795" s="27" t="n"/>
      <c r="S1795" s="27" t="n"/>
      <c r="T1795" s="27" t="n"/>
    </row>
    <row r="1796" ht="13.8" customFormat="1" customHeight="1" s="70">
      <c r="M1796" s="27" t="n"/>
      <c r="N1796" s="27" t="n"/>
      <c r="O1796" s="27" t="n"/>
      <c r="P1796" s="27" t="n"/>
      <c r="Q1796" s="27" t="n"/>
      <c r="R1796" s="27" t="n"/>
      <c r="S1796" s="27" t="n"/>
      <c r="T1796" s="27" t="n"/>
    </row>
    <row r="1797" ht="13.8" customFormat="1" customHeight="1" s="70">
      <c r="M1797" s="27" t="n"/>
      <c r="N1797" s="27" t="n"/>
      <c r="O1797" s="27" t="n"/>
      <c r="P1797" s="27" t="n"/>
      <c r="Q1797" s="27" t="n"/>
      <c r="R1797" s="27" t="n"/>
      <c r="S1797" s="27" t="n"/>
      <c r="T1797" s="27" t="n"/>
    </row>
    <row r="1798" ht="13.8" customFormat="1" customHeight="1" s="70">
      <c r="M1798" s="27" t="n"/>
      <c r="N1798" s="27" t="n"/>
      <c r="O1798" s="27" t="n"/>
      <c r="P1798" s="27" t="n"/>
      <c r="Q1798" s="27" t="n"/>
      <c r="R1798" s="27" t="n"/>
      <c r="S1798" s="27" t="n"/>
      <c r="T1798" s="27" t="n"/>
    </row>
    <row r="1799" ht="13.8" customFormat="1" customHeight="1" s="70">
      <c r="M1799" s="27" t="n"/>
      <c r="N1799" s="27" t="n"/>
      <c r="O1799" s="27" t="n"/>
      <c r="P1799" s="27" t="n"/>
      <c r="Q1799" s="27" t="n"/>
      <c r="R1799" s="27" t="n"/>
      <c r="S1799" s="27" t="n"/>
      <c r="T1799" s="27" t="n"/>
    </row>
    <row r="1800" ht="13.8" customFormat="1" customHeight="1" s="70">
      <c r="M1800" s="27" t="n"/>
      <c r="N1800" s="27" t="n"/>
      <c r="O1800" s="27" t="n"/>
      <c r="P1800" s="27" t="n"/>
      <c r="Q1800" s="27" t="n"/>
      <c r="R1800" s="27" t="n"/>
      <c r="S1800" s="27" t="n"/>
      <c r="T1800" s="27" t="n"/>
    </row>
    <row r="1801" ht="13.8" customFormat="1" customHeight="1" s="70">
      <c r="M1801" s="27" t="n"/>
      <c r="N1801" s="27" t="n"/>
      <c r="O1801" s="27" t="n"/>
      <c r="P1801" s="27" t="n"/>
      <c r="Q1801" s="27" t="n"/>
      <c r="R1801" s="27" t="n"/>
      <c r="S1801" s="27" t="n"/>
      <c r="T1801" s="27" t="n"/>
    </row>
    <row r="1802" ht="13.8" customFormat="1" customHeight="1" s="70">
      <c r="M1802" s="27" t="n"/>
      <c r="N1802" s="27" t="n"/>
      <c r="O1802" s="27" t="n"/>
      <c r="P1802" s="27" t="n"/>
      <c r="Q1802" s="27" t="n"/>
      <c r="R1802" s="27" t="n"/>
      <c r="S1802" s="27" t="n"/>
      <c r="T1802" s="27" t="n"/>
    </row>
    <row r="1803" ht="13.8" customFormat="1" customHeight="1" s="70">
      <c r="M1803" s="27" t="n"/>
      <c r="N1803" s="27" t="n"/>
      <c r="O1803" s="27" t="n"/>
      <c r="P1803" s="27" t="n"/>
      <c r="Q1803" s="27" t="n"/>
      <c r="R1803" s="27" t="n"/>
      <c r="S1803" s="27" t="n"/>
      <c r="T1803" s="27" t="n"/>
    </row>
    <row r="1804" ht="13.8" customFormat="1" customHeight="1" s="70">
      <c r="M1804" s="27" t="n"/>
      <c r="N1804" s="27" t="n"/>
      <c r="O1804" s="27" t="n"/>
      <c r="P1804" s="27" t="n"/>
      <c r="Q1804" s="27" t="n"/>
      <c r="R1804" s="27" t="n"/>
      <c r="S1804" s="27" t="n"/>
      <c r="T1804" s="27" t="n"/>
    </row>
    <row r="1805" ht="13.8" customFormat="1" customHeight="1" s="70">
      <c r="M1805" s="27" t="n"/>
      <c r="N1805" s="27" t="n"/>
      <c r="O1805" s="27" t="n"/>
      <c r="P1805" s="27" t="n"/>
      <c r="Q1805" s="27" t="n"/>
      <c r="R1805" s="27" t="n"/>
      <c r="S1805" s="27" t="n"/>
      <c r="T1805" s="27" t="n"/>
    </row>
    <row r="1806" ht="13.8" customFormat="1" customHeight="1" s="70">
      <c r="M1806" s="27" t="n"/>
      <c r="N1806" s="27" t="n"/>
      <c r="O1806" s="27" t="n"/>
      <c r="P1806" s="27" t="n"/>
      <c r="Q1806" s="27" t="n"/>
      <c r="R1806" s="27" t="n"/>
      <c r="S1806" s="27" t="n"/>
      <c r="T1806" s="27" t="n"/>
    </row>
    <row r="1807" ht="13.8" customFormat="1" customHeight="1" s="70">
      <c r="M1807" s="27" t="n"/>
      <c r="N1807" s="27" t="n"/>
      <c r="O1807" s="27" t="n"/>
      <c r="P1807" s="27" t="n"/>
      <c r="Q1807" s="27" t="n"/>
      <c r="R1807" s="27" t="n"/>
      <c r="S1807" s="27" t="n"/>
      <c r="T1807" s="27" t="n"/>
    </row>
    <row r="1808" ht="13.8" customFormat="1" customHeight="1" s="70">
      <c r="M1808" s="27" t="n"/>
      <c r="N1808" s="27" t="n"/>
      <c r="O1808" s="27" t="n"/>
      <c r="P1808" s="27" t="n"/>
      <c r="Q1808" s="27" t="n"/>
      <c r="R1808" s="27" t="n"/>
      <c r="S1808" s="27" t="n"/>
      <c r="T1808" s="27" t="n"/>
    </row>
    <row r="1809" ht="13.8" customFormat="1" customHeight="1" s="70">
      <c r="M1809" s="27" t="n"/>
      <c r="N1809" s="27" t="n"/>
      <c r="O1809" s="27" t="n"/>
      <c r="P1809" s="27" t="n"/>
      <c r="Q1809" s="27" t="n"/>
      <c r="R1809" s="27" t="n"/>
      <c r="S1809" s="27" t="n"/>
      <c r="T1809" s="27" t="n"/>
    </row>
    <row r="1810" ht="13.8" customFormat="1" customHeight="1" s="70">
      <c r="M1810" s="27" t="n"/>
      <c r="N1810" s="27" t="n"/>
      <c r="O1810" s="27" t="n"/>
      <c r="P1810" s="27" t="n"/>
      <c r="Q1810" s="27" t="n"/>
      <c r="R1810" s="27" t="n"/>
      <c r="S1810" s="27" t="n"/>
      <c r="T1810" s="27" t="n"/>
    </row>
    <row r="1811" ht="13.8" customFormat="1" customHeight="1" s="70">
      <c r="M1811" s="27" t="n"/>
      <c r="N1811" s="27" t="n"/>
      <c r="O1811" s="27" t="n"/>
      <c r="P1811" s="27" t="n"/>
      <c r="Q1811" s="27" t="n"/>
      <c r="R1811" s="27" t="n"/>
      <c r="S1811" s="27" t="n"/>
      <c r="T1811" s="27" t="n"/>
    </row>
    <row r="1812" ht="13.8" customFormat="1" customHeight="1" s="70">
      <c r="M1812" s="27" t="n"/>
      <c r="N1812" s="27" t="n"/>
      <c r="O1812" s="27" t="n"/>
      <c r="P1812" s="27" t="n"/>
      <c r="Q1812" s="27" t="n"/>
      <c r="R1812" s="27" t="n"/>
      <c r="S1812" s="27" t="n"/>
      <c r="T1812" s="27" t="n"/>
    </row>
    <row r="1813" ht="13.8" customFormat="1" customHeight="1" s="70">
      <c r="M1813" s="27" t="n"/>
      <c r="N1813" s="27" t="n"/>
      <c r="O1813" s="27" t="n"/>
      <c r="P1813" s="27" t="n"/>
      <c r="Q1813" s="27" t="n"/>
      <c r="R1813" s="27" t="n"/>
      <c r="S1813" s="27" t="n"/>
      <c r="T1813" s="27" t="n"/>
    </row>
    <row r="1814" ht="13.8" customFormat="1" customHeight="1" s="70">
      <c r="M1814" s="27" t="n"/>
      <c r="N1814" s="27" t="n"/>
      <c r="O1814" s="27" t="n"/>
      <c r="P1814" s="27" t="n"/>
      <c r="Q1814" s="27" t="n"/>
      <c r="R1814" s="27" t="n"/>
      <c r="S1814" s="27" t="n"/>
      <c r="T1814" s="27" t="n"/>
    </row>
    <row r="1815" ht="13.8" customFormat="1" customHeight="1" s="70">
      <c r="M1815" s="27" t="n"/>
      <c r="N1815" s="27" t="n"/>
      <c r="O1815" s="27" t="n"/>
      <c r="P1815" s="27" t="n"/>
      <c r="Q1815" s="27" t="n"/>
      <c r="R1815" s="27" t="n"/>
      <c r="S1815" s="27" t="n"/>
      <c r="T1815" s="27" t="n"/>
    </row>
    <row r="1816" ht="13.8" customFormat="1" customHeight="1" s="70">
      <c r="M1816" s="27" t="n"/>
      <c r="N1816" s="27" t="n"/>
      <c r="O1816" s="27" t="n"/>
      <c r="P1816" s="27" t="n"/>
      <c r="Q1816" s="27" t="n"/>
      <c r="R1816" s="27" t="n"/>
      <c r="S1816" s="27" t="n"/>
      <c r="T1816" s="27" t="n"/>
    </row>
    <row r="1817" ht="13.8" customFormat="1" customHeight="1" s="70">
      <c r="M1817" s="27" t="n"/>
      <c r="N1817" s="27" t="n"/>
      <c r="O1817" s="27" t="n"/>
      <c r="P1817" s="27" t="n"/>
      <c r="Q1817" s="27" t="n"/>
      <c r="R1817" s="27" t="n"/>
      <c r="S1817" s="27" t="n"/>
      <c r="T1817" s="27" t="n"/>
    </row>
    <row r="1818" ht="13.8" customFormat="1" customHeight="1" s="70">
      <c r="M1818" s="27" t="n"/>
      <c r="N1818" s="27" t="n"/>
      <c r="O1818" s="27" t="n"/>
      <c r="P1818" s="27" t="n"/>
      <c r="Q1818" s="27" t="n"/>
      <c r="R1818" s="27" t="n"/>
      <c r="S1818" s="27" t="n"/>
      <c r="T1818" s="27" t="n"/>
    </row>
    <row r="1819" ht="13.8" customFormat="1" customHeight="1" s="70">
      <c r="M1819" s="27" t="n"/>
      <c r="N1819" s="27" t="n"/>
      <c r="O1819" s="27" t="n"/>
      <c r="P1819" s="27" t="n"/>
      <c r="Q1819" s="27" t="n"/>
      <c r="R1819" s="27" t="n"/>
      <c r="S1819" s="27" t="n"/>
      <c r="T1819" s="27" t="n"/>
    </row>
    <row r="1820" ht="13.8" customFormat="1" customHeight="1" s="70">
      <c r="M1820" s="27" t="n"/>
      <c r="N1820" s="27" t="n"/>
      <c r="O1820" s="27" t="n"/>
      <c r="P1820" s="27" t="n"/>
      <c r="Q1820" s="27" t="n"/>
      <c r="R1820" s="27" t="n"/>
      <c r="S1820" s="27" t="n"/>
      <c r="T1820" s="27" t="n"/>
    </row>
    <row r="1821" ht="13.8" customFormat="1" customHeight="1" s="70">
      <c r="M1821" s="27" t="n"/>
      <c r="N1821" s="27" t="n"/>
      <c r="O1821" s="27" t="n"/>
      <c r="P1821" s="27" t="n"/>
      <c r="Q1821" s="27" t="n"/>
      <c r="R1821" s="27" t="n"/>
      <c r="S1821" s="27" t="n"/>
      <c r="T1821" s="27" t="n"/>
    </row>
    <row r="1822" ht="13.8" customFormat="1" customHeight="1" s="70">
      <c r="M1822" s="27" t="n"/>
      <c r="N1822" s="27" t="n"/>
      <c r="O1822" s="27" t="n"/>
      <c r="P1822" s="27" t="n"/>
      <c r="Q1822" s="27" t="n"/>
      <c r="R1822" s="27" t="n"/>
      <c r="S1822" s="27" t="n"/>
      <c r="T1822" s="27" t="n"/>
    </row>
    <row r="1823" ht="13.8" customFormat="1" customHeight="1" s="70">
      <c r="M1823" s="27" t="n"/>
      <c r="N1823" s="27" t="n"/>
      <c r="O1823" s="27" t="n"/>
      <c r="P1823" s="27" t="n"/>
      <c r="Q1823" s="27" t="n"/>
      <c r="R1823" s="27" t="n"/>
      <c r="S1823" s="27" t="n"/>
      <c r="T1823" s="27" t="n"/>
    </row>
    <row r="1824" ht="13.8" customFormat="1" customHeight="1" s="70">
      <c r="M1824" s="27" t="n"/>
      <c r="N1824" s="27" t="n"/>
      <c r="O1824" s="27" t="n"/>
      <c r="P1824" s="27" t="n"/>
      <c r="Q1824" s="27" t="n"/>
      <c r="R1824" s="27" t="n"/>
      <c r="S1824" s="27" t="n"/>
      <c r="T1824" s="27" t="n"/>
    </row>
    <row r="1825" ht="13.8" customFormat="1" customHeight="1" s="70">
      <c r="M1825" s="27" t="n"/>
      <c r="N1825" s="27" t="n"/>
      <c r="O1825" s="27" t="n"/>
      <c r="P1825" s="27" t="n"/>
      <c r="Q1825" s="27" t="n"/>
      <c r="R1825" s="27" t="n"/>
      <c r="S1825" s="27" t="n"/>
      <c r="T1825" s="27" t="n"/>
    </row>
    <row r="1826" ht="13.8" customFormat="1" customHeight="1" s="70">
      <c r="M1826" s="27" t="n"/>
      <c r="N1826" s="27" t="n"/>
      <c r="O1826" s="27" t="n"/>
      <c r="P1826" s="27" t="n"/>
      <c r="Q1826" s="27" t="n"/>
      <c r="R1826" s="27" t="n"/>
      <c r="S1826" s="27" t="n"/>
      <c r="T1826" s="27" t="n"/>
    </row>
    <row r="1827" ht="13.8" customFormat="1" customHeight="1" s="70">
      <c r="M1827" s="27" t="n"/>
      <c r="N1827" s="27" t="n"/>
      <c r="O1827" s="27" t="n"/>
      <c r="P1827" s="27" t="n"/>
      <c r="Q1827" s="27" t="n"/>
      <c r="R1827" s="27" t="n"/>
      <c r="S1827" s="27" t="n"/>
      <c r="T1827" s="27" t="n"/>
    </row>
    <row r="1828" ht="13.8" customFormat="1" customHeight="1" s="70">
      <c r="M1828" s="27" t="n"/>
      <c r="N1828" s="27" t="n"/>
      <c r="O1828" s="27" t="n"/>
      <c r="P1828" s="27" t="n"/>
      <c r="Q1828" s="27" t="n"/>
      <c r="R1828" s="27" t="n"/>
      <c r="S1828" s="27" t="n"/>
      <c r="T1828" s="27" t="n"/>
    </row>
    <row r="1829" ht="13.8" customFormat="1" customHeight="1" s="70">
      <c r="M1829" s="27" t="n"/>
      <c r="N1829" s="27" t="n"/>
      <c r="O1829" s="27" t="n"/>
      <c r="P1829" s="27" t="n"/>
      <c r="Q1829" s="27" t="n"/>
      <c r="R1829" s="27" t="n"/>
      <c r="S1829" s="27" t="n"/>
      <c r="T1829" s="27" t="n"/>
    </row>
    <row r="1830" ht="13.8" customFormat="1" customHeight="1" s="70">
      <c r="M1830" s="27" t="n"/>
      <c r="N1830" s="27" t="n"/>
      <c r="O1830" s="27" t="n"/>
      <c r="P1830" s="27" t="n"/>
      <c r="Q1830" s="27" t="n"/>
      <c r="R1830" s="27" t="n"/>
      <c r="S1830" s="27" t="n"/>
      <c r="T1830" s="27" t="n"/>
    </row>
    <row r="1831" ht="13.8" customFormat="1" customHeight="1" s="70">
      <c r="M1831" s="27" t="n"/>
      <c r="N1831" s="27" t="n"/>
      <c r="O1831" s="27" t="n"/>
      <c r="P1831" s="27" t="n"/>
      <c r="Q1831" s="27" t="n"/>
      <c r="R1831" s="27" t="n"/>
      <c r="S1831" s="27" t="n"/>
      <c r="T1831" s="27" t="n"/>
    </row>
    <row r="1832" ht="13.8" customFormat="1" customHeight="1" s="70">
      <c r="M1832" s="27" t="n"/>
      <c r="N1832" s="27" t="n"/>
      <c r="O1832" s="27" t="n"/>
      <c r="P1832" s="27" t="n"/>
      <c r="Q1832" s="27" t="n"/>
      <c r="R1832" s="27" t="n"/>
      <c r="S1832" s="27" t="n"/>
      <c r="T1832" s="27" t="n"/>
    </row>
    <row r="1833" ht="13.8" customFormat="1" customHeight="1" s="70">
      <c r="M1833" s="27" t="n"/>
      <c r="N1833" s="27" t="n"/>
      <c r="O1833" s="27" t="n"/>
      <c r="P1833" s="27" t="n"/>
      <c r="Q1833" s="27" t="n"/>
      <c r="R1833" s="27" t="n"/>
      <c r="S1833" s="27" t="n"/>
      <c r="T1833" s="27" t="n"/>
    </row>
    <row r="1834" ht="13.8" customFormat="1" customHeight="1" s="70">
      <c r="M1834" s="27" t="n"/>
      <c r="N1834" s="27" t="n"/>
      <c r="O1834" s="27" t="n"/>
      <c r="P1834" s="27" t="n"/>
      <c r="Q1834" s="27" t="n"/>
      <c r="R1834" s="27" t="n"/>
      <c r="S1834" s="27" t="n"/>
      <c r="T1834" s="27" t="n"/>
    </row>
    <row r="1835" ht="13.8" customFormat="1" customHeight="1" s="70">
      <c r="M1835" s="27" t="n"/>
      <c r="N1835" s="27" t="n"/>
      <c r="O1835" s="27" t="n"/>
      <c r="P1835" s="27" t="n"/>
      <c r="Q1835" s="27" t="n"/>
      <c r="R1835" s="27" t="n"/>
      <c r="S1835" s="27" t="n"/>
      <c r="T1835" s="27" t="n"/>
    </row>
    <row r="1836" ht="13.8" customFormat="1" customHeight="1" s="70">
      <c r="M1836" s="27" t="n"/>
      <c r="N1836" s="27" t="n"/>
      <c r="O1836" s="27" t="n"/>
      <c r="P1836" s="27" t="n"/>
      <c r="Q1836" s="27" t="n"/>
      <c r="R1836" s="27" t="n"/>
      <c r="S1836" s="27" t="n"/>
      <c r="T1836" s="27" t="n"/>
    </row>
    <row r="1837" ht="13.8" customFormat="1" customHeight="1" s="70">
      <c r="M1837" s="27" t="n"/>
      <c r="N1837" s="27" t="n"/>
      <c r="O1837" s="27" t="n"/>
      <c r="P1837" s="27" t="n"/>
      <c r="Q1837" s="27" t="n"/>
      <c r="R1837" s="27" t="n"/>
      <c r="S1837" s="27" t="n"/>
      <c r="T1837" s="27" t="n"/>
    </row>
    <row r="1838" ht="13.8" customFormat="1" customHeight="1" s="70">
      <c r="M1838" s="27" t="n"/>
      <c r="N1838" s="27" t="n"/>
      <c r="O1838" s="27" t="n"/>
      <c r="P1838" s="27" t="n"/>
      <c r="Q1838" s="27" t="n"/>
      <c r="R1838" s="27" t="n"/>
      <c r="S1838" s="27" t="n"/>
      <c r="T1838" s="27" t="n"/>
    </row>
    <row r="1839" ht="13.8" customFormat="1" customHeight="1" s="70">
      <c r="M1839" s="27" t="n"/>
      <c r="N1839" s="27" t="n"/>
      <c r="O1839" s="27" t="n"/>
      <c r="P1839" s="27" t="n"/>
      <c r="Q1839" s="27" t="n"/>
      <c r="R1839" s="27" t="n"/>
      <c r="S1839" s="27" t="n"/>
      <c r="T1839" s="27" t="n"/>
    </row>
    <row r="1840" ht="13.8" customFormat="1" customHeight="1" s="70">
      <c r="M1840" s="27" t="n"/>
      <c r="N1840" s="27" t="n"/>
      <c r="O1840" s="27" t="n"/>
      <c r="P1840" s="27" t="n"/>
      <c r="Q1840" s="27" t="n"/>
      <c r="R1840" s="27" t="n"/>
      <c r="S1840" s="27" t="n"/>
      <c r="T1840" s="27" t="n"/>
    </row>
    <row r="1841" ht="13.8" customFormat="1" customHeight="1" s="70">
      <c r="M1841" s="27" t="n"/>
      <c r="N1841" s="27" t="n"/>
      <c r="O1841" s="27" t="n"/>
      <c r="P1841" s="27" t="n"/>
      <c r="Q1841" s="27" t="n"/>
      <c r="R1841" s="27" t="n"/>
      <c r="S1841" s="27" t="n"/>
      <c r="T1841" s="27" t="n"/>
    </row>
    <row r="1842" ht="13.8" customFormat="1" customHeight="1" s="70">
      <c r="M1842" s="27" t="n"/>
      <c r="N1842" s="27" t="n"/>
      <c r="O1842" s="27" t="n"/>
      <c r="P1842" s="27" t="n"/>
      <c r="Q1842" s="27" t="n"/>
      <c r="R1842" s="27" t="n"/>
      <c r="S1842" s="27" t="n"/>
      <c r="T1842" s="27" t="n"/>
    </row>
    <row r="1843" ht="13.8" customFormat="1" customHeight="1" s="70">
      <c r="M1843" s="27" t="n"/>
      <c r="N1843" s="27" t="n"/>
      <c r="O1843" s="27" t="n"/>
      <c r="P1843" s="27" t="n"/>
      <c r="Q1843" s="27" t="n"/>
      <c r="R1843" s="27" t="n"/>
      <c r="S1843" s="27" t="n"/>
      <c r="T1843" s="27" t="n"/>
    </row>
    <row r="1844" ht="13.8" customFormat="1" customHeight="1" s="70">
      <c r="M1844" s="27" t="n"/>
      <c r="N1844" s="27" t="n"/>
      <c r="O1844" s="27" t="n"/>
      <c r="P1844" s="27" t="n"/>
      <c r="Q1844" s="27" t="n"/>
      <c r="R1844" s="27" t="n"/>
      <c r="S1844" s="27" t="n"/>
      <c r="T1844" s="27" t="n"/>
    </row>
    <row r="1845" ht="13.8" customFormat="1" customHeight="1" s="70">
      <c r="M1845" s="27" t="n"/>
      <c r="N1845" s="27" t="n"/>
      <c r="O1845" s="27" t="n"/>
      <c r="P1845" s="27" t="n"/>
      <c r="Q1845" s="27" t="n"/>
      <c r="R1845" s="27" t="n"/>
      <c r="S1845" s="27" t="n"/>
      <c r="T1845" s="27" t="n"/>
    </row>
    <row r="1846" ht="13.8" customFormat="1" customHeight="1" s="70">
      <c r="M1846" s="27" t="n"/>
      <c r="N1846" s="27" t="n"/>
      <c r="O1846" s="27" t="n"/>
      <c r="P1846" s="27" t="n"/>
      <c r="Q1846" s="27" t="n"/>
      <c r="R1846" s="27" t="n"/>
      <c r="S1846" s="27" t="n"/>
      <c r="T1846" s="27" t="n"/>
    </row>
    <row r="1847" ht="13.8" customFormat="1" customHeight="1" s="70">
      <c r="M1847" s="27" t="n"/>
      <c r="N1847" s="27" t="n"/>
      <c r="O1847" s="27" t="n"/>
      <c r="P1847" s="27" t="n"/>
      <c r="Q1847" s="27" t="n"/>
      <c r="R1847" s="27" t="n"/>
      <c r="S1847" s="27" t="n"/>
      <c r="T1847" s="27" t="n"/>
    </row>
    <row r="1848" ht="13.8" customFormat="1" customHeight="1" s="70">
      <c r="M1848" s="27" t="n"/>
      <c r="N1848" s="27" t="n"/>
      <c r="O1848" s="27" t="n"/>
      <c r="P1848" s="27" t="n"/>
      <c r="Q1848" s="27" t="n"/>
      <c r="R1848" s="27" t="n"/>
      <c r="S1848" s="27" t="n"/>
      <c r="T1848" s="27" t="n"/>
    </row>
    <row r="1849" ht="13.8" customFormat="1" customHeight="1" s="70">
      <c r="M1849" s="27" t="n"/>
      <c r="N1849" s="27" t="n"/>
      <c r="O1849" s="27" t="n"/>
      <c r="P1849" s="27" t="n"/>
      <c r="Q1849" s="27" t="n"/>
      <c r="R1849" s="27" t="n"/>
      <c r="S1849" s="27" t="n"/>
      <c r="T1849" s="27" t="n"/>
    </row>
    <row r="1850" ht="13.8" customFormat="1" customHeight="1" s="70">
      <c r="M1850" s="27" t="n"/>
      <c r="N1850" s="27" t="n"/>
      <c r="O1850" s="27" t="n"/>
      <c r="P1850" s="27" t="n"/>
      <c r="Q1850" s="27" t="n"/>
      <c r="R1850" s="27" t="n"/>
      <c r="S1850" s="27" t="n"/>
      <c r="T1850" s="27" t="n"/>
    </row>
    <row r="1851" ht="13.8" customFormat="1" customHeight="1" s="70">
      <c r="M1851" s="27" t="n"/>
      <c r="N1851" s="27" t="n"/>
      <c r="O1851" s="27" t="n"/>
      <c r="P1851" s="27" t="n"/>
      <c r="Q1851" s="27" t="n"/>
      <c r="R1851" s="27" t="n"/>
      <c r="S1851" s="27" t="n"/>
      <c r="T1851" s="27" t="n"/>
    </row>
    <row r="1852" ht="13.8" customFormat="1" customHeight="1" s="70">
      <c r="M1852" s="27" t="n"/>
      <c r="N1852" s="27" t="n"/>
      <c r="O1852" s="27" t="n"/>
      <c r="P1852" s="27" t="n"/>
      <c r="Q1852" s="27" t="n"/>
      <c r="R1852" s="27" t="n"/>
      <c r="S1852" s="27" t="n"/>
      <c r="T1852" s="27" t="n"/>
    </row>
    <row r="1853" ht="13.8" customFormat="1" customHeight="1" s="70">
      <c r="M1853" s="27" t="n"/>
      <c r="N1853" s="27" t="n"/>
      <c r="O1853" s="27" t="n"/>
      <c r="P1853" s="27" t="n"/>
      <c r="Q1853" s="27" t="n"/>
      <c r="R1853" s="27" t="n"/>
      <c r="S1853" s="27" t="n"/>
      <c r="T1853" s="27" t="n"/>
    </row>
    <row r="1854" ht="13.8" customFormat="1" customHeight="1" s="70">
      <c r="M1854" s="27" t="n"/>
      <c r="N1854" s="27" t="n"/>
      <c r="O1854" s="27" t="n"/>
      <c r="P1854" s="27" t="n"/>
      <c r="Q1854" s="27" t="n"/>
      <c r="R1854" s="27" t="n"/>
      <c r="S1854" s="27" t="n"/>
      <c r="T1854" s="27" t="n"/>
    </row>
    <row r="1855" ht="13.8" customFormat="1" customHeight="1" s="70">
      <c r="M1855" s="27" t="n"/>
      <c r="N1855" s="27" t="n"/>
      <c r="O1855" s="27" t="n"/>
      <c r="P1855" s="27" t="n"/>
      <c r="Q1855" s="27" t="n"/>
      <c r="R1855" s="27" t="n"/>
      <c r="S1855" s="27" t="n"/>
      <c r="T1855" s="27" t="n"/>
    </row>
    <row r="1856" ht="13.8" customFormat="1" customHeight="1" s="70">
      <c r="M1856" s="27" t="n"/>
      <c r="N1856" s="27" t="n"/>
      <c r="O1856" s="27" t="n"/>
      <c r="P1856" s="27" t="n"/>
      <c r="Q1856" s="27" t="n"/>
      <c r="R1856" s="27" t="n"/>
      <c r="S1856" s="27" t="n"/>
      <c r="T1856" s="27" t="n"/>
    </row>
    <row r="1857" ht="13.8" customFormat="1" customHeight="1" s="70">
      <c r="M1857" s="27" t="n"/>
      <c r="N1857" s="27" t="n"/>
      <c r="O1857" s="27" t="n"/>
      <c r="P1857" s="27" t="n"/>
      <c r="Q1857" s="27" t="n"/>
      <c r="R1857" s="27" t="n"/>
      <c r="S1857" s="27" t="n"/>
      <c r="T1857" s="27" t="n"/>
    </row>
    <row r="1858" ht="13.8" customFormat="1" customHeight="1" s="70">
      <c r="M1858" s="27" t="n"/>
      <c r="N1858" s="27" t="n"/>
      <c r="O1858" s="27" t="n"/>
      <c r="P1858" s="27" t="n"/>
      <c r="Q1858" s="27" t="n"/>
      <c r="R1858" s="27" t="n"/>
      <c r="S1858" s="27" t="n"/>
      <c r="T1858" s="27" t="n"/>
    </row>
    <row r="1859" ht="13.8" customFormat="1" customHeight="1" s="70">
      <c r="M1859" s="27" t="n"/>
      <c r="N1859" s="27" t="n"/>
      <c r="O1859" s="27" t="n"/>
      <c r="P1859" s="27" t="n"/>
      <c r="Q1859" s="27" t="n"/>
      <c r="R1859" s="27" t="n"/>
      <c r="S1859" s="27" t="n"/>
      <c r="T1859" s="27" t="n"/>
    </row>
    <row r="1860" ht="13.8" customFormat="1" customHeight="1" s="70">
      <c r="M1860" s="27" t="n"/>
      <c r="N1860" s="27" t="n"/>
      <c r="O1860" s="27" t="n"/>
      <c r="P1860" s="27" t="n"/>
      <c r="Q1860" s="27" t="n"/>
      <c r="R1860" s="27" t="n"/>
      <c r="S1860" s="27" t="n"/>
      <c r="T1860" s="27" t="n"/>
    </row>
    <row r="1861" ht="13.8" customFormat="1" customHeight="1" s="70">
      <c r="M1861" s="27" t="n"/>
      <c r="N1861" s="27" t="n"/>
      <c r="O1861" s="27" t="n"/>
      <c r="P1861" s="27" t="n"/>
      <c r="Q1861" s="27" t="n"/>
      <c r="R1861" s="27" t="n"/>
      <c r="S1861" s="27" t="n"/>
      <c r="T1861" s="27" t="n"/>
    </row>
    <row r="1862" ht="13.8" customFormat="1" customHeight="1" s="70">
      <c r="M1862" s="27" t="n"/>
      <c r="N1862" s="27" t="n"/>
      <c r="O1862" s="27" t="n"/>
      <c r="P1862" s="27" t="n"/>
      <c r="Q1862" s="27" t="n"/>
      <c r="R1862" s="27" t="n"/>
      <c r="S1862" s="27" t="n"/>
      <c r="T1862" s="27" t="n"/>
    </row>
    <row r="1863" ht="13.8" customFormat="1" customHeight="1" s="70">
      <c r="M1863" s="27" t="n"/>
      <c r="N1863" s="27" t="n"/>
      <c r="O1863" s="27" t="n"/>
      <c r="P1863" s="27" t="n"/>
      <c r="Q1863" s="27" t="n"/>
      <c r="R1863" s="27" t="n"/>
      <c r="S1863" s="27" t="n"/>
      <c r="T1863" s="27" t="n"/>
    </row>
    <row r="1864" ht="13.8" customFormat="1" customHeight="1" s="70">
      <c r="M1864" s="27" t="n"/>
      <c r="N1864" s="27" t="n"/>
      <c r="O1864" s="27" t="n"/>
      <c r="P1864" s="27" t="n"/>
      <c r="Q1864" s="27" t="n"/>
      <c r="R1864" s="27" t="n"/>
      <c r="S1864" s="27" t="n"/>
      <c r="T1864" s="27" t="n"/>
    </row>
    <row r="1865" ht="13.8" customFormat="1" customHeight="1" s="70">
      <c r="M1865" s="27" t="n"/>
      <c r="N1865" s="27" t="n"/>
      <c r="O1865" s="27" t="n"/>
      <c r="P1865" s="27" t="n"/>
      <c r="Q1865" s="27" t="n"/>
      <c r="R1865" s="27" t="n"/>
      <c r="S1865" s="27" t="n"/>
      <c r="T1865" s="27" t="n"/>
    </row>
    <row r="1866" ht="13.8" customFormat="1" customHeight="1" s="70">
      <c r="M1866" s="27" t="n"/>
      <c r="N1866" s="27" t="n"/>
      <c r="O1866" s="27" t="n"/>
      <c r="P1866" s="27" t="n"/>
      <c r="Q1866" s="27" t="n"/>
      <c r="R1866" s="27" t="n"/>
      <c r="S1866" s="27" t="n"/>
      <c r="T1866" s="27" t="n"/>
    </row>
    <row r="1867" ht="13.8" customFormat="1" customHeight="1" s="70">
      <c r="M1867" s="27" t="n"/>
      <c r="N1867" s="27" t="n"/>
      <c r="O1867" s="27" t="n"/>
      <c r="P1867" s="27" t="n"/>
      <c r="Q1867" s="27" t="n"/>
      <c r="R1867" s="27" t="n"/>
      <c r="S1867" s="27" t="n"/>
      <c r="T1867" s="27" t="n"/>
    </row>
    <row r="1868" ht="13.8" customFormat="1" customHeight="1" s="70">
      <c r="M1868" s="27" t="n"/>
      <c r="N1868" s="27" t="n"/>
      <c r="O1868" s="27" t="n"/>
      <c r="P1868" s="27" t="n"/>
      <c r="Q1868" s="27" t="n"/>
      <c r="R1868" s="27" t="n"/>
      <c r="S1868" s="27" t="n"/>
      <c r="T1868" s="27" t="n"/>
    </row>
    <row r="1869" ht="13.8" customFormat="1" customHeight="1" s="70">
      <c r="M1869" s="27" t="n"/>
      <c r="N1869" s="27" t="n"/>
      <c r="O1869" s="27" t="n"/>
      <c r="P1869" s="27" t="n"/>
      <c r="Q1869" s="27" t="n"/>
      <c r="R1869" s="27" t="n"/>
      <c r="S1869" s="27" t="n"/>
      <c r="T1869" s="27" t="n"/>
    </row>
    <row r="1870" ht="13.8" customFormat="1" customHeight="1" s="70">
      <c r="M1870" s="27" t="n"/>
      <c r="N1870" s="27" t="n"/>
      <c r="O1870" s="27" t="n"/>
      <c r="P1870" s="27" t="n"/>
      <c r="Q1870" s="27" t="n"/>
      <c r="R1870" s="27" t="n"/>
      <c r="S1870" s="27" t="n"/>
      <c r="T1870" s="27" t="n"/>
    </row>
    <row r="1871" ht="13.8" customFormat="1" customHeight="1" s="70">
      <c r="M1871" s="27" t="n"/>
      <c r="N1871" s="27" t="n"/>
      <c r="O1871" s="27" t="n"/>
      <c r="P1871" s="27" t="n"/>
      <c r="Q1871" s="27" t="n"/>
      <c r="R1871" s="27" t="n"/>
      <c r="S1871" s="27" t="n"/>
      <c r="T1871" s="27" t="n"/>
    </row>
    <row r="1872" ht="13.8" customFormat="1" customHeight="1" s="70">
      <c r="M1872" s="27" t="n"/>
      <c r="N1872" s="27" t="n"/>
      <c r="O1872" s="27" t="n"/>
      <c r="P1872" s="27" t="n"/>
      <c r="Q1872" s="27" t="n"/>
      <c r="R1872" s="27" t="n"/>
      <c r="S1872" s="27" t="n"/>
      <c r="T1872" s="27" t="n"/>
    </row>
    <row r="1873" ht="13.8" customFormat="1" customHeight="1" s="70">
      <c r="M1873" s="27" t="n"/>
      <c r="N1873" s="27" t="n"/>
      <c r="O1873" s="27" t="n"/>
      <c r="P1873" s="27" t="n"/>
      <c r="Q1873" s="27" t="n"/>
      <c r="R1873" s="27" t="n"/>
      <c r="S1873" s="27" t="n"/>
      <c r="T1873" s="27" t="n"/>
    </row>
    <row r="1874" ht="13.8" customFormat="1" customHeight="1" s="70">
      <c r="M1874" s="27" t="n"/>
      <c r="N1874" s="27" t="n"/>
      <c r="O1874" s="27" t="n"/>
      <c r="P1874" s="27" t="n"/>
      <c r="Q1874" s="27" t="n"/>
      <c r="R1874" s="27" t="n"/>
      <c r="S1874" s="27" t="n"/>
      <c r="T1874" s="27" t="n"/>
    </row>
    <row r="1875" ht="13.8" customFormat="1" customHeight="1" s="70">
      <c r="M1875" s="27" t="n"/>
      <c r="N1875" s="27" t="n"/>
      <c r="O1875" s="27" t="n"/>
      <c r="P1875" s="27" t="n"/>
      <c r="Q1875" s="27" t="n"/>
      <c r="R1875" s="27" t="n"/>
      <c r="S1875" s="27" t="n"/>
      <c r="T1875" s="27" t="n"/>
    </row>
    <row r="1876" ht="13.8" customFormat="1" customHeight="1" s="70">
      <c r="M1876" s="27" t="n"/>
      <c r="N1876" s="27" t="n"/>
      <c r="O1876" s="27" t="n"/>
      <c r="P1876" s="27" t="n"/>
      <c r="Q1876" s="27" t="n"/>
      <c r="R1876" s="27" t="n"/>
      <c r="S1876" s="27" t="n"/>
      <c r="T1876" s="27" t="n"/>
    </row>
    <row r="1877" ht="13.8" customFormat="1" customHeight="1" s="70">
      <c r="M1877" s="27" t="n"/>
      <c r="N1877" s="27" t="n"/>
      <c r="O1877" s="27" t="n"/>
      <c r="P1877" s="27" t="n"/>
      <c r="Q1877" s="27" t="n"/>
      <c r="R1877" s="27" t="n"/>
      <c r="S1877" s="27" t="n"/>
      <c r="T1877" s="27" t="n"/>
    </row>
    <row r="1878" ht="13.8" customFormat="1" customHeight="1" s="70">
      <c r="M1878" s="27" t="n"/>
      <c r="N1878" s="27" t="n"/>
      <c r="O1878" s="27" t="n"/>
      <c r="P1878" s="27" t="n"/>
      <c r="Q1878" s="27" t="n"/>
      <c r="R1878" s="27" t="n"/>
      <c r="S1878" s="27" t="n"/>
      <c r="T1878" s="27" t="n"/>
    </row>
    <row r="1879" ht="13.8" customFormat="1" customHeight="1" s="70">
      <c r="M1879" s="27" t="n"/>
      <c r="N1879" s="27" t="n"/>
      <c r="O1879" s="27" t="n"/>
      <c r="P1879" s="27" t="n"/>
      <c r="Q1879" s="27" t="n"/>
      <c r="R1879" s="27" t="n"/>
      <c r="S1879" s="27" t="n"/>
      <c r="T1879" s="27" t="n"/>
    </row>
    <row r="1880" ht="13.8" customFormat="1" customHeight="1" s="70">
      <c r="M1880" s="27" t="n"/>
      <c r="N1880" s="27" t="n"/>
      <c r="O1880" s="27" t="n"/>
      <c r="P1880" s="27" t="n"/>
      <c r="Q1880" s="27" t="n"/>
      <c r="R1880" s="27" t="n"/>
      <c r="S1880" s="27" t="n"/>
      <c r="T1880" s="27" t="n"/>
    </row>
    <row r="1881" ht="13.8" customFormat="1" customHeight="1" s="70">
      <c r="M1881" s="27" t="n"/>
      <c r="N1881" s="27" t="n"/>
      <c r="O1881" s="27" t="n"/>
      <c r="P1881" s="27" t="n"/>
      <c r="Q1881" s="27" t="n"/>
      <c r="R1881" s="27" t="n"/>
      <c r="S1881" s="27" t="n"/>
      <c r="T1881" s="27" t="n"/>
    </row>
    <row r="1882" ht="13.8" customFormat="1" customHeight="1" s="70">
      <c r="M1882" s="27" t="n"/>
      <c r="N1882" s="27" t="n"/>
      <c r="O1882" s="27" t="n"/>
      <c r="P1882" s="27" t="n"/>
      <c r="Q1882" s="27" t="n"/>
      <c r="R1882" s="27" t="n"/>
      <c r="S1882" s="27" t="n"/>
      <c r="T1882" s="27" t="n"/>
    </row>
    <row r="1883" ht="13.8" customFormat="1" customHeight="1" s="70">
      <c r="M1883" s="27" t="n"/>
      <c r="N1883" s="27" t="n"/>
      <c r="O1883" s="27" t="n"/>
      <c r="P1883" s="27" t="n"/>
      <c r="Q1883" s="27" t="n"/>
      <c r="R1883" s="27" t="n"/>
      <c r="S1883" s="27" t="n"/>
      <c r="T1883" s="27" t="n"/>
    </row>
    <row r="1884" ht="13.8" customFormat="1" customHeight="1" s="70">
      <c r="M1884" s="27" t="n"/>
      <c r="N1884" s="27" t="n"/>
      <c r="O1884" s="27" t="n"/>
      <c r="P1884" s="27" t="n"/>
      <c r="Q1884" s="27" t="n"/>
      <c r="R1884" s="27" t="n"/>
      <c r="S1884" s="27" t="n"/>
      <c r="T1884" s="27" t="n"/>
    </row>
    <row r="1885" ht="13.8" customFormat="1" customHeight="1" s="70">
      <c r="M1885" s="27" t="n"/>
      <c r="N1885" s="27" t="n"/>
      <c r="O1885" s="27" t="n"/>
      <c r="P1885" s="27" t="n"/>
      <c r="Q1885" s="27" t="n"/>
      <c r="R1885" s="27" t="n"/>
      <c r="S1885" s="27" t="n"/>
      <c r="T1885" s="27" t="n"/>
    </row>
    <row r="1886" ht="13.8" customFormat="1" customHeight="1" s="70">
      <c r="M1886" s="27" t="n"/>
      <c r="N1886" s="27" t="n"/>
      <c r="O1886" s="27" t="n"/>
      <c r="P1886" s="27" t="n"/>
      <c r="Q1886" s="27" t="n"/>
      <c r="R1886" s="27" t="n"/>
      <c r="S1886" s="27" t="n"/>
      <c r="T1886" s="27" t="n"/>
    </row>
    <row r="1887" ht="13.8" customFormat="1" customHeight="1" s="70">
      <c r="M1887" s="27" t="n"/>
      <c r="N1887" s="27" t="n"/>
      <c r="O1887" s="27" t="n"/>
      <c r="P1887" s="27" t="n"/>
      <c r="Q1887" s="27" t="n"/>
      <c r="R1887" s="27" t="n"/>
      <c r="S1887" s="27" t="n"/>
      <c r="T1887" s="27" t="n"/>
    </row>
    <row r="1888" ht="13.8" customFormat="1" customHeight="1" s="70">
      <c r="M1888" s="27" t="n"/>
      <c r="N1888" s="27" t="n"/>
      <c r="O1888" s="27" t="n"/>
      <c r="P1888" s="27" t="n"/>
      <c r="Q1888" s="27" t="n"/>
      <c r="R1888" s="27" t="n"/>
      <c r="S1888" s="27" t="n"/>
      <c r="T1888" s="27" t="n"/>
    </row>
    <row r="1889" ht="13.8" customFormat="1" customHeight="1" s="70">
      <c r="M1889" s="27" t="n"/>
      <c r="N1889" s="27" t="n"/>
      <c r="O1889" s="27" t="n"/>
      <c r="P1889" s="27" t="n"/>
      <c r="Q1889" s="27" t="n"/>
      <c r="R1889" s="27" t="n"/>
      <c r="S1889" s="27" t="n"/>
      <c r="T1889" s="27" t="n"/>
    </row>
    <row r="1890" ht="13.8" customFormat="1" customHeight="1" s="70">
      <c r="M1890" s="27" t="n"/>
      <c r="N1890" s="27" t="n"/>
      <c r="O1890" s="27" t="n"/>
      <c r="P1890" s="27" t="n"/>
      <c r="Q1890" s="27" t="n"/>
      <c r="R1890" s="27" t="n"/>
      <c r="S1890" s="27" t="n"/>
      <c r="T1890" s="27" t="n"/>
    </row>
    <row r="1891" ht="13.8" customFormat="1" customHeight="1" s="70">
      <c r="M1891" s="27" t="n"/>
      <c r="N1891" s="27" t="n"/>
      <c r="O1891" s="27" t="n"/>
      <c r="P1891" s="27" t="n"/>
      <c r="Q1891" s="27" t="n"/>
      <c r="R1891" s="27" t="n"/>
      <c r="S1891" s="27" t="n"/>
      <c r="T1891" s="27" t="n"/>
    </row>
    <row r="1892" ht="13.8" customFormat="1" customHeight="1" s="70">
      <c r="M1892" s="27" t="n"/>
      <c r="N1892" s="27" t="n"/>
      <c r="O1892" s="27" t="n"/>
      <c r="P1892" s="27" t="n"/>
      <c r="Q1892" s="27" t="n"/>
      <c r="R1892" s="27" t="n"/>
      <c r="S1892" s="27" t="n"/>
      <c r="T1892" s="27" t="n"/>
    </row>
    <row r="1893" ht="13.8" customFormat="1" customHeight="1" s="70">
      <c r="M1893" s="27" t="n"/>
      <c r="N1893" s="27" t="n"/>
      <c r="O1893" s="27" t="n"/>
      <c r="P1893" s="27" t="n"/>
      <c r="Q1893" s="27" t="n"/>
      <c r="R1893" s="27" t="n"/>
      <c r="S1893" s="27" t="n"/>
      <c r="T1893" s="27" t="n"/>
    </row>
    <row r="1894" ht="13.8" customFormat="1" customHeight="1" s="70">
      <c r="M1894" s="27" t="n"/>
      <c r="N1894" s="27" t="n"/>
      <c r="O1894" s="27" t="n"/>
      <c r="P1894" s="27" t="n"/>
      <c r="Q1894" s="27" t="n"/>
      <c r="R1894" s="27" t="n"/>
      <c r="S1894" s="27" t="n"/>
      <c r="T1894" s="27" t="n"/>
    </row>
    <row r="1895" ht="13.8" customFormat="1" customHeight="1" s="70">
      <c r="M1895" s="27" t="n"/>
      <c r="N1895" s="27" t="n"/>
      <c r="O1895" s="27" t="n"/>
      <c r="P1895" s="27" t="n"/>
      <c r="Q1895" s="27" t="n"/>
      <c r="R1895" s="27" t="n"/>
      <c r="S1895" s="27" t="n"/>
      <c r="T1895" s="27" t="n"/>
    </row>
    <row r="1896" ht="13.8" customFormat="1" customHeight="1" s="70">
      <c r="M1896" s="27" t="n"/>
      <c r="N1896" s="27" t="n"/>
      <c r="O1896" s="27" t="n"/>
      <c r="P1896" s="27" t="n"/>
      <c r="Q1896" s="27" t="n"/>
      <c r="R1896" s="27" t="n"/>
      <c r="S1896" s="27" t="n"/>
      <c r="T1896" s="27" t="n"/>
    </row>
    <row r="1897" ht="13.8" customFormat="1" customHeight="1" s="70">
      <c r="M1897" s="27" t="n"/>
      <c r="N1897" s="27" t="n"/>
      <c r="O1897" s="27" t="n"/>
      <c r="P1897" s="27" t="n"/>
      <c r="Q1897" s="27" t="n"/>
      <c r="R1897" s="27" t="n"/>
      <c r="S1897" s="27" t="n"/>
      <c r="T1897" s="27" t="n"/>
    </row>
    <row r="1898" ht="13.8" customFormat="1" customHeight="1" s="70">
      <c r="M1898" s="27" t="n"/>
      <c r="N1898" s="27" t="n"/>
      <c r="O1898" s="27" t="n"/>
      <c r="P1898" s="27" t="n"/>
      <c r="Q1898" s="27" t="n"/>
      <c r="R1898" s="27" t="n"/>
      <c r="S1898" s="27" t="n"/>
      <c r="T1898" s="27" t="n"/>
    </row>
    <row r="1899" ht="13.8" customFormat="1" customHeight="1" s="70">
      <c r="M1899" s="27" t="n"/>
      <c r="N1899" s="27" t="n"/>
      <c r="O1899" s="27" t="n"/>
      <c r="P1899" s="27" t="n"/>
      <c r="Q1899" s="27" t="n"/>
      <c r="R1899" s="27" t="n"/>
      <c r="S1899" s="27" t="n"/>
      <c r="T1899" s="27" t="n"/>
    </row>
    <row r="1900" ht="13.8" customFormat="1" customHeight="1" s="70">
      <c r="M1900" s="27" t="n"/>
      <c r="N1900" s="27" t="n"/>
      <c r="O1900" s="27" t="n"/>
      <c r="P1900" s="27" t="n"/>
      <c r="Q1900" s="27" t="n"/>
      <c r="R1900" s="27" t="n"/>
      <c r="S1900" s="27" t="n"/>
      <c r="T1900" s="27" t="n"/>
    </row>
    <row r="1901" ht="13.8" customFormat="1" customHeight="1" s="70">
      <c r="M1901" s="27" t="n"/>
      <c r="N1901" s="27" t="n"/>
      <c r="O1901" s="27" t="n"/>
      <c r="P1901" s="27" t="n"/>
      <c r="Q1901" s="27" t="n"/>
      <c r="R1901" s="27" t="n"/>
      <c r="S1901" s="27" t="n"/>
      <c r="T1901" s="27" t="n"/>
    </row>
    <row r="1902" ht="13.8" customFormat="1" customHeight="1" s="70">
      <c r="M1902" s="27" t="n"/>
      <c r="N1902" s="27" t="n"/>
      <c r="O1902" s="27" t="n"/>
      <c r="P1902" s="27" t="n"/>
      <c r="Q1902" s="27" t="n"/>
      <c r="R1902" s="27" t="n"/>
      <c r="S1902" s="27" t="n"/>
      <c r="T1902" s="27" t="n"/>
    </row>
    <row r="1903" ht="13.8" customFormat="1" customHeight="1" s="70">
      <c r="M1903" s="27" t="n"/>
      <c r="N1903" s="27" t="n"/>
      <c r="O1903" s="27" t="n"/>
      <c r="P1903" s="27" t="n"/>
      <c r="Q1903" s="27" t="n"/>
      <c r="R1903" s="27" t="n"/>
      <c r="S1903" s="27" t="n"/>
      <c r="T1903" s="27" t="n"/>
    </row>
    <row r="1904" ht="13.8" customFormat="1" customHeight="1" s="70">
      <c r="M1904" s="27" t="n"/>
      <c r="N1904" s="27" t="n"/>
      <c r="O1904" s="27" t="n"/>
      <c r="P1904" s="27" t="n"/>
      <c r="Q1904" s="27" t="n"/>
      <c r="R1904" s="27" t="n"/>
      <c r="S1904" s="27" t="n"/>
      <c r="T1904" s="27" t="n"/>
    </row>
    <row r="1905" ht="13.8" customFormat="1" customHeight="1" s="70">
      <c r="M1905" s="27" t="n"/>
      <c r="N1905" s="27" t="n"/>
      <c r="O1905" s="27" t="n"/>
      <c r="P1905" s="27" t="n"/>
      <c r="Q1905" s="27" t="n"/>
      <c r="R1905" s="27" t="n"/>
      <c r="S1905" s="27" t="n"/>
      <c r="T1905" s="27" t="n"/>
    </row>
    <row r="1906" ht="13.8" customFormat="1" customHeight="1" s="70">
      <c r="M1906" s="27" t="n"/>
      <c r="N1906" s="27" t="n"/>
      <c r="O1906" s="27" t="n"/>
      <c r="P1906" s="27" t="n"/>
      <c r="Q1906" s="27" t="n"/>
      <c r="R1906" s="27" t="n"/>
      <c r="S1906" s="27" t="n"/>
      <c r="T1906" s="27" t="n"/>
    </row>
    <row r="1907" ht="13.8" customFormat="1" customHeight="1" s="70">
      <c r="M1907" s="27" t="n"/>
      <c r="N1907" s="27" t="n"/>
      <c r="O1907" s="27" t="n"/>
      <c r="P1907" s="27" t="n"/>
      <c r="Q1907" s="27" t="n"/>
      <c r="R1907" s="27" t="n"/>
      <c r="S1907" s="27" t="n"/>
      <c r="T1907" s="27" t="n"/>
    </row>
    <row r="1908" ht="13.8" customFormat="1" customHeight="1" s="70">
      <c r="M1908" s="27" t="n"/>
      <c r="N1908" s="27" t="n"/>
      <c r="O1908" s="27" t="n"/>
      <c r="P1908" s="27" t="n"/>
      <c r="Q1908" s="27" t="n"/>
      <c r="R1908" s="27" t="n"/>
      <c r="S1908" s="27" t="n"/>
      <c r="T1908" s="27" t="n"/>
    </row>
    <row r="1909" ht="13.8" customFormat="1" customHeight="1" s="70">
      <c r="M1909" s="27" t="n"/>
      <c r="N1909" s="27" t="n"/>
      <c r="O1909" s="27" t="n"/>
      <c r="P1909" s="27" t="n"/>
      <c r="Q1909" s="27" t="n"/>
      <c r="R1909" s="27" t="n"/>
      <c r="S1909" s="27" t="n"/>
      <c r="T1909" s="27" t="n"/>
    </row>
    <row r="1910" ht="13.8" customFormat="1" customHeight="1" s="70">
      <c r="M1910" s="27" t="n"/>
      <c r="N1910" s="27" t="n"/>
      <c r="O1910" s="27" t="n"/>
      <c r="P1910" s="27" t="n"/>
      <c r="Q1910" s="27" t="n"/>
      <c r="R1910" s="27" t="n"/>
      <c r="S1910" s="27" t="n"/>
      <c r="T1910" s="27" t="n"/>
    </row>
    <row r="1911" ht="13.8" customFormat="1" customHeight="1" s="70">
      <c r="M1911" s="27" t="n"/>
      <c r="N1911" s="27" t="n"/>
      <c r="O1911" s="27" t="n"/>
      <c r="P1911" s="27" t="n"/>
      <c r="Q1911" s="27" t="n"/>
      <c r="R1911" s="27" t="n"/>
      <c r="S1911" s="27" t="n"/>
      <c r="T1911" s="27" t="n"/>
    </row>
    <row r="1912" ht="13.8" customFormat="1" customHeight="1" s="70">
      <c r="M1912" s="27" t="n"/>
      <c r="N1912" s="27" t="n"/>
      <c r="O1912" s="27" t="n"/>
      <c r="P1912" s="27" t="n"/>
      <c r="Q1912" s="27" t="n"/>
      <c r="R1912" s="27" t="n"/>
      <c r="S1912" s="27" t="n"/>
      <c r="T1912" s="27" t="n"/>
    </row>
    <row r="1913" ht="13.8" customFormat="1" customHeight="1" s="70">
      <c r="M1913" s="27" t="n"/>
      <c r="N1913" s="27" t="n"/>
      <c r="O1913" s="27" t="n"/>
      <c r="P1913" s="27" t="n"/>
      <c r="Q1913" s="27" t="n"/>
      <c r="R1913" s="27" t="n"/>
      <c r="S1913" s="27" t="n"/>
      <c r="T1913" s="27" t="n"/>
    </row>
    <row r="1914" ht="13.8" customFormat="1" customHeight="1" s="70">
      <c r="M1914" s="27" t="n"/>
      <c r="N1914" s="27" t="n"/>
      <c r="O1914" s="27" t="n"/>
      <c r="P1914" s="27" t="n"/>
      <c r="Q1914" s="27" t="n"/>
      <c r="R1914" s="27" t="n"/>
      <c r="S1914" s="27" t="n"/>
      <c r="T1914" s="27" t="n"/>
    </row>
    <row r="1915" ht="13.8" customFormat="1" customHeight="1" s="70">
      <c r="M1915" s="27" t="n"/>
      <c r="N1915" s="27" t="n"/>
      <c r="O1915" s="27" t="n"/>
      <c r="P1915" s="27" t="n"/>
      <c r="Q1915" s="27" t="n"/>
      <c r="R1915" s="27" t="n"/>
      <c r="S1915" s="27" t="n"/>
      <c r="T1915" s="27" t="n"/>
    </row>
    <row r="1916" ht="13.8" customFormat="1" customHeight="1" s="70">
      <c r="M1916" s="27" t="n"/>
      <c r="N1916" s="27" t="n"/>
      <c r="O1916" s="27" t="n"/>
      <c r="P1916" s="27" t="n"/>
      <c r="Q1916" s="27" t="n"/>
      <c r="R1916" s="27" t="n"/>
      <c r="S1916" s="27" t="n"/>
      <c r="T1916" s="27" t="n"/>
    </row>
    <row r="1917" ht="13.8" customFormat="1" customHeight="1" s="70">
      <c r="M1917" s="27" t="n"/>
      <c r="N1917" s="27" t="n"/>
      <c r="O1917" s="27" t="n"/>
      <c r="P1917" s="27" t="n"/>
      <c r="Q1917" s="27" t="n"/>
      <c r="R1917" s="27" t="n"/>
      <c r="S1917" s="27" t="n"/>
      <c r="T1917" s="27" t="n"/>
    </row>
    <row r="1918" ht="13.8" customFormat="1" customHeight="1" s="70">
      <c r="M1918" s="27" t="n"/>
      <c r="N1918" s="27" t="n"/>
      <c r="O1918" s="27" t="n"/>
      <c r="P1918" s="27" t="n"/>
      <c r="Q1918" s="27" t="n"/>
      <c r="R1918" s="27" t="n"/>
      <c r="S1918" s="27" t="n"/>
      <c r="T1918" s="27" t="n"/>
    </row>
    <row r="1919" ht="13.8" customFormat="1" customHeight="1" s="70">
      <c r="M1919" s="27" t="n"/>
      <c r="N1919" s="27" t="n"/>
      <c r="O1919" s="27" t="n"/>
      <c r="P1919" s="27" t="n"/>
      <c r="Q1919" s="27" t="n"/>
      <c r="R1919" s="27" t="n"/>
      <c r="S1919" s="27" t="n"/>
      <c r="T1919" s="27" t="n"/>
    </row>
    <row r="1920" ht="13.8" customFormat="1" customHeight="1" s="70">
      <c r="M1920" s="27" t="n"/>
      <c r="N1920" s="27" t="n"/>
      <c r="O1920" s="27" t="n"/>
      <c r="P1920" s="27" t="n"/>
      <c r="Q1920" s="27" t="n"/>
      <c r="R1920" s="27" t="n"/>
      <c r="S1920" s="27" t="n"/>
      <c r="T1920" s="27" t="n"/>
    </row>
    <row r="1921" ht="13.8" customFormat="1" customHeight="1" s="70">
      <c r="M1921" s="27" t="n"/>
      <c r="N1921" s="27" t="n"/>
      <c r="O1921" s="27" t="n"/>
      <c r="P1921" s="27" t="n"/>
      <c r="Q1921" s="27" t="n"/>
      <c r="R1921" s="27" t="n"/>
      <c r="S1921" s="27" t="n"/>
      <c r="T1921" s="27" t="n"/>
    </row>
    <row r="1922" ht="13.8" customFormat="1" customHeight="1" s="70">
      <c r="M1922" s="27" t="n"/>
      <c r="N1922" s="27" t="n"/>
      <c r="O1922" s="27" t="n"/>
      <c r="P1922" s="27" t="n"/>
      <c r="Q1922" s="27" t="n"/>
      <c r="R1922" s="27" t="n"/>
      <c r="S1922" s="27" t="n"/>
      <c r="T1922" s="27" t="n"/>
    </row>
    <row r="1923" ht="13.8" customFormat="1" customHeight="1" s="70">
      <c r="M1923" s="27" t="n"/>
      <c r="N1923" s="27" t="n"/>
      <c r="O1923" s="27" t="n"/>
      <c r="P1923" s="27" t="n"/>
      <c r="Q1923" s="27" t="n"/>
      <c r="R1923" s="27" t="n"/>
      <c r="S1923" s="27" t="n"/>
      <c r="T1923" s="27" t="n"/>
    </row>
    <row r="1924" ht="13.8" customFormat="1" customHeight="1" s="70">
      <c r="M1924" s="27" t="n"/>
      <c r="N1924" s="27" t="n"/>
      <c r="O1924" s="27" t="n"/>
      <c r="P1924" s="27" t="n"/>
      <c r="Q1924" s="27" t="n"/>
      <c r="R1924" s="27" t="n"/>
      <c r="S1924" s="27" t="n"/>
      <c r="T1924" s="27" t="n"/>
    </row>
    <row r="1925" ht="13.8" customFormat="1" customHeight="1" s="70">
      <c r="M1925" s="27" t="n"/>
      <c r="N1925" s="27" t="n"/>
      <c r="O1925" s="27" t="n"/>
      <c r="P1925" s="27" t="n"/>
      <c r="Q1925" s="27" t="n"/>
      <c r="R1925" s="27" t="n"/>
      <c r="S1925" s="27" t="n"/>
      <c r="T1925" s="27" t="n"/>
    </row>
    <row r="1926" ht="13.8" customFormat="1" customHeight="1" s="70">
      <c r="M1926" s="27" t="n"/>
      <c r="N1926" s="27" t="n"/>
      <c r="O1926" s="27" t="n"/>
      <c r="P1926" s="27" t="n"/>
      <c r="Q1926" s="27" t="n"/>
      <c r="R1926" s="27" t="n"/>
      <c r="S1926" s="27" t="n"/>
      <c r="T1926" s="27" t="n"/>
    </row>
    <row r="1927" ht="13.8" customFormat="1" customHeight="1" s="70">
      <c r="M1927" s="27" t="n"/>
      <c r="N1927" s="27" t="n"/>
      <c r="O1927" s="27" t="n"/>
      <c r="P1927" s="27" t="n"/>
      <c r="Q1927" s="27" t="n"/>
      <c r="R1927" s="27" t="n"/>
      <c r="S1927" s="27" t="n"/>
      <c r="T1927" s="27" t="n"/>
    </row>
    <row r="1928" ht="13.8" customFormat="1" customHeight="1" s="70">
      <c r="M1928" s="27" t="n"/>
      <c r="N1928" s="27" t="n"/>
      <c r="O1928" s="27" t="n"/>
      <c r="P1928" s="27" t="n"/>
      <c r="Q1928" s="27" t="n"/>
      <c r="R1928" s="27" t="n"/>
      <c r="S1928" s="27" t="n"/>
      <c r="T1928" s="27" t="n"/>
    </row>
    <row r="1929" ht="13.8" customFormat="1" customHeight="1" s="70">
      <c r="M1929" s="27" t="n"/>
      <c r="N1929" s="27" t="n"/>
      <c r="O1929" s="27" t="n"/>
      <c r="P1929" s="27" t="n"/>
      <c r="Q1929" s="27" t="n"/>
      <c r="R1929" s="27" t="n"/>
      <c r="S1929" s="27" t="n"/>
      <c r="T1929" s="27" t="n"/>
    </row>
    <row r="1930" ht="13.8" customFormat="1" customHeight="1" s="70">
      <c r="M1930" s="27" t="n"/>
      <c r="N1930" s="27" t="n"/>
      <c r="O1930" s="27" t="n"/>
      <c r="P1930" s="27" t="n"/>
      <c r="Q1930" s="27" t="n"/>
      <c r="R1930" s="27" t="n"/>
      <c r="S1930" s="27" t="n"/>
      <c r="T1930" s="27" t="n"/>
    </row>
    <row r="1931" ht="13.8" customFormat="1" customHeight="1" s="70">
      <c r="M1931" s="27" t="n"/>
      <c r="N1931" s="27" t="n"/>
      <c r="O1931" s="27" t="n"/>
      <c r="P1931" s="27" t="n"/>
      <c r="Q1931" s="27" t="n"/>
      <c r="R1931" s="27" t="n"/>
      <c r="S1931" s="27" t="n"/>
      <c r="T1931" s="27" t="n"/>
    </row>
    <row r="1932" ht="13.8" customFormat="1" customHeight="1" s="70">
      <c r="M1932" s="27" t="n"/>
      <c r="N1932" s="27" t="n"/>
      <c r="O1932" s="27" t="n"/>
      <c r="P1932" s="27" t="n"/>
      <c r="Q1932" s="27" t="n"/>
      <c r="R1932" s="27" t="n"/>
      <c r="S1932" s="27" t="n"/>
      <c r="T1932" s="27" t="n"/>
    </row>
    <row r="1933" ht="13.8" customFormat="1" customHeight="1" s="70">
      <c r="M1933" s="27" t="n"/>
      <c r="N1933" s="27" t="n"/>
      <c r="O1933" s="27" t="n"/>
      <c r="P1933" s="27" t="n"/>
      <c r="Q1933" s="27" t="n"/>
      <c r="R1933" s="27" t="n"/>
      <c r="S1933" s="27" t="n"/>
      <c r="T1933" s="27" t="n"/>
    </row>
    <row r="1934" ht="13.8" customFormat="1" customHeight="1" s="70">
      <c r="M1934" s="27" t="n"/>
      <c r="N1934" s="27" t="n"/>
      <c r="O1934" s="27" t="n"/>
      <c r="P1934" s="27" t="n"/>
      <c r="Q1934" s="27" t="n"/>
      <c r="R1934" s="27" t="n"/>
      <c r="S1934" s="27" t="n"/>
      <c r="T1934" s="27" t="n"/>
    </row>
    <row r="1935" ht="13.8" customFormat="1" customHeight="1" s="70">
      <c r="M1935" s="27" t="n"/>
      <c r="N1935" s="27" t="n"/>
      <c r="O1935" s="27" t="n"/>
      <c r="P1935" s="27" t="n"/>
      <c r="Q1935" s="27" t="n"/>
      <c r="R1935" s="27" t="n"/>
      <c r="S1935" s="27" t="n"/>
      <c r="T1935" s="27" t="n"/>
    </row>
    <row r="1936" ht="13.8" customFormat="1" customHeight="1" s="70">
      <c r="M1936" s="27" t="n"/>
      <c r="N1936" s="27" t="n"/>
      <c r="O1936" s="27" t="n"/>
      <c r="P1936" s="27" t="n"/>
      <c r="Q1936" s="27" t="n"/>
      <c r="R1936" s="27" t="n"/>
      <c r="S1936" s="27" t="n"/>
      <c r="T1936" s="27" t="n"/>
    </row>
    <row r="1937" ht="13.8" customFormat="1" customHeight="1" s="70">
      <c r="M1937" s="27" t="n"/>
      <c r="N1937" s="27" t="n"/>
      <c r="O1937" s="27" t="n"/>
      <c r="P1937" s="27" t="n"/>
      <c r="Q1937" s="27" t="n"/>
      <c r="R1937" s="27" t="n"/>
      <c r="S1937" s="27" t="n"/>
      <c r="T1937" s="27" t="n"/>
    </row>
    <row r="1938" ht="13.8" customFormat="1" customHeight="1" s="70">
      <c r="M1938" s="27" t="n"/>
      <c r="N1938" s="27" t="n"/>
      <c r="O1938" s="27" t="n"/>
      <c r="P1938" s="27" t="n"/>
      <c r="Q1938" s="27" t="n"/>
      <c r="R1938" s="27" t="n"/>
      <c r="S1938" s="27" t="n"/>
      <c r="T1938" s="27" t="n"/>
    </row>
    <row r="1939" ht="13.8" customFormat="1" customHeight="1" s="70">
      <c r="M1939" s="27" t="n"/>
      <c r="N1939" s="27" t="n"/>
      <c r="O1939" s="27" t="n"/>
      <c r="P1939" s="27" t="n"/>
      <c r="Q1939" s="27" t="n"/>
      <c r="R1939" s="27" t="n"/>
      <c r="S1939" s="27" t="n"/>
      <c r="T1939" s="27" t="n"/>
    </row>
    <row r="1940" ht="13.8" customFormat="1" customHeight="1" s="70">
      <c r="M1940" s="27" t="n"/>
      <c r="N1940" s="27" t="n"/>
      <c r="O1940" s="27" t="n"/>
      <c r="P1940" s="27" t="n"/>
      <c r="Q1940" s="27" t="n"/>
      <c r="R1940" s="27" t="n"/>
      <c r="S1940" s="27" t="n"/>
      <c r="T1940" s="27" t="n"/>
    </row>
    <row r="1941" ht="13.8" customFormat="1" customHeight="1" s="70">
      <c r="M1941" s="27" t="n"/>
      <c r="N1941" s="27" t="n"/>
      <c r="O1941" s="27" t="n"/>
      <c r="P1941" s="27" t="n"/>
      <c r="Q1941" s="27" t="n"/>
      <c r="R1941" s="27" t="n"/>
      <c r="S1941" s="27" t="n"/>
      <c r="T1941" s="27" t="n"/>
    </row>
    <row r="1942" ht="13.8" customFormat="1" customHeight="1" s="70">
      <c r="M1942" s="27" t="n"/>
      <c r="N1942" s="27" t="n"/>
      <c r="O1942" s="27" t="n"/>
      <c r="P1942" s="27" t="n"/>
      <c r="Q1942" s="27" t="n"/>
      <c r="R1942" s="27" t="n"/>
      <c r="S1942" s="27" t="n"/>
      <c r="T1942" s="27" t="n"/>
    </row>
    <row r="1943" ht="13.8" customFormat="1" customHeight="1" s="70">
      <c r="M1943" s="27" t="n"/>
      <c r="N1943" s="27" t="n"/>
      <c r="O1943" s="27" t="n"/>
      <c r="P1943" s="27" t="n"/>
      <c r="Q1943" s="27" t="n"/>
      <c r="R1943" s="27" t="n"/>
      <c r="S1943" s="27" t="n"/>
      <c r="T1943" s="27" t="n"/>
    </row>
    <row r="1944" ht="13.8" customFormat="1" customHeight="1" s="70">
      <c r="M1944" s="27" t="n"/>
      <c r="N1944" s="27" t="n"/>
      <c r="O1944" s="27" t="n"/>
      <c r="P1944" s="27" t="n"/>
      <c r="Q1944" s="27" t="n"/>
      <c r="R1944" s="27" t="n"/>
      <c r="S1944" s="27" t="n"/>
      <c r="T1944" s="27" t="n"/>
    </row>
    <row r="1945" ht="13.8" customFormat="1" customHeight="1" s="70">
      <c r="M1945" s="27" t="n"/>
      <c r="N1945" s="27" t="n"/>
      <c r="O1945" s="27" t="n"/>
      <c r="P1945" s="27" t="n"/>
      <c r="Q1945" s="27" t="n"/>
      <c r="R1945" s="27" t="n"/>
      <c r="S1945" s="27" t="n"/>
      <c r="T1945" s="27" t="n"/>
    </row>
    <row r="1946" ht="13.8" customFormat="1" customHeight="1" s="70">
      <c r="M1946" s="27" t="n"/>
      <c r="N1946" s="27" t="n"/>
      <c r="O1946" s="27" t="n"/>
      <c r="P1946" s="27" t="n"/>
      <c r="Q1946" s="27" t="n"/>
      <c r="R1946" s="27" t="n"/>
      <c r="S1946" s="27" t="n"/>
      <c r="T1946" s="27" t="n"/>
    </row>
    <row r="1947" ht="13.8" customFormat="1" customHeight="1" s="70">
      <c r="M1947" s="27" t="n"/>
      <c r="N1947" s="27" t="n"/>
      <c r="O1947" s="27" t="n"/>
      <c r="P1947" s="27" t="n"/>
      <c r="Q1947" s="27" t="n"/>
      <c r="R1947" s="27" t="n"/>
      <c r="S1947" s="27" t="n"/>
      <c r="T1947" s="27" t="n"/>
    </row>
    <row r="1948" ht="13.8" customFormat="1" customHeight="1" s="70">
      <c r="M1948" s="27" t="n"/>
      <c r="N1948" s="27" t="n"/>
      <c r="O1948" s="27" t="n"/>
      <c r="P1948" s="27" t="n"/>
      <c r="Q1948" s="27" t="n"/>
      <c r="R1948" s="27" t="n"/>
      <c r="S1948" s="27" t="n"/>
      <c r="T1948" s="27" t="n"/>
    </row>
    <row r="1949" ht="13.8" customFormat="1" customHeight="1" s="70">
      <c r="M1949" s="27" t="n"/>
      <c r="N1949" s="27" t="n"/>
      <c r="O1949" s="27" t="n"/>
      <c r="P1949" s="27" t="n"/>
      <c r="Q1949" s="27" t="n"/>
      <c r="R1949" s="27" t="n"/>
      <c r="S1949" s="27" t="n"/>
      <c r="T1949" s="27" t="n"/>
    </row>
    <row r="1950" ht="13.8" customFormat="1" customHeight="1" s="70">
      <c r="M1950" s="27" t="n"/>
      <c r="N1950" s="27" t="n"/>
      <c r="O1950" s="27" t="n"/>
      <c r="P1950" s="27" t="n"/>
      <c r="Q1950" s="27" t="n"/>
      <c r="R1950" s="27" t="n"/>
      <c r="S1950" s="27" t="n"/>
      <c r="T1950" s="27" t="n"/>
    </row>
    <row r="1951" ht="13.8" customFormat="1" customHeight="1" s="70">
      <c r="M1951" s="27" t="n"/>
      <c r="N1951" s="27" t="n"/>
      <c r="O1951" s="27" t="n"/>
      <c r="P1951" s="27" t="n"/>
      <c r="Q1951" s="27" t="n"/>
      <c r="R1951" s="27" t="n"/>
      <c r="S1951" s="27" t="n"/>
      <c r="T1951" s="27" t="n"/>
    </row>
    <row r="1952" ht="13.8" customFormat="1" customHeight="1" s="70">
      <c r="M1952" s="27" t="n"/>
      <c r="N1952" s="27" t="n"/>
      <c r="O1952" s="27" t="n"/>
      <c r="P1952" s="27" t="n"/>
      <c r="Q1952" s="27" t="n"/>
      <c r="R1952" s="27" t="n"/>
      <c r="S1952" s="27" t="n"/>
      <c r="T1952" s="27" t="n"/>
    </row>
    <row r="1953" ht="13.8" customFormat="1" customHeight="1" s="70">
      <c r="M1953" s="27" t="n"/>
      <c r="N1953" s="27" t="n"/>
      <c r="O1953" s="27" t="n"/>
      <c r="P1953" s="27" t="n"/>
      <c r="Q1953" s="27" t="n"/>
      <c r="R1953" s="27" t="n"/>
      <c r="S1953" s="27" t="n"/>
      <c r="T1953" s="27" t="n"/>
    </row>
    <row r="1954" ht="13.8" customFormat="1" customHeight="1" s="70">
      <c r="M1954" s="27" t="n"/>
      <c r="N1954" s="27" t="n"/>
      <c r="O1954" s="27" t="n"/>
      <c r="P1954" s="27" t="n"/>
      <c r="Q1954" s="27" t="n"/>
      <c r="R1954" s="27" t="n"/>
      <c r="S1954" s="27" t="n"/>
      <c r="T1954" s="27" t="n"/>
    </row>
    <row r="1955" ht="13.8" customFormat="1" customHeight="1" s="70">
      <c r="M1955" s="27" t="n"/>
      <c r="N1955" s="27" t="n"/>
      <c r="O1955" s="27" t="n"/>
      <c r="P1955" s="27" t="n"/>
      <c r="Q1955" s="27" t="n"/>
      <c r="R1955" s="27" t="n"/>
      <c r="S1955" s="27" t="n"/>
      <c r="T1955" s="27" t="n"/>
    </row>
    <row r="1956" ht="13.8" customFormat="1" customHeight="1" s="70">
      <c r="M1956" s="27" t="n"/>
      <c r="N1956" s="27" t="n"/>
      <c r="O1956" s="27" t="n"/>
      <c r="P1956" s="27" t="n"/>
      <c r="Q1956" s="27" t="n"/>
      <c r="R1956" s="27" t="n"/>
      <c r="S1956" s="27" t="n"/>
      <c r="T1956" s="27" t="n"/>
    </row>
    <row r="1957" ht="13.8" customFormat="1" customHeight="1" s="70">
      <c r="M1957" s="27" t="n"/>
      <c r="N1957" s="27" t="n"/>
      <c r="O1957" s="27" t="n"/>
      <c r="P1957" s="27" t="n"/>
      <c r="Q1957" s="27" t="n"/>
      <c r="R1957" s="27" t="n"/>
      <c r="S1957" s="27" t="n"/>
      <c r="T1957" s="27" t="n"/>
    </row>
    <row r="1958" ht="13.8" customFormat="1" customHeight="1" s="70">
      <c r="M1958" s="27" t="n"/>
      <c r="N1958" s="27" t="n"/>
      <c r="O1958" s="27" t="n"/>
      <c r="P1958" s="27" t="n"/>
      <c r="Q1958" s="27" t="n"/>
      <c r="R1958" s="27" t="n"/>
      <c r="S1958" s="27" t="n"/>
      <c r="T1958" s="27" t="n"/>
    </row>
    <row r="1959" ht="13.8" customFormat="1" customHeight="1" s="70">
      <c r="M1959" s="27" t="n"/>
      <c r="N1959" s="27" t="n"/>
      <c r="O1959" s="27" t="n"/>
      <c r="P1959" s="27" t="n"/>
      <c r="Q1959" s="27" t="n"/>
      <c r="R1959" s="27" t="n"/>
      <c r="S1959" s="27" t="n"/>
      <c r="T1959" s="27" t="n"/>
    </row>
    <row r="1960" ht="13.8" customFormat="1" customHeight="1" s="70">
      <c r="M1960" s="27" t="n"/>
      <c r="N1960" s="27" t="n"/>
      <c r="O1960" s="27" t="n"/>
      <c r="P1960" s="27" t="n"/>
      <c r="Q1960" s="27" t="n"/>
      <c r="R1960" s="27" t="n"/>
      <c r="S1960" s="27" t="n"/>
      <c r="T1960" s="27" t="n"/>
    </row>
    <row r="1961" ht="13.8" customFormat="1" customHeight="1" s="70">
      <c r="M1961" s="27" t="n"/>
      <c r="N1961" s="27" t="n"/>
      <c r="O1961" s="27" t="n"/>
      <c r="P1961" s="27" t="n"/>
      <c r="Q1961" s="27" t="n"/>
      <c r="R1961" s="27" t="n"/>
      <c r="S1961" s="27" t="n"/>
      <c r="T1961" s="27" t="n"/>
    </row>
    <row r="1962" ht="13.8" customFormat="1" customHeight="1" s="70">
      <c r="M1962" s="27" t="n"/>
      <c r="N1962" s="27" t="n"/>
      <c r="O1962" s="27" t="n"/>
      <c r="P1962" s="27" t="n"/>
      <c r="Q1962" s="27" t="n"/>
      <c r="R1962" s="27" t="n"/>
      <c r="S1962" s="27" t="n"/>
      <c r="T1962" s="27" t="n"/>
    </row>
    <row r="1963" ht="13.8" customFormat="1" customHeight="1" s="70">
      <c r="M1963" s="27" t="n"/>
      <c r="N1963" s="27" t="n"/>
      <c r="O1963" s="27" t="n"/>
      <c r="P1963" s="27" t="n"/>
      <c r="Q1963" s="27" t="n"/>
      <c r="R1963" s="27" t="n"/>
      <c r="S1963" s="27" t="n"/>
      <c r="T1963" s="27" t="n"/>
    </row>
    <row r="1964" ht="13.8" customFormat="1" customHeight="1" s="70">
      <c r="M1964" s="27" t="n"/>
      <c r="N1964" s="27" t="n"/>
      <c r="O1964" s="27" t="n"/>
      <c r="P1964" s="27" t="n"/>
      <c r="Q1964" s="27" t="n"/>
      <c r="R1964" s="27" t="n"/>
      <c r="S1964" s="27" t="n"/>
      <c r="T1964" s="27" t="n"/>
    </row>
    <row r="1965" ht="13.8" customFormat="1" customHeight="1" s="70">
      <c r="M1965" s="27" t="n"/>
      <c r="N1965" s="27" t="n"/>
      <c r="O1965" s="27" t="n"/>
      <c r="P1965" s="27" t="n"/>
      <c r="Q1965" s="27" t="n"/>
      <c r="R1965" s="27" t="n"/>
      <c r="S1965" s="27" t="n"/>
      <c r="T1965" s="27" t="n"/>
    </row>
    <row r="1966" ht="13.8" customFormat="1" customHeight="1" s="70">
      <c r="M1966" s="27" t="n"/>
      <c r="N1966" s="27" t="n"/>
      <c r="O1966" s="27" t="n"/>
      <c r="P1966" s="27" t="n"/>
      <c r="Q1966" s="27" t="n"/>
      <c r="R1966" s="27" t="n"/>
      <c r="S1966" s="27" t="n"/>
      <c r="T1966" s="27" t="n"/>
    </row>
    <row r="1967" ht="13.8" customFormat="1" customHeight="1" s="70">
      <c r="M1967" s="27" t="n"/>
      <c r="N1967" s="27" t="n"/>
      <c r="O1967" s="27" t="n"/>
      <c r="P1967" s="27" t="n"/>
      <c r="Q1967" s="27" t="n"/>
      <c r="R1967" s="27" t="n"/>
      <c r="S1967" s="27" t="n"/>
      <c r="T1967" s="27" t="n"/>
    </row>
    <row r="1968" ht="13.8" customFormat="1" customHeight="1" s="70">
      <c r="M1968" s="27" t="n"/>
      <c r="N1968" s="27" t="n"/>
      <c r="O1968" s="27" t="n"/>
      <c r="P1968" s="27" t="n"/>
      <c r="Q1968" s="27" t="n"/>
      <c r="R1968" s="27" t="n"/>
      <c r="S1968" s="27" t="n"/>
      <c r="T1968" s="27" t="n"/>
    </row>
    <row r="1969" ht="13.8" customFormat="1" customHeight="1" s="70">
      <c r="M1969" s="27" t="n"/>
      <c r="N1969" s="27" t="n"/>
      <c r="O1969" s="27" t="n"/>
      <c r="P1969" s="27" t="n"/>
      <c r="Q1969" s="27" t="n"/>
      <c r="R1969" s="27" t="n"/>
      <c r="S1969" s="27" t="n"/>
      <c r="T1969" s="27" t="n"/>
    </row>
    <row r="1970" ht="13.8" customFormat="1" customHeight="1" s="70">
      <c r="M1970" s="27" t="n"/>
      <c r="N1970" s="27" t="n"/>
      <c r="O1970" s="27" t="n"/>
      <c r="P1970" s="27" t="n"/>
      <c r="Q1970" s="27" t="n"/>
      <c r="R1970" s="27" t="n"/>
      <c r="S1970" s="27" t="n"/>
      <c r="T1970" s="27" t="n"/>
    </row>
    <row r="1971" ht="13.8" customFormat="1" customHeight="1" s="70">
      <c r="M1971" s="27" t="n"/>
      <c r="N1971" s="27" t="n"/>
      <c r="O1971" s="27" t="n"/>
      <c r="P1971" s="27" t="n"/>
      <c r="Q1971" s="27" t="n"/>
      <c r="R1971" s="27" t="n"/>
      <c r="S1971" s="27" t="n"/>
      <c r="T1971" s="27" t="n"/>
    </row>
    <row r="1972" ht="13.8" customFormat="1" customHeight="1" s="70">
      <c r="M1972" s="27" t="n"/>
      <c r="N1972" s="27" t="n"/>
      <c r="O1972" s="27" t="n"/>
      <c r="P1972" s="27" t="n"/>
      <c r="Q1972" s="27" t="n"/>
      <c r="R1972" s="27" t="n"/>
      <c r="S1972" s="27" t="n"/>
      <c r="T1972" s="27" t="n"/>
    </row>
    <row r="1973" ht="13.8" customFormat="1" customHeight="1" s="70">
      <c r="M1973" s="27" t="n"/>
      <c r="N1973" s="27" t="n"/>
      <c r="O1973" s="27" t="n"/>
      <c r="P1973" s="27" t="n"/>
      <c r="Q1973" s="27" t="n"/>
      <c r="R1973" s="27" t="n"/>
      <c r="S1973" s="27" t="n"/>
      <c r="T1973" s="27" t="n"/>
    </row>
    <row r="1974" ht="13.8" customFormat="1" customHeight="1" s="70">
      <c r="M1974" s="27" t="n"/>
      <c r="N1974" s="27" t="n"/>
      <c r="O1974" s="27" t="n"/>
      <c r="P1974" s="27" t="n"/>
      <c r="Q1974" s="27" t="n"/>
      <c r="R1974" s="27" t="n"/>
      <c r="S1974" s="27" t="n"/>
      <c r="T1974" s="27" t="n"/>
    </row>
    <row r="1975" ht="13.8" customFormat="1" customHeight="1" s="70">
      <c r="M1975" s="27" t="n"/>
      <c r="N1975" s="27" t="n"/>
      <c r="O1975" s="27" t="n"/>
      <c r="P1975" s="27" t="n"/>
      <c r="Q1975" s="27" t="n"/>
      <c r="R1975" s="27" t="n"/>
      <c r="S1975" s="27" t="n"/>
      <c r="T1975" s="27" t="n"/>
    </row>
    <row r="1976" ht="13.8" customFormat="1" customHeight="1" s="70">
      <c r="M1976" s="27" t="n"/>
      <c r="N1976" s="27" t="n"/>
      <c r="O1976" s="27" t="n"/>
      <c r="P1976" s="27" t="n"/>
      <c r="Q1976" s="27" t="n"/>
      <c r="R1976" s="27" t="n"/>
      <c r="S1976" s="27" t="n"/>
      <c r="T1976" s="27" t="n"/>
    </row>
    <row r="1977" ht="13.8" customFormat="1" customHeight="1" s="70">
      <c r="M1977" s="27" t="n"/>
      <c r="N1977" s="27" t="n"/>
      <c r="O1977" s="27" t="n"/>
      <c r="P1977" s="27" t="n"/>
      <c r="Q1977" s="27" t="n"/>
      <c r="R1977" s="27" t="n"/>
      <c r="S1977" s="27" t="n"/>
      <c r="T1977" s="27" t="n"/>
    </row>
    <row r="1978" ht="13.8" customFormat="1" customHeight="1" s="70">
      <c r="M1978" s="27" t="n"/>
      <c r="N1978" s="27" t="n"/>
      <c r="O1978" s="27" t="n"/>
      <c r="P1978" s="27" t="n"/>
      <c r="Q1978" s="27" t="n"/>
      <c r="R1978" s="27" t="n"/>
      <c r="S1978" s="27" t="n"/>
      <c r="T1978" s="27" t="n"/>
    </row>
    <row r="1979" ht="13.8" customFormat="1" customHeight="1" s="70">
      <c r="M1979" s="27" t="n"/>
      <c r="N1979" s="27" t="n"/>
      <c r="O1979" s="27" t="n"/>
      <c r="P1979" s="27" t="n"/>
      <c r="Q1979" s="27" t="n"/>
      <c r="R1979" s="27" t="n"/>
      <c r="S1979" s="27" t="n"/>
      <c r="T1979" s="27" t="n"/>
    </row>
    <row r="1980" ht="13.8" customFormat="1" customHeight="1" s="70">
      <c r="M1980" s="27" t="n"/>
      <c r="N1980" s="27" t="n"/>
      <c r="O1980" s="27" t="n"/>
      <c r="P1980" s="27" t="n"/>
      <c r="Q1980" s="27" t="n"/>
      <c r="R1980" s="27" t="n"/>
      <c r="S1980" s="27" t="n"/>
      <c r="T1980" s="27" t="n"/>
    </row>
    <row r="1981" ht="13.8" customFormat="1" customHeight="1" s="70">
      <c r="M1981" s="27" t="n"/>
      <c r="N1981" s="27" t="n"/>
      <c r="O1981" s="27" t="n"/>
      <c r="P1981" s="27" t="n"/>
      <c r="Q1981" s="27" t="n"/>
      <c r="R1981" s="27" t="n"/>
      <c r="S1981" s="27" t="n"/>
      <c r="T1981" s="27" t="n"/>
    </row>
    <row r="1982" ht="13.8" customFormat="1" customHeight="1" s="70">
      <c r="M1982" s="27" t="n"/>
      <c r="N1982" s="27" t="n"/>
      <c r="O1982" s="27" t="n"/>
      <c r="P1982" s="27" t="n"/>
      <c r="Q1982" s="27" t="n"/>
      <c r="R1982" s="27" t="n"/>
      <c r="S1982" s="27" t="n"/>
      <c r="T1982" s="27" t="n"/>
    </row>
    <row r="1983" ht="13.8" customFormat="1" customHeight="1" s="70">
      <c r="M1983" s="27" t="n"/>
      <c r="N1983" s="27" t="n"/>
      <c r="O1983" s="27" t="n"/>
      <c r="P1983" s="27" t="n"/>
      <c r="Q1983" s="27" t="n"/>
      <c r="R1983" s="27" t="n"/>
      <c r="S1983" s="27" t="n"/>
      <c r="T1983" s="27" t="n"/>
    </row>
    <row r="1984" ht="13.8" customFormat="1" customHeight="1" s="70">
      <c r="M1984" s="27" t="n"/>
      <c r="N1984" s="27" t="n"/>
      <c r="O1984" s="27" t="n"/>
      <c r="P1984" s="27" t="n"/>
      <c r="Q1984" s="27" t="n"/>
      <c r="R1984" s="27" t="n"/>
      <c r="S1984" s="27" t="n"/>
      <c r="T1984" s="27" t="n"/>
    </row>
    <row r="1985" ht="13.8" customFormat="1" customHeight="1" s="70">
      <c r="M1985" s="27" t="n"/>
      <c r="N1985" s="27" t="n"/>
      <c r="O1985" s="27" t="n"/>
      <c r="P1985" s="27" t="n"/>
      <c r="Q1985" s="27" t="n"/>
      <c r="R1985" s="27" t="n"/>
      <c r="S1985" s="27" t="n"/>
      <c r="T1985" s="27" t="n"/>
    </row>
    <row r="1986" ht="13.8" customFormat="1" customHeight="1" s="70">
      <c r="M1986" s="27" t="n"/>
      <c r="N1986" s="27" t="n"/>
      <c r="O1986" s="27" t="n"/>
      <c r="P1986" s="27" t="n"/>
      <c r="Q1986" s="27" t="n"/>
      <c r="R1986" s="27" t="n"/>
      <c r="S1986" s="27" t="n"/>
      <c r="T1986" s="27" t="n"/>
    </row>
    <row r="1987" ht="13.8" customFormat="1" customHeight="1" s="70">
      <c r="M1987" s="27" t="n"/>
      <c r="N1987" s="27" t="n"/>
      <c r="O1987" s="27" t="n"/>
      <c r="P1987" s="27" t="n"/>
      <c r="Q1987" s="27" t="n"/>
      <c r="R1987" s="27" t="n"/>
      <c r="S1987" s="27" t="n"/>
      <c r="T1987" s="27" t="n"/>
    </row>
    <row r="1988" ht="13.8" customFormat="1" customHeight="1" s="70">
      <c r="M1988" s="27" t="n"/>
      <c r="N1988" s="27" t="n"/>
      <c r="O1988" s="27" t="n"/>
      <c r="P1988" s="27" t="n"/>
      <c r="Q1988" s="27" t="n"/>
      <c r="R1988" s="27" t="n"/>
      <c r="S1988" s="27" t="n"/>
      <c r="T1988" s="27" t="n"/>
    </row>
    <row r="1989" ht="13.8" customFormat="1" customHeight="1" s="70">
      <c r="M1989" s="27" t="n"/>
      <c r="N1989" s="27" t="n"/>
      <c r="O1989" s="27" t="n"/>
      <c r="P1989" s="27" t="n"/>
      <c r="Q1989" s="27" t="n"/>
      <c r="R1989" s="27" t="n"/>
      <c r="S1989" s="27" t="n"/>
      <c r="T1989" s="27" t="n"/>
    </row>
    <row r="1990" ht="13.8" customFormat="1" customHeight="1" s="70">
      <c r="M1990" s="27" t="n"/>
      <c r="N1990" s="27" t="n"/>
      <c r="O1990" s="27" t="n"/>
      <c r="P1990" s="27" t="n"/>
      <c r="Q1990" s="27" t="n"/>
      <c r="R1990" s="27" t="n"/>
      <c r="S1990" s="27" t="n"/>
      <c r="T1990" s="27" t="n"/>
    </row>
    <row r="1991" ht="13.8" customFormat="1" customHeight="1" s="70">
      <c r="M1991" s="27" t="n"/>
      <c r="N1991" s="27" t="n"/>
      <c r="O1991" s="27" t="n"/>
      <c r="P1991" s="27" t="n"/>
      <c r="Q1991" s="27" t="n"/>
      <c r="R1991" s="27" t="n"/>
      <c r="S1991" s="27" t="n"/>
      <c r="T1991" s="27" t="n"/>
    </row>
    <row r="1992" ht="13.8" customFormat="1" customHeight="1" s="70">
      <c r="M1992" s="27" t="n"/>
      <c r="N1992" s="27" t="n"/>
      <c r="O1992" s="27" t="n"/>
      <c r="P1992" s="27" t="n"/>
      <c r="Q1992" s="27" t="n"/>
      <c r="R1992" s="27" t="n"/>
      <c r="S1992" s="27" t="n"/>
      <c r="T1992" s="27" t="n"/>
    </row>
    <row r="1993" ht="13.8" customFormat="1" customHeight="1" s="70">
      <c r="M1993" s="27" t="n"/>
      <c r="N1993" s="27" t="n"/>
      <c r="O1993" s="27" t="n"/>
      <c r="P1993" s="27" t="n"/>
      <c r="Q1993" s="27" t="n"/>
      <c r="R1993" s="27" t="n"/>
      <c r="S1993" s="27" t="n"/>
      <c r="T1993" s="27" t="n"/>
    </row>
    <row r="1994" ht="13.8" customFormat="1" customHeight="1" s="70">
      <c r="M1994" s="27" t="n"/>
      <c r="N1994" s="27" t="n"/>
      <c r="O1994" s="27" t="n"/>
      <c r="P1994" s="27" t="n"/>
      <c r="Q1994" s="27" t="n"/>
      <c r="R1994" s="27" t="n"/>
      <c r="S1994" s="27" t="n"/>
      <c r="T1994" s="27" t="n"/>
    </row>
    <row r="1995" ht="13.8" customFormat="1" customHeight="1" s="70">
      <c r="M1995" s="27" t="n"/>
      <c r="N1995" s="27" t="n"/>
      <c r="O1995" s="27" t="n"/>
      <c r="P1995" s="27" t="n"/>
      <c r="Q1995" s="27" t="n"/>
      <c r="R1995" s="27" t="n"/>
      <c r="S1995" s="27" t="n"/>
      <c r="T1995" s="27" t="n"/>
    </row>
    <row r="1996" ht="13.8" customFormat="1" customHeight="1" s="70">
      <c r="M1996" s="27" t="n"/>
      <c r="N1996" s="27" t="n"/>
      <c r="O1996" s="27" t="n"/>
      <c r="P1996" s="27" t="n"/>
      <c r="Q1996" s="27" t="n"/>
      <c r="R1996" s="27" t="n"/>
      <c r="S1996" s="27" t="n"/>
      <c r="T1996" s="27" t="n"/>
    </row>
    <row r="1997" ht="13.8" customFormat="1" customHeight="1" s="70">
      <c r="M1997" s="27" t="n"/>
      <c r="N1997" s="27" t="n"/>
      <c r="O1997" s="27" t="n"/>
      <c r="P1997" s="27" t="n"/>
      <c r="Q1997" s="27" t="n"/>
      <c r="R1997" s="27" t="n"/>
      <c r="S1997" s="27" t="n"/>
      <c r="T1997" s="27" t="n"/>
    </row>
    <row r="1998" ht="13.8" customFormat="1" customHeight="1" s="70">
      <c r="M1998" s="27" t="n"/>
      <c r="N1998" s="27" t="n"/>
      <c r="O1998" s="27" t="n"/>
      <c r="P1998" s="27" t="n"/>
      <c r="Q1998" s="27" t="n"/>
      <c r="R1998" s="27" t="n"/>
      <c r="S1998" s="27" t="n"/>
      <c r="T1998" s="27" t="n"/>
    </row>
    <row r="1999" ht="13.8" customFormat="1" customHeight="1" s="70">
      <c r="M1999" s="27" t="n"/>
      <c r="N1999" s="27" t="n"/>
      <c r="O1999" s="27" t="n"/>
      <c r="P1999" s="27" t="n"/>
      <c r="Q1999" s="27" t="n"/>
      <c r="R1999" s="27" t="n"/>
      <c r="S1999" s="27" t="n"/>
      <c r="T1999" s="27" t="n"/>
    </row>
    <row r="2000" ht="13.8" customFormat="1" customHeight="1" s="70">
      <c r="M2000" s="27" t="n"/>
      <c r="N2000" s="27" t="n"/>
      <c r="O2000" s="27" t="n"/>
      <c r="P2000" s="27" t="n"/>
      <c r="Q2000" s="27" t="n"/>
      <c r="R2000" s="27" t="n"/>
      <c r="S2000" s="27" t="n"/>
      <c r="T2000" s="27" t="n"/>
    </row>
    <row r="2001" ht="13.8" customFormat="1" customHeight="1" s="70">
      <c r="M2001" s="27" t="n"/>
      <c r="N2001" s="27" t="n"/>
      <c r="O2001" s="27" t="n"/>
      <c r="P2001" s="27" t="n"/>
      <c r="Q2001" s="27" t="n"/>
      <c r="R2001" s="27" t="n"/>
      <c r="S2001" s="27" t="n"/>
      <c r="T2001" s="27" t="n"/>
    </row>
    <row r="2002" ht="13.8" customFormat="1" customHeight="1" s="70">
      <c r="M2002" s="27" t="n"/>
      <c r="N2002" s="27" t="n"/>
      <c r="O2002" s="27" t="n"/>
      <c r="P2002" s="27" t="n"/>
      <c r="Q2002" s="27" t="n"/>
      <c r="R2002" s="27" t="n"/>
      <c r="S2002" s="27" t="n"/>
      <c r="T2002" s="27" t="n"/>
    </row>
    <row r="2003" ht="13.8" customFormat="1" customHeight="1" s="70">
      <c r="M2003" s="27" t="n"/>
      <c r="N2003" s="27" t="n"/>
      <c r="O2003" s="27" t="n"/>
      <c r="P2003" s="27" t="n"/>
      <c r="Q2003" s="27" t="n"/>
      <c r="R2003" s="27" t="n"/>
      <c r="S2003" s="27" t="n"/>
      <c r="T2003" s="27" t="n"/>
    </row>
    <row r="2004" ht="13.8" customFormat="1" customHeight="1" s="70">
      <c r="M2004" s="27" t="n"/>
      <c r="N2004" s="27" t="n"/>
      <c r="O2004" s="27" t="n"/>
      <c r="P2004" s="27" t="n"/>
      <c r="Q2004" s="27" t="n"/>
      <c r="R2004" s="27" t="n"/>
      <c r="S2004" s="27" t="n"/>
      <c r="T2004" s="27" t="n"/>
    </row>
    <row r="2005" ht="13.8" customFormat="1" customHeight="1" s="70">
      <c r="M2005" s="27" t="n"/>
      <c r="N2005" s="27" t="n"/>
      <c r="O2005" s="27" t="n"/>
      <c r="P2005" s="27" t="n"/>
      <c r="Q2005" s="27" t="n"/>
      <c r="R2005" s="27" t="n"/>
      <c r="S2005" s="27" t="n"/>
      <c r="T2005" s="27" t="n"/>
    </row>
    <row r="2006" ht="13.8" customFormat="1" customHeight="1" s="70">
      <c r="M2006" s="27" t="n"/>
      <c r="N2006" s="27" t="n"/>
      <c r="O2006" s="27" t="n"/>
      <c r="P2006" s="27" t="n"/>
      <c r="Q2006" s="27" t="n"/>
      <c r="R2006" s="27" t="n"/>
      <c r="S2006" s="27" t="n"/>
      <c r="T2006" s="27" t="n"/>
    </row>
    <row r="2007" ht="13.8" customFormat="1" customHeight="1" s="70">
      <c r="M2007" s="27" t="n"/>
      <c r="N2007" s="27" t="n"/>
      <c r="O2007" s="27" t="n"/>
      <c r="P2007" s="27" t="n"/>
      <c r="Q2007" s="27" t="n"/>
      <c r="R2007" s="27" t="n"/>
      <c r="S2007" s="27" t="n"/>
      <c r="T2007" s="27" t="n"/>
    </row>
    <row r="2008" ht="13.8" customFormat="1" customHeight="1" s="70">
      <c r="M2008" s="27" t="n"/>
      <c r="N2008" s="27" t="n"/>
      <c r="O2008" s="27" t="n"/>
      <c r="P2008" s="27" t="n"/>
      <c r="Q2008" s="27" t="n"/>
      <c r="R2008" s="27" t="n"/>
      <c r="S2008" s="27" t="n"/>
      <c r="T2008" s="27" t="n"/>
    </row>
    <row r="2009" ht="13.8" customFormat="1" customHeight="1" s="70">
      <c r="M2009" s="27" t="n"/>
      <c r="N2009" s="27" t="n"/>
      <c r="O2009" s="27" t="n"/>
      <c r="P2009" s="27" t="n"/>
      <c r="Q2009" s="27" t="n"/>
      <c r="R2009" s="27" t="n"/>
      <c r="S2009" s="27" t="n"/>
      <c r="T2009" s="27" t="n"/>
    </row>
    <row r="2010" ht="13.8" customFormat="1" customHeight="1" s="70">
      <c r="M2010" s="27" t="n"/>
      <c r="N2010" s="27" t="n"/>
      <c r="O2010" s="27" t="n"/>
      <c r="P2010" s="27" t="n"/>
      <c r="Q2010" s="27" t="n"/>
      <c r="R2010" s="27" t="n"/>
      <c r="S2010" s="27" t="n"/>
      <c r="T2010" s="27" t="n"/>
    </row>
    <row r="2011" ht="13.8" customFormat="1" customHeight="1" s="70">
      <c r="M2011" s="27" t="n"/>
      <c r="N2011" s="27" t="n"/>
      <c r="O2011" s="27" t="n"/>
      <c r="P2011" s="27" t="n"/>
      <c r="Q2011" s="27" t="n"/>
      <c r="R2011" s="27" t="n"/>
      <c r="S2011" s="27" t="n"/>
      <c r="T2011" s="27" t="n"/>
    </row>
    <row r="2012" ht="13.8" customFormat="1" customHeight="1" s="70">
      <c r="M2012" s="27" t="n"/>
      <c r="N2012" s="27" t="n"/>
      <c r="O2012" s="27" t="n"/>
      <c r="P2012" s="27" t="n"/>
      <c r="Q2012" s="27" t="n"/>
      <c r="R2012" s="27" t="n"/>
      <c r="S2012" s="27" t="n"/>
      <c r="T2012" s="27" t="n"/>
    </row>
    <row r="2013" ht="13.8" customFormat="1" customHeight="1" s="70">
      <c r="M2013" s="27" t="n"/>
      <c r="N2013" s="27" t="n"/>
      <c r="O2013" s="27" t="n"/>
      <c r="P2013" s="27" t="n"/>
      <c r="Q2013" s="27" t="n"/>
      <c r="R2013" s="27" t="n"/>
      <c r="S2013" s="27" t="n"/>
      <c r="T2013" s="27" t="n"/>
    </row>
    <row r="2014" ht="13.8" customFormat="1" customHeight="1" s="70">
      <c r="M2014" s="27" t="n"/>
      <c r="N2014" s="27" t="n"/>
      <c r="O2014" s="27" t="n"/>
      <c r="P2014" s="27" t="n"/>
      <c r="Q2014" s="27" t="n"/>
      <c r="R2014" s="27" t="n"/>
      <c r="S2014" s="27" t="n"/>
      <c r="T2014" s="27" t="n"/>
    </row>
    <row r="2015" ht="13.8" customFormat="1" customHeight="1" s="70">
      <c r="M2015" s="27" t="n"/>
      <c r="N2015" s="27" t="n"/>
      <c r="O2015" s="27" t="n"/>
      <c r="P2015" s="27" t="n"/>
      <c r="Q2015" s="27" t="n"/>
      <c r="R2015" s="27" t="n"/>
      <c r="S2015" s="27" t="n"/>
      <c r="T2015" s="27" t="n"/>
    </row>
    <row r="2016" ht="13.8" customFormat="1" customHeight="1" s="70">
      <c r="M2016" s="27" t="n"/>
      <c r="N2016" s="27" t="n"/>
      <c r="O2016" s="27" t="n"/>
      <c r="P2016" s="27" t="n"/>
      <c r="Q2016" s="27" t="n"/>
      <c r="R2016" s="27" t="n"/>
      <c r="S2016" s="27" t="n"/>
      <c r="T2016" s="27" t="n"/>
    </row>
    <row r="2017" ht="13.8" customFormat="1" customHeight="1" s="70">
      <c r="M2017" s="27" t="n"/>
      <c r="N2017" s="27" t="n"/>
      <c r="O2017" s="27" t="n"/>
      <c r="P2017" s="27" t="n"/>
      <c r="Q2017" s="27" t="n"/>
      <c r="R2017" s="27" t="n"/>
      <c r="S2017" s="27" t="n"/>
      <c r="T2017" s="27" t="n"/>
    </row>
    <row r="2018" ht="13.8" customFormat="1" customHeight="1" s="70">
      <c r="M2018" s="27" t="n"/>
      <c r="N2018" s="27" t="n"/>
      <c r="O2018" s="27" t="n"/>
      <c r="P2018" s="27" t="n"/>
      <c r="Q2018" s="27" t="n"/>
      <c r="R2018" s="27" t="n"/>
      <c r="S2018" s="27" t="n"/>
      <c r="T2018" s="27" t="n"/>
    </row>
    <row r="2019" ht="13.8" customFormat="1" customHeight="1" s="70">
      <c r="M2019" s="27" t="n"/>
      <c r="N2019" s="27" t="n"/>
      <c r="O2019" s="27" t="n"/>
      <c r="P2019" s="27" t="n"/>
      <c r="Q2019" s="27" t="n"/>
      <c r="R2019" s="27" t="n"/>
      <c r="S2019" s="27" t="n"/>
      <c r="T2019" s="27" t="n"/>
    </row>
    <row r="2020" ht="13.8" customFormat="1" customHeight="1" s="70">
      <c r="M2020" s="27" t="n"/>
      <c r="N2020" s="27" t="n"/>
      <c r="O2020" s="27" t="n"/>
      <c r="P2020" s="27" t="n"/>
      <c r="Q2020" s="27" t="n"/>
      <c r="R2020" s="27" t="n"/>
      <c r="S2020" s="27" t="n"/>
      <c r="T2020" s="27" t="n"/>
    </row>
    <row r="2021" ht="13.8" customFormat="1" customHeight="1" s="70">
      <c r="M2021" s="27" t="n"/>
      <c r="N2021" s="27" t="n"/>
      <c r="O2021" s="27" t="n"/>
      <c r="P2021" s="27" t="n"/>
      <c r="Q2021" s="27" t="n"/>
      <c r="R2021" s="27" t="n"/>
      <c r="S2021" s="27" t="n"/>
      <c r="T2021" s="27" t="n"/>
    </row>
    <row r="2022" ht="13.8" customFormat="1" customHeight="1" s="70">
      <c r="M2022" s="27" t="n"/>
      <c r="N2022" s="27" t="n"/>
      <c r="O2022" s="27" t="n"/>
      <c r="P2022" s="27" t="n"/>
      <c r="Q2022" s="27" t="n"/>
      <c r="R2022" s="27" t="n"/>
      <c r="S2022" s="27" t="n"/>
      <c r="T2022" s="27" t="n"/>
    </row>
    <row r="2023" ht="13.8" customFormat="1" customHeight="1" s="70">
      <c r="M2023" s="27" t="n"/>
      <c r="N2023" s="27" t="n"/>
      <c r="O2023" s="27" t="n"/>
      <c r="P2023" s="27" t="n"/>
      <c r="Q2023" s="27" t="n"/>
      <c r="R2023" s="27" t="n"/>
      <c r="S2023" s="27" t="n"/>
      <c r="T2023" s="27" t="n"/>
    </row>
    <row r="2024" ht="13.8" customFormat="1" customHeight="1" s="70">
      <c r="M2024" s="27" t="n"/>
      <c r="N2024" s="27" t="n"/>
      <c r="O2024" s="27" t="n"/>
      <c r="P2024" s="27" t="n"/>
      <c r="Q2024" s="27" t="n"/>
      <c r="R2024" s="27" t="n"/>
      <c r="S2024" s="27" t="n"/>
      <c r="T2024" s="27" t="n"/>
    </row>
    <row r="2025" ht="13.8" customFormat="1" customHeight="1" s="70">
      <c r="M2025" s="27" t="n"/>
      <c r="N2025" s="27" t="n"/>
      <c r="O2025" s="27" t="n"/>
      <c r="P2025" s="27" t="n"/>
      <c r="Q2025" s="27" t="n"/>
      <c r="R2025" s="27" t="n"/>
      <c r="S2025" s="27" t="n"/>
      <c r="T2025" s="27" t="n"/>
    </row>
    <row r="2026" ht="13.8" customFormat="1" customHeight="1" s="70">
      <c r="M2026" s="27" t="n"/>
      <c r="N2026" s="27" t="n"/>
      <c r="O2026" s="27" t="n"/>
      <c r="P2026" s="27" t="n"/>
      <c r="Q2026" s="27" t="n"/>
      <c r="R2026" s="27" t="n"/>
      <c r="S2026" s="27" t="n"/>
      <c r="T2026" s="27" t="n"/>
    </row>
    <row r="2027" ht="13.8" customFormat="1" customHeight="1" s="70">
      <c r="M2027" s="27" t="n"/>
      <c r="N2027" s="27" t="n"/>
      <c r="O2027" s="27" t="n"/>
      <c r="P2027" s="27" t="n"/>
      <c r="Q2027" s="27" t="n"/>
      <c r="R2027" s="27" t="n"/>
      <c r="S2027" s="27" t="n"/>
      <c r="T2027" s="27" t="n"/>
    </row>
    <row r="2028" ht="13.8" customFormat="1" customHeight="1" s="70">
      <c r="M2028" s="27" t="n"/>
      <c r="N2028" s="27" t="n"/>
      <c r="O2028" s="27" t="n"/>
      <c r="P2028" s="27" t="n"/>
      <c r="Q2028" s="27" t="n"/>
      <c r="R2028" s="27" t="n"/>
      <c r="S2028" s="27" t="n"/>
      <c r="T2028" s="27" t="n"/>
    </row>
    <row r="2029" ht="13.8" customFormat="1" customHeight="1" s="70">
      <c r="M2029" s="27" t="n"/>
      <c r="N2029" s="27" t="n"/>
      <c r="O2029" s="27" t="n"/>
      <c r="P2029" s="27" t="n"/>
      <c r="Q2029" s="27" t="n"/>
      <c r="R2029" s="27" t="n"/>
      <c r="S2029" s="27" t="n"/>
      <c r="T2029" s="27" t="n"/>
    </row>
    <row r="2030" ht="13.8" customFormat="1" customHeight="1" s="70">
      <c r="M2030" s="27" t="n"/>
      <c r="N2030" s="27" t="n"/>
      <c r="O2030" s="27" t="n"/>
      <c r="P2030" s="27" t="n"/>
      <c r="Q2030" s="27" t="n"/>
      <c r="R2030" s="27" t="n"/>
      <c r="S2030" s="27" t="n"/>
      <c r="T2030" s="27" t="n"/>
    </row>
    <row r="2031" ht="13.8" customFormat="1" customHeight="1" s="70">
      <c r="M2031" s="27" t="n"/>
      <c r="N2031" s="27" t="n"/>
      <c r="O2031" s="27" t="n"/>
      <c r="P2031" s="27" t="n"/>
      <c r="Q2031" s="27" t="n"/>
      <c r="R2031" s="27" t="n"/>
      <c r="S2031" s="27" t="n"/>
      <c r="T2031" s="27" t="n"/>
    </row>
    <row r="2032" ht="13.8" customFormat="1" customHeight="1" s="70">
      <c r="M2032" s="27" t="n"/>
      <c r="N2032" s="27" t="n"/>
      <c r="O2032" s="27" t="n"/>
      <c r="P2032" s="27" t="n"/>
      <c r="Q2032" s="27" t="n"/>
      <c r="R2032" s="27" t="n"/>
      <c r="S2032" s="27" t="n"/>
      <c r="T2032" s="27" t="n"/>
    </row>
    <row r="2033" ht="13.8" customFormat="1" customHeight="1" s="70">
      <c r="M2033" s="27" t="n"/>
      <c r="N2033" s="27" t="n"/>
      <c r="O2033" s="27" t="n"/>
      <c r="P2033" s="27" t="n"/>
      <c r="Q2033" s="27" t="n"/>
      <c r="R2033" s="27" t="n"/>
      <c r="S2033" s="27" t="n"/>
      <c r="T2033" s="27" t="n"/>
    </row>
    <row r="2034" ht="13.8" customFormat="1" customHeight="1" s="70">
      <c r="M2034" s="27" t="n"/>
      <c r="N2034" s="27" t="n"/>
      <c r="O2034" s="27" t="n"/>
      <c r="P2034" s="27" t="n"/>
      <c r="Q2034" s="27" t="n"/>
      <c r="R2034" s="27" t="n"/>
      <c r="S2034" s="27" t="n"/>
      <c r="T2034" s="27" t="n"/>
    </row>
    <row r="2035" ht="13.8" customFormat="1" customHeight="1" s="70">
      <c r="M2035" s="27" t="n"/>
      <c r="N2035" s="27" t="n"/>
      <c r="O2035" s="27" t="n"/>
      <c r="P2035" s="27" t="n"/>
      <c r="Q2035" s="27" t="n"/>
      <c r="R2035" s="27" t="n"/>
      <c r="S2035" s="27" t="n"/>
      <c r="T2035" s="27" t="n"/>
    </row>
    <row r="2036" ht="13.8" customFormat="1" customHeight="1" s="70">
      <c r="M2036" s="27" t="n"/>
      <c r="N2036" s="27" t="n"/>
      <c r="O2036" s="27" t="n"/>
      <c r="P2036" s="27" t="n"/>
      <c r="Q2036" s="27" t="n"/>
      <c r="R2036" s="27" t="n"/>
      <c r="S2036" s="27" t="n"/>
      <c r="T2036" s="27" t="n"/>
    </row>
    <row r="2037" ht="13.8" customFormat="1" customHeight="1" s="70">
      <c r="M2037" s="27" t="n"/>
      <c r="N2037" s="27" t="n"/>
      <c r="O2037" s="27" t="n"/>
      <c r="P2037" s="27" t="n"/>
      <c r="Q2037" s="27" t="n"/>
      <c r="R2037" s="27" t="n"/>
      <c r="S2037" s="27" t="n"/>
      <c r="T2037" s="27" t="n"/>
    </row>
    <row r="2038" ht="13.8" customFormat="1" customHeight="1" s="70">
      <c r="M2038" s="27" t="n"/>
      <c r="N2038" s="27" t="n"/>
      <c r="O2038" s="27" t="n"/>
      <c r="P2038" s="27" t="n"/>
      <c r="Q2038" s="27" t="n"/>
      <c r="R2038" s="27" t="n"/>
      <c r="S2038" s="27" t="n"/>
      <c r="T2038" s="27" t="n"/>
    </row>
    <row r="2039" ht="13.8" customFormat="1" customHeight="1" s="70">
      <c r="M2039" s="27" t="n"/>
      <c r="N2039" s="27" t="n"/>
      <c r="O2039" s="27" t="n"/>
      <c r="P2039" s="27" t="n"/>
      <c r="Q2039" s="27" t="n"/>
      <c r="R2039" s="27" t="n"/>
      <c r="S2039" s="27" t="n"/>
      <c r="T2039" s="27" t="n"/>
    </row>
    <row r="2040" ht="13.8" customFormat="1" customHeight="1" s="70">
      <c r="M2040" s="27" t="n"/>
      <c r="N2040" s="27" t="n"/>
      <c r="O2040" s="27" t="n"/>
      <c r="P2040" s="27" t="n"/>
      <c r="Q2040" s="27" t="n"/>
      <c r="R2040" s="27" t="n"/>
      <c r="S2040" s="27" t="n"/>
      <c r="T2040" s="27" t="n"/>
    </row>
    <row r="2041" ht="13.8" customFormat="1" customHeight="1" s="70">
      <c r="M2041" s="27" t="n"/>
      <c r="N2041" s="27" t="n"/>
      <c r="O2041" s="27" t="n"/>
      <c r="P2041" s="27" t="n"/>
      <c r="Q2041" s="27" t="n"/>
      <c r="R2041" s="27" t="n"/>
      <c r="S2041" s="27" t="n"/>
      <c r="T2041" s="27" t="n"/>
    </row>
    <row r="2042" ht="13.8" customFormat="1" customHeight="1" s="70">
      <c r="M2042" s="27" t="n"/>
      <c r="N2042" s="27" t="n"/>
      <c r="O2042" s="27" t="n"/>
      <c r="P2042" s="27" t="n"/>
      <c r="Q2042" s="27" t="n"/>
      <c r="R2042" s="27" t="n"/>
      <c r="S2042" s="27" t="n"/>
      <c r="T2042" s="27" t="n"/>
    </row>
    <row r="2043" ht="13.8" customFormat="1" customHeight="1" s="70">
      <c r="M2043" s="27" t="n"/>
      <c r="N2043" s="27" t="n"/>
      <c r="O2043" s="27" t="n"/>
      <c r="P2043" s="27" t="n"/>
      <c r="Q2043" s="27" t="n"/>
      <c r="R2043" s="27" t="n"/>
      <c r="S2043" s="27" t="n"/>
      <c r="T2043" s="27" t="n"/>
    </row>
    <row r="2044" ht="13.8" customFormat="1" customHeight="1" s="70">
      <c r="M2044" s="27" t="n"/>
      <c r="N2044" s="27" t="n"/>
      <c r="O2044" s="27" t="n"/>
      <c r="P2044" s="27" t="n"/>
      <c r="Q2044" s="27" t="n"/>
      <c r="R2044" s="27" t="n"/>
      <c r="S2044" s="27" t="n"/>
      <c r="T2044" s="27" t="n"/>
    </row>
    <row r="2045" ht="13.8" customFormat="1" customHeight="1" s="70">
      <c r="M2045" s="27" t="n"/>
      <c r="N2045" s="27" t="n"/>
      <c r="O2045" s="27" t="n"/>
      <c r="P2045" s="27" t="n"/>
      <c r="Q2045" s="27" t="n"/>
      <c r="R2045" s="27" t="n"/>
      <c r="S2045" s="27" t="n"/>
      <c r="T2045" s="27" t="n"/>
    </row>
    <row r="2046" ht="13.8" customFormat="1" customHeight="1" s="70">
      <c r="M2046" s="27" t="n"/>
      <c r="N2046" s="27" t="n"/>
      <c r="O2046" s="27" t="n"/>
      <c r="P2046" s="27" t="n"/>
      <c r="Q2046" s="27" t="n"/>
      <c r="R2046" s="27" t="n"/>
      <c r="S2046" s="27" t="n"/>
      <c r="T2046" s="27" t="n"/>
    </row>
    <row r="2047" ht="13.8" customFormat="1" customHeight="1" s="70">
      <c r="M2047" s="27" t="n"/>
      <c r="N2047" s="27" t="n"/>
      <c r="O2047" s="27" t="n"/>
      <c r="P2047" s="27" t="n"/>
      <c r="Q2047" s="27" t="n"/>
      <c r="R2047" s="27" t="n"/>
      <c r="S2047" s="27" t="n"/>
      <c r="T2047" s="27" t="n"/>
    </row>
    <row r="2048" ht="13.8" customFormat="1" customHeight="1" s="70">
      <c r="M2048" s="27" t="n"/>
      <c r="N2048" s="27" t="n"/>
      <c r="O2048" s="27" t="n"/>
      <c r="P2048" s="27" t="n"/>
      <c r="Q2048" s="27" t="n"/>
      <c r="R2048" s="27" t="n"/>
      <c r="S2048" s="27" t="n"/>
      <c r="T2048" s="27" t="n"/>
    </row>
    <row r="2049" ht="13.8" customFormat="1" customHeight="1" s="70">
      <c r="M2049" s="27" t="n"/>
      <c r="N2049" s="27" t="n"/>
      <c r="O2049" s="27" t="n"/>
      <c r="P2049" s="27" t="n"/>
      <c r="Q2049" s="27" t="n"/>
      <c r="R2049" s="27" t="n"/>
      <c r="S2049" s="27" t="n"/>
      <c r="T2049" s="27" t="n"/>
    </row>
    <row r="2050" ht="13.8" customFormat="1" customHeight="1" s="70">
      <c r="M2050" s="27" t="n"/>
      <c r="N2050" s="27" t="n"/>
      <c r="O2050" s="27" t="n"/>
      <c r="P2050" s="27" t="n"/>
      <c r="Q2050" s="27" t="n"/>
      <c r="R2050" s="27" t="n"/>
      <c r="S2050" s="27" t="n"/>
      <c r="T2050" s="27" t="n"/>
    </row>
    <row r="2051" ht="13.8" customFormat="1" customHeight="1" s="70">
      <c r="M2051" s="27" t="n"/>
      <c r="N2051" s="27" t="n"/>
      <c r="O2051" s="27" t="n"/>
      <c r="P2051" s="27" t="n"/>
      <c r="Q2051" s="27" t="n"/>
      <c r="R2051" s="27" t="n"/>
      <c r="S2051" s="27" t="n"/>
      <c r="T2051" s="27" t="n"/>
    </row>
    <row r="2052" ht="13.8" customFormat="1" customHeight="1" s="70">
      <c r="M2052" s="27" t="n"/>
      <c r="N2052" s="27" t="n"/>
      <c r="O2052" s="27" t="n"/>
      <c r="P2052" s="27" t="n"/>
      <c r="Q2052" s="27" t="n"/>
      <c r="R2052" s="27" t="n"/>
      <c r="S2052" s="27" t="n"/>
      <c r="T2052" s="27" t="n"/>
    </row>
    <row r="2053" ht="13.8" customFormat="1" customHeight="1" s="70">
      <c r="M2053" s="27" t="n"/>
      <c r="N2053" s="27" t="n"/>
      <c r="O2053" s="27" t="n"/>
      <c r="P2053" s="27" t="n"/>
      <c r="Q2053" s="27" t="n"/>
      <c r="R2053" s="27" t="n"/>
      <c r="S2053" s="27" t="n"/>
      <c r="T2053" s="27" t="n"/>
    </row>
    <row r="2054" ht="13.8" customFormat="1" customHeight="1" s="70">
      <c r="M2054" s="27" t="n"/>
      <c r="N2054" s="27" t="n"/>
      <c r="O2054" s="27" t="n"/>
      <c r="P2054" s="27" t="n"/>
      <c r="Q2054" s="27" t="n"/>
      <c r="R2054" s="27" t="n"/>
      <c r="S2054" s="27" t="n"/>
      <c r="T2054" s="27" t="n"/>
    </row>
    <row r="2055" ht="13.8" customFormat="1" customHeight="1" s="70">
      <c r="M2055" s="27" t="n"/>
      <c r="N2055" s="27" t="n"/>
      <c r="O2055" s="27" t="n"/>
      <c r="P2055" s="27" t="n"/>
      <c r="Q2055" s="27" t="n"/>
      <c r="R2055" s="27" t="n"/>
      <c r="S2055" s="27" t="n"/>
      <c r="T2055" s="27" t="n"/>
    </row>
    <row r="2056" ht="13.8" customFormat="1" customHeight="1" s="70">
      <c r="M2056" s="27" t="n"/>
      <c r="N2056" s="27" t="n"/>
      <c r="O2056" s="27" t="n"/>
      <c r="P2056" s="27" t="n"/>
      <c r="Q2056" s="27" t="n"/>
      <c r="R2056" s="27" t="n"/>
      <c r="S2056" s="27" t="n"/>
      <c r="T2056" s="27" t="n"/>
    </row>
    <row r="2057" ht="13.8" customFormat="1" customHeight="1" s="70">
      <c r="M2057" s="27" t="n"/>
      <c r="N2057" s="27" t="n"/>
      <c r="O2057" s="27" t="n"/>
      <c r="P2057" s="27" t="n"/>
      <c r="Q2057" s="27" t="n"/>
      <c r="R2057" s="27" t="n"/>
      <c r="S2057" s="27" t="n"/>
      <c r="T2057" s="27" t="n"/>
    </row>
    <row r="2058" ht="13.8" customFormat="1" customHeight="1" s="70">
      <c r="M2058" s="27" t="n"/>
      <c r="N2058" s="27" t="n"/>
      <c r="O2058" s="27" t="n"/>
      <c r="P2058" s="27" t="n"/>
      <c r="Q2058" s="27" t="n"/>
      <c r="R2058" s="27" t="n"/>
      <c r="S2058" s="27" t="n"/>
      <c r="T2058" s="27" t="n"/>
    </row>
    <row r="2059" ht="13.8" customFormat="1" customHeight="1" s="70">
      <c r="M2059" s="27" t="n"/>
      <c r="N2059" s="27" t="n"/>
      <c r="O2059" s="27" t="n"/>
      <c r="P2059" s="27" t="n"/>
      <c r="Q2059" s="27" t="n"/>
      <c r="R2059" s="27" t="n"/>
      <c r="S2059" s="27" t="n"/>
      <c r="T2059" s="27" t="n"/>
    </row>
    <row r="2060" ht="13.8" customFormat="1" customHeight="1" s="70">
      <c r="M2060" s="27" t="n"/>
      <c r="N2060" s="27" t="n"/>
      <c r="O2060" s="27" t="n"/>
      <c r="P2060" s="27" t="n"/>
      <c r="Q2060" s="27" t="n"/>
      <c r="R2060" s="27" t="n"/>
      <c r="S2060" s="27" t="n"/>
      <c r="T2060" s="27" t="n"/>
    </row>
    <row r="2061" ht="13.8" customFormat="1" customHeight="1" s="70">
      <c r="M2061" s="27" t="n"/>
      <c r="N2061" s="27" t="n"/>
      <c r="O2061" s="27" t="n"/>
      <c r="P2061" s="27" t="n"/>
      <c r="Q2061" s="27" t="n"/>
      <c r="R2061" s="27" t="n"/>
      <c r="S2061" s="27" t="n"/>
      <c r="T2061" s="27" t="n"/>
    </row>
    <row r="2062" ht="13.8" customFormat="1" customHeight="1" s="70">
      <c r="M2062" s="27" t="n"/>
      <c r="N2062" s="27" t="n"/>
      <c r="O2062" s="27" t="n"/>
      <c r="P2062" s="27" t="n"/>
      <c r="Q2062" s="27" t="n"/>
      <c r="R2062" s="27" t="n"/>
      <c r="S2062" s="27" t="n"/>
      <c r="T2062" s="27" t="n"/>
    </row>
    <row r="2063" ht="13.8" customFormat="1" customHeight="1" s="70">
      <c r="M2063" s="27" t="n"/>
      <c r="N2063" s="27" t="n"/>
      <c r="O2063" s="27" t="n"/>
      <c r="P2063" s="27" t="n"/>
      <c r="Q2063" s="27" t="n"/>
      <c r="R2063" s="27" t="n"/>
      <c r="S2063" s="27" t="n"/>
      <c r="T2063" s="27" t="n"/>
    </row>
    <row r="2064" ht="13.8" customFormat="1" customHeight="1" s="70">
      <c r="M2064" s="27" t="n"/>
      <c r="N2064" s="27" t="n"/>
      <c r="O2064" s="27" t="n"/>
      <c r="P2064" s="27" t="n"/>
      <c r="Q2064" s="27" t="n"/>
      <c r="R2064" s="27" t="n"/>
      <c r="S2064" s="27" t="n"/>
      <c r="T2064" s="27" t="n"/>
    </row>
    <row r="2065" ht="13.8" customFormat="1" customHeight="1" s="70">
      <c r="M2065" s="27" t="n"/>
      <c r="N2065" s="27" t="n"/>
      <c r="O2065" s="27" t="n"/>
      <c r="P2065" s="27" t="n"/>
      <c r="Q2065" s="27" t="n"/>
      <c r="R2065" s="27" t="n"/>
      <c r="S2065" s="27" t="n"/>
      <c r="T2065" s="27" t="n"/>
    </row>
    <row r="2066" ht="13.8" customFormat="1" customHeight="1" s="70">
      <c r="M2066" s="27" t="n"/>
      <c r="N2066" s="27" t="n"/>
      <c r="O2066" s="27" t="n"/>
      <c r="P2066" s="27" t="n"/>
      <c r="Q2066" s="27" t="n"/>
      <c r="R2066" s="27" t="n"/>
      <c r="S2066" s="27" t="n"/>
      <c r="T2066" s="27" t="n"/>
    </row>
    <row r="2067" ht="13.8" customFormat="1" customHeight="1" s="70">
      <c r="M2067" s="27" t="n"/>
      <c r="N2067" s="27" t="n"/>
      <c r="O2067" s="27" t="n"/>
      <c r="P2067" s="27" t="n"/>
      <c r="Q2067" s="27" t="n"/>
      <c r="R2067" s="27" t="n"/>
      <c r="S2067" s="27" t="n"/>
      <c r="T2067" s="27" t="n"/>
    </row>
    <row r="2068" ht="13.8" customFormat="1" customHeight="1" s="70">
      <c r="M2068" s="27" t="n"/>
      <c r="N2068" s="27" t="n"/>
      <c r="O2068" s="27" t="n"/>
      <c r="P2068" s="27" t="n"/>
      <c r="Q2068" s="27" t="n"/>
      <c r="R2068" s="27" t="n"/>
      <c r="S2068" s="27" t="n"/>
      <c r="T2068" s="27" t="n"/>
    </row>
    <row r="2069" ht="13.8" customFormat="1" customHeight="1" s="70">
      <c r="M2069" s="27" t="n"/>
      <c r="N2069" s="27" t="n"/>
      <c r="O2069" s="27" t="n"/>
      <c r="P2069" s="27" t="n"/>
      <c r="Q2069" s="27" t="n"/>
      <c r="R2069" s="27" t="n"/>
      <c r="S2069" s="27" t="n"/>
      <c r="T2069" s="27" t="n"/>
    </row>
    <row r="2070" ht="13.8" customFormat="1" customHeight="1" s="70">
      <c r="M2070" s="27" t="n"/>
      <c r="N2070" s="27" t="n"/>
      <c r="O2070" s="27" t="n"/>
      <c r="P2070" s="27" t="n"/>
      <c r="Q2070" s="27" t="n"/>
      <c r="R2070" s="27" t="n"/>
      <c r="S2070" s="27" t="n"/>
      <c r="T2070" s="27" t="n"/>
    </row>
    <row r="2071" ht="13.8" customFormat="1" customHeight="1" s="70">
      <c r="M2071" s="27" t="n"/>
      <c r="N2071" s="27" t="n"/>
      <c r="O2071" s="27" t="n"/>
      <c r="P2071" s="27" t="n"/>
      <c r="Q2071" s="27" t="n"/>
      <c r="R2071" s="27" t="n"/>
      <c r="S2071" s="27" t="n"/>
      <c r="T2071" s="27" t="n"/>
    </row>
    <row r="2072" ht="13.8" customFormat="1" customHeight="1" s="70">
      <c r="M2072" s="27" t="n"/>
      <c r="N2072" s="27" t="n"/>
      <c r="O2072" s="27" t="n"/>
      <c r="P2072" s="27" t="n"/>
      <c r="Q2072" s="27" t="n"/>
      <c r="R2072" s="27" t="n"/>
      <c r="S2072" s="27" t="n"/>
      <c r="T2072" s="27" t="n"/>
    </row>
    <row r="2073" ht="13.8" customFormat="1" customHeight="1" s="70">
      <c r="M2073" s="27" t="n"/>
      <c r="N2073" s="27" t="n"/>
      <c r="O2073" s="27" t="n"/>
      <c r="P2073" s="27" t="n"/>
      <c r="Q2073" s="27" t="n"/>
      <c r="R2073" s="27" t="n"/>
      <c r="S2073" s="27" t="n"/>
      <c r="T2073" s="27" t="n"/>
    </row>
    <row r="2074" ht="13.8" customFormat="1" customHeight="1" s="70">
      <c r="M2074" s="27" t="n"/>
      <c r="N2074" s="27" t="n"/>
      <c r="O2074" s="27" t="n"/>
      <c r="P2074" s="27" t="n"/>
      <c r="Q2074" s="27" t="n"/>
      <c r="R2074" s="27" t="n"/>
      <c r="S2074" s="27" t="n"/>
      <c r="T2074" s="27" t="n"/>
    </row>
    <row r="2075" ht="13.8" customFormat="1" customHeight="1" s="70">
      <c r="M2075" s="27" t="n"/>
      <c r="N2075" s="27" t="n"/>
      <c r="O2075" s="27" t="n"/>
      <c r="P2075" s="27" t="n"/>
      <c r="Q2075" s="27" t="n"/>
      <c r="R2075" s="27" t="n"/>
      <c r="S2075" s="27" t="n"/>
      <c r="T2075" s="27" t="n"/>
    </row>
    <row r="2076" ht="13.8" customFormat="1" customHeight="1" s="70">
      <c r="M2076" s="27" t="n"/>
      <c r="N2076" s="27" t="n"/>
      <c r="O2076" s="27" t="n"/>
      <c r="P2076" s="27" t="n"/>
      <c r="Q2076" s="27" t="n"/>
      <c r="R2076" s="27" t="n"/>
      <c r="S2076" s="27" t="n"/>
      <c r="T2076" s="27" t="n"/>
    </row>
    <row r="2077" ht="13.8" customFormat="1" customHeight="1" s="70">
      <c r="M2077" s="27" t="n"/>
      <c r="N2077" s="27" t="n"/>
      <c r="O2077" s="27" t="n"/>
      <c r="P2077" s="27" t="n"/>
      <c r="Q2077" s="27" t="n"/>
      <c r="R2077" s="27" t="n"/>
      <c r="S2077" s="27" t="n"/>
      <c r="T2077" s="27" t="n"/>
    </row>
    <row r="2078" ht="13.8" customFormat="1" customHeight="1" s="70">
      <c r="M2078" s="27" t="n"/>
      <c r="N2078" s="27" t="n"/>
      <c r="O2078" s="27" t="n"/>
      <c r="P2078" s="27" t="n"/>
      <c r="Q2078" s="27" t="n"/>
      <c r="R2078" s="27" t="n"/>
      <c r="S2078" s="27" t="n"/>
      <c r="T2078" s="27" t="n"/>
    </row>
    <row r="2079" ht="13.8" customFormat="1" customHeight="1" s="70">
      <c r="M2079" s="27" t="n"/>
      <c r="N2079" s="27" t="n"/>
      <c r="O2079" s="27" t="n"/>
      <c r="P2079" s="27" t="n"/>
      <c r="Q2079" s="27" t="n"/>
      <c r="R2079" s="27" t="n"/>
      <c r="S2079" s="27" t="n"/>
      <c r="T2079" s="27" t="n"/>
    </row>
    <row r="2080" ht="13.8" customFormat="1" customHeight="1" s="70">
      <c r="M2080" s="27" t="n"/>
      <c r="N2080" s="27" t="n"/>
      <c r="O2080" s="27" t="n"/>
      <c r="P2080" s="27" t="n"/>
      <c r="Q2080" s="27" t="n"/>
      <c r="R2080" s="27" t="n"/>
      <c r="S2080" s="27" t="n"/>
      <c r="T2080" s="27" t="n"/>
    </row>
    <row r="2081" ht="13.8" customFormat="1" customHeight="1" s="70">
      <c r="M2081" s="27" t="n"/>
      <c r="N2081" s="27" t="n"/>
      <c r="O2081" s="27" t="n"/>
      <c r="P2081" s="27" t="n"/>
      <c r="Q2081" s="27" t="n"/>
      <c r="R2081" s="27" t="n"/>
      <c r="S2081" s="27" t="n"/>
      <c r="T2081" s="27" t="n"/>
    </row>
    <row r="2082" ht="13.8" customFormat="1" customHeight="1" s="70">
      <c r="M2082" s="27" t="n"/>
      <c r="N2082" s="27" t="n"/>
      <c r="O2082" s="27" t="n"/>
      <c r="P2082" s="27" t="n"/>
      <c r="Q2082" s="27" t="n"/>
      <c r="R2082" s="27" t="n"/>
      <c r="S2082" s="27" t="n"/>
      <c r="T2082" s="27" t="n"/>
    </row>
    <row r="2083" ht="13.8" customFormat="1" customHeight="1" s="70">
      <c r="M2083" s="27" t="n"/>
      <c r="N2083" s="27" t="n"/>
      <c r="O2083" s="27" t="n"/>
      <c r="P2083" s="27" t="n"/>
      <c r="Q2083" s="27" t="n"/>
      <c r="R2083" s="27" t="n"/>
      <c r="S2083" s="27" t="n"/>
      <c r="T2083" s="27" t="n"/>
    </row>
    <row r="2084" ht="13.8" customFormat="1" customHeight="1" s="70">
      <c r="M2084" s="27" t="n"/>
      <c r="N2084" s="27" t="n"/>
      <c r="O2084" s="27" t="n"/>
      <c r="P2084" s="27" t="n"/>
      <c r="Q2084" s="27" t="n"/>
      <c r="R2084" s="27" t="n"/>
      <c r="S2084" s="27" t="n"/>
      <c r="T2084" s="27" t="n"/>
    </row>
    <row r="2085" ht="13.8" customFormat="1" customHeight="1" s="70">
      <c r="M2085" s="27" t="n"/>
      <c r="N2085" s="27" t="n"/>
      <c r="O2085" s="27" t="n"/>
      <c r="P2085" s="27" t="n"/>
      <c r="Q2085" s="27" t="n"/>
      <c r="R2085" s="27" t="n"/>
      <c r="S2085" s="27" t="n"/>
      <c r="T2085" s="27" t="n"/>
    </row>
    <row r="2086" ht="13.8" customFormat="1" customHeight="1" s="70">
      <c r="M2086" s="27" t="n"/>
      <c r="N2086" s="27" t="n"/>
      <c r="O2086" s="27" t="n"/>
      <c r="P2086" s="27" t="n"/>
      <c r="Q2086" s="27" t="n"/>
      <c r="R2086" s="27" t="n"/>
      <c r="S2086" s="27" t="n"/>
      <c r="T2086" s="27" t="n"/>
    </row>
    <row r="2087" ht="13.8" customFormat="1" customHeight="1" s="70">
      <c r="M2087" s="27" t="n"/>
      <c r="N2087" s="27" t="n"/>
      <c r="O2087" s="27" t="n"/>
      <c r="P2087" s="27" t="n"/>
      <c r="Q2087" s="27" t="n"/>
      <c r="R2087" s="27" t="n"/>
      <c r="S2087" s="27" t="n"/>
      <c r="T2087" s="27" t="n"/>
    </row>
    <row r="2088" ht="13.8" customFormat="1" customHeight="1" s="70">
      <c r="M2088" s="27" t="n"/>
      <c r="N2088" s="27" t="n"/>
      <c r="O2088" s="27" t="n"/>
      <c r="P2088" s="27" t="n"/>
      <c r="Q2088" s="27" t="n"/>
      <c r="R2088" s="27" t="n"/>
      <c r="S2088" s="27" t="n"/>
      <c r="T2088" s="27" t="n"/>
    </row>
    <row r="2089" ht="13.8" customFormat="1" customHeight="1" s="70">
      <c r="M2089" s="27" t="n"/>
      <c r="N2089" s="27" t="n"/>
      <c r="O2089" s="27" t="n"/>
      <c r="P2089" s="27" t="n"/>
      <c r="Q2089" s="27" t="n"/>
      <c r="R2089" s="27" t="n"/>
      <c r="S2089" s="27" t="n"/>
      <c r="T2089" s="27" t="n"/>
    </row>
    <row r="2090" ht="13.8" customFormat="1" customHeight="1" s="70">
      <c r="M2090" s="27" t="n"/>
      <c r="N2090" s="27" t="n"/>
      <c r="O2090" s="27" t="n"/>
      <c r="P2090" s="27" t="n"/>
      <c r="Q2090" s="27" t="n"/>
      <c r="R2090" s="27" t="n"/>
      <c r="S2090" s="27" t="n"/>
      <c r="T2090" s="27" t="n"/>
    </row>
    <row r="2091" ht="13.8" customFormat="1" customHeight="1" s="70">
      <c r="M2091" s="27" t="n"/>
      <c r="N2091" s="27" t="n"/>
      <c r="O2091" s="27" t="n"/>
      <c r="P2091" s="27" t="n"/>
      <c r="Q2091" s="27" t="n"/>
      <c r="R2091" s="27" t="n"/>
      <c r="S2091" s="27" t="n"/>
      <c r="T2091" s="27" t="n"/>
    </row>
    <row r="2092" ht="13.8" customFormat="1" customHeight="1" s="70">
      <c r="M2092" s="27" t="n"/>
      <c r="N2092" s="27" t="n"/>
      <c r="O2092" s="27" t="n"/>
      <c r="P2092" s="27" t="n"/>
      <c r="Q2092" s="27" t="n"/>
      <c r="R2092" s="27" t="n"/>
      <c r="S2092" s="27" t="n"/>
      <c r="T2092" s="27" t="n"/>
    </row>
    <row r="2093" ht="13.8" customFormat="1" customHeight="1" s="70">
      <c r="M2093" s="27" t="n"/>
      <c r="N2093" s="27" t="n"/>
      <c r="O2093" s="27" t="n"/>
      <c r="P2093" s="27" t="n"/>
      <c r="Q2093" s="27" t="n"/>
      <c r="R2093" s="27" t="n"/>
      <c r="S2093" s="27" t="n"/>
      <c r="T2093" s="27" t="n"/>
    </row>
    <row r="2094" ht="13.8" customFormat="1" customHeight="1" s="70">
      <c r="M2094" s="27" t="n"/>
      <c r="N2094" s="27" t="n"/>
      <c r="O2094" s="27" t="n"/>
      <c r="P2094" s="27" t="n"/>
      <c r="Q2094" s="27" t="n"/>
      <c r="R2094" s="27" t="n"/>
      <c r="S2094" s="27" t="n"/>
      <c r="T2094" s="27" t="n"/>
    </row>
    <row r="2095" ht="13.8" customFormat="1" customHeight="1" s="70">
      <c r="M2095" s="27" t="n"/>
      <c r="N2095" s="27" t="n"/>
      <c r="O2095" s="27" t="n"/>
      <c r="P2095" s="27" t="n"/>
      <c r="Q2095" s="27" t="n"/>
      <c r="R2095" s="27" t="n"/>
      <c r="S2095" s="27" t="n"/>
      <c r="T2095" s="27" t="n"/>
    </row>
    <row r="2096" ht="13.8" customFormat="1" customHeight="1" s="70">
      <c r="M2096" s="27" t="n"/>
      <c r="N2096" s="27" t="n"/>
      <c r="O2096" s="27" t="n"/>
      <c r="P2096" s="27" t="n"/>
      <c r="Q2096" s="27" t="n"/>
      <c r="R2096" s="27" t="n"/>
      <c r="S2096" s="27" t="n"/>
      <c r="T2096" s="27" t="n"/>
    </row>
    <row r="2097" ht="13.8" customFormat="1" customHeight="1" s="70">
      <c r="M2097" s="27" t="n"/>
      <c r="N2097" s="27" t="n"/>
      <c r="O2097" s="27" t="n"/>
      <c r="P2097" s="27" t="n"/>
      <c r="Q2097" s="27" t="n"/>
      <c r="R2097" s="27" t="n"/>
      <c r="S2097" s="27" t="n"/>
      <c r="T2097" s="27" t="n"/>
    </row>
    <row r="2098" ht="13.8" customFormat="1" customHeight="1" s="70">
      <c r="M2098" s="27" t="n"/>
      <c r="N2098" s="27" t="n"/>
      <c r="O2098" s="27" t="n"/>
      <c r="P2098" s="27" t="n"/>
      <c r="Q2098" s="27" t="n"/>
      <c r="R2098" s="27" t="n"/>
      <c r="S2098" s="27" t="n"/>
      <c r="T2098" s="27" t="n"/>
    </row>
    <row r="2099" ht="13.8" customFormat="1" customHeight="1" s="70">
      <c r="M2099" s="27" t="n"/>
      <c r="N2099" s="27" t="n"/>
      <c r="O2099" s="27" t="n"/>
      <c r="P2099" s="27" t="n"/>
      <c r="Q2099" s="27" t="n"/>
      <c r="R2099" s="27" t="n"/>
      <c r="S2099" s="27" t="n"/>
      <c r="T2099" s="27" t="n"/>
    </row>
    <row r="2100" ht="13.8" customFormat="1" customHeight="1" s="70">
      <c r="M2100" s="27" t="n"/>
      <c r="N2100" s="27" t="n"/>
      <c r="O2100" s="27" t="n"/>
      <c r="P2100" s="27" t="n"/>
      <c r="Q2100" s="27" t="n"/>
      <c r="R2100" s="27" t="n"/>
      <c r="S2100" s="27" t="n"/>
      <c r="T2100" s="27" t="n"/>
    </row>
    <row r="2101" ht="13.8" customFormat="1" customHeight="1" s="70">
      <c r="M2101" s="27" t="n"/>
      <c r="N2101" s="27" t="n"/>
      <c r="O2101" s="27" t="n"/>
      <c r="P2101" s="27" t="n"/>
      <c r="Q2101" s="27" t="n"/>
      <c r="R2101" s="27" t="n"/>
      <c r="S2101" s="27" t="n"/>
      <c r="T2101" s="27" t="n"/>
    </row>
    <row r="2102" ht="13.8" customFormat="1" customHeight="1" s="70">
      <c r="M2102" s="27" t="n"/>
      <c r="N2102" s="27" t="n"/>
      <c r="O2102" s="27" t="n"/>
      <c r="P2102" s="27" t="n"/>
      <c r="Q2102" s="27" t="n"/>
      <c r="R2102" s="27" t="n"/>
      <c r="S2102" s="27" t="n"/>
      <c r="T2102" s="27" t="n"/>
    </row>
    <row r="2103" ht="13.8" customFormat="1" customHeight="1" s="70">
      <c r="M2103" s="27" t="n"/>
      <c r="N2103" s="27" t="n"/>
      <c r="O2103" s="27" t="n"/>
      <c r="P2103" s="27" t="n"/>
      <c r="Q2103" s="27" t="n"/>
      <c r="R2103" s="27" t="n"/>
      <c r="S2103" s="27" t="n"/>
      <c r="T2103" s="27" t="n"/>
    </row>
    <row r="2104" ht="13.8" customFormat="1" customHeight="1" s="70">
      <c r="M2104" s="27" t="n"/>
      <c r="N2104" s="27" t="n"/>
      <c r="O2104" s="27" t="n"/>
      <c r="P2104" s="27" t="n"/>
      <c r="Q2104" s="27" t="n"/>
      <c r="R2104" s="27" t="n"/>
      <c r="S2104" s="27" t="n"/>
      <c r="T2104" s="27" t="n"/>
    </row>
    <row r="2105" ht="13.8" customFormat="1" customHeight="1" s="70">
      <c r="M2105" s="27" t="n"/>
      <c r="N2105" s="27" t="n"/>
      <c r="O2105" s="27" t="n"/>
      <c r="P2105" s="27" t="n"/>
      <c r="Q2105" s="27" t="n"/>
      <c r="R2105" s="27" t="n"/>
      <c r="S2105" s="27" t="n"/>
      <c r="T2105" s="27" t="n"/>
    </row>
    <row r="2106" ht="13.8" customFormat="1" customHeight="1" s="70">
      <c r="M2106" s="27" t="n"/>
      <c r="N2106" s="27" t="n"/>
      <c r="O2106" s="27" t="n"/>
      <c r="P2106" s="27" t="n"/>
      <c r="Q2106" s="27" t="n"/>
      <c r="R2106" s="27" t="n"/>
      <c r="S2106" s="27" t="n"/>
      <c r="T2106" s="27" t="n"/>
    </row>
    <row r="2107" ht="13.8" customFormat="1" customHeight="1" s="70">
      <c r="M2107" s="27" t="n"/>
      <c r="N2107" s="27" t="n"/>
      <c r="O2107" s="27" t="n"/>
      <c r="P2107" s="27" t="n"/>
      <c r="Q2107" s="27" t="n"/>
      <c r="R2107" s="27" t="n"/>
      <c r="S2107" s="27" t="n"/>
      <c r="T2107" s="27" t="n"/>
    </row>
    <row r="2108" ht="13.8" customFormat="1" customHeight="1" s="70">
      <c r="M2108" s="27" t="n"/>
      <c r="N2108" s="27" t="n"/>
      <c r="O2108" s="27" t="n"/>
      <c r="P2108" s="27" t="n"/>
      <c r="Q2108" s="27" t="n"/>
      <c r="R2108" s="27" t="n"/>
      <c r="S2108" s="27" t="n"/>
      <c r="T2108" s="27" t="n"/>
    </row>
    <row r="2109" ht="13.8" customFormat="1" customHeight="1" s="70">
      <c r="M2109" s="27" t="n"/>
      <c r="N2109" s="27" t="n"/>
      <c r="O2109" s="27" t="n"/>
      <c r="P2109" s="27" t="n"/>
      <c r="Q2109" s="27" t="n"/>
      <c r="R2109" s="27" t="n"/>
      <c r="S2109" s="27" t="n"/>
      <c r="T2109" s="27" t="n"/>
    </row>
    <row r="2110" ht="13.8" customFormat="1" customHeight="1" s="70">
      <c r="M2110" s="27" t="n"/>
      <c r="N2110" s="27" t="n"/>
      <c r="O2110" s="27" t="n"/>
      <c r="P2110" s="27" t="n"/>
      <c r="Q2110" s="27" t="n"/>
      <c r="R2110" s="27" t="n"/>
      <c r="S2110" s="27" t="n"/>
      <c r="T2110" s="27" t="n"/>
    </row>
    <row r="2111" ht="13.8" customFormat="1" customHeight="1" s="70">
      <c r="M2111" s="27" t="n"/>
      <c r="N2111" s="27" t="n"/>
      <c r="O2111" s="27" t="n"/>
      <c r="P2111" s="27" t="n"/>
      <c r="Q2111" s="27" t="n"/>
      <c r="R2111" s="27" t="n"/>
      <c r="S2111" s="27" t="n"/>
      <c r="T2111" s="27" t="n"/>
    </row>
    <row r="2112" ht="13.8" customFormat="1" customHeight="1" s="70">
      <c r="M2112" s="27" t="n"/>
      <c r="N2112" s="27" t="n"/>
      <c r="O2112" s="27" t="n"/>
      <c r="P2112" s="27" t="n"/>
      <c r="Q2112" s="27" t="n"/>
      <c r="R2112" s="27" t="n"/>
      <c r="S2112" s="27" t="n"/>
      <c r="T2112" s="27" t="n"/>
    </row>
    <row r="2113" ht="13.8" customFormat="1" customHeight="1" s="70">
      <c r="M2113" s="27" t="n"/>
      <c r="N2113" s="27" t="n"/>
      <c r="O2113" s="27" t="n"/>
      <c r="P2113" s="27" t="n"/>
      <c r="Q2113" s="27" t="n"/>
      <c r="R2113" s="27" t="n"/>
      <c r="S2113" s="27" t="n"/>
      <c r="T2113" s="27" t="n"/>
    </row>
    <row r="2114" ht="13.8" customFormat="1" customHeight="1" s="70">
      <c r="M2114" s="27" t="n"/>
      <c r="N2114" s="27" t="n"/>
      <c r="O2114" s="27" t="n"/>
      <c r="P2114" s="27" t="n"/>
      <c r="Q2114" s="27" t="n"/>
      <c r="R2114" s="27" t="n"/>
      <c r="S2114" s="27" t="n"/>
      <c r="T2114" s="27" t="n"/>
    </row>
    <row r="2115" ht="13.8" customFormat="1" customHeight="1" s="70">
      <c r="M2115" s="27" t="n"/>
      <c r="N2115" s="27" t="n"/>
      <c r="O2115" s="27" t="n"/>
      <c r="P2115" s="27" t="n"/>
      <c r="Q2115" s="27" t="n"/>
      <c r="R2115" s="27" t="n"/>
      <c r="S2115" s="27" t="n"/>
      <c r="T2115" s="27" t="n"/>
    </row>
    <row r="2116" ht="13.8" customFormat="1" customHeight="1" s="70">
      <c r="M2116" s="27" t="n"/>
      <c r="N2116" s="27" t="n"/>
      <c r="O2116" s="27" t="n"/>
      <c r="P2116" s="27" t="n"/>
      <c r="Q2116" s="27" t="n"/>
      <c r="R2116" s="27" t="n"/>
      <c r="S2116" s="27" t="n"/>
      <c r="T2116" s="27" t="n"/>
    </row>
    <row r="2117" ht="13.8" customFormat="1" customHeight="1" s="70">
      <c r="M2117" s="27" t="n"/>
      <c r="N2117" s="27" t="n"/>
      <c r="O2117" s="27" t="n"/>
      <c r="P2117" s="27" t="n"/>
      <c r="Q2117" s="27" t="n"/>
      <c r="R2117" s="27" t="n"/>
      <c r="S2117" s="27" t="n"/>
      <c r="T2117" s="27" t="n"/>
    </row>
    <row r="2118" ht="13.8" customFormat="1" customHeight="1" s="70">
      <c r="M2118" s="27" t="n"/>
      <c r="N2118" s="27" t="n"/>
      <c r="O2118" s="27" t="n"/>
      <c r="P2118" s="27" t="n"/>
      <c r="Q2118" s="27" t="n"/>
      <c r="R2118" s="27" t="n"/>
      <c r="S2118" s="27" t="n"/>
      <c r="T2118" s="27" t="n"/>
    </row>
    <row r="2119" ht="13.8" customFormat="1" customHeight="1" s="70">
      <c r="M2119" s="27" t="n"/>
      <c r="N2119" s="27" t="n"/>
      <c r="O2119" s="27" t="n"/>
      <c r="P2119" s="27" t="n"/>
      <c r="Q2119" s="27" t="n"/>
      <c r="R2119" s="27" t="n"/>
      <c r="S2119" s="27" t="n"/>
      <c r="T2119" s="27" t="n"/>
    </row>
    <row r="2120" ht="13.8" customFormat="1" customHeight="1" s="70">
      <c r="M2120" s="27" t="n"/>
      <c r="N2120" s="27" t="n"/>
      <c r="O2120" s="27" t="n"/>
      <c r="P2120" s="27" t="n"/>
      <c r="Q2120" s="27" t="n"/>
      <c r="R2120" s="27" t="n"/>
      <c r="S2120" s="27" t="n"/>
      <c r="T2120" s="27" t="n"/>
    </row>
    <row r="2121" ht="13.8" customFormat="1" customHeight="1" s="70">
      <c r="M2121" s="27" t="n"/>
      <c r="N2121" s="27" t="n"/>
      <c r="O2121" s="27" t="n"/>
      <c r="P2121" s="27" t="n"/>
      <c r="Q2121" s="27" t="n"/>
      <c r="R2121" s="27" t="n"/>
      <c r="S2121" s="27" t="n"/>
      <c r="T2121" s="27" t="n"/>
    </row>
    <row r="2122" ht="13.8" customFormat="1" customHeight="1" s="70">
      <c r="M2122" s="27" t="n"/>
      <c r="N2122" s="27" t="n"/>
      <c r="O2122" s="27" t="n"/>
      <c r="P2122" s="27" t="n"/>
      <c r="Q2122" s="27" t="n"/>
      <c r="R2122" s="27" t="n"/>
      <c r="S2122" s="27" t="n"/>
      <c r="T2122" s="27" t="n"/>
    </row>
    <row r="2123" ht="13.8" customFormat="1" customHeight="1" s="70">
      <c r="M2123" s="27" t="n"/>
      <c r="N2123" s="27" t="n"/>
      <c r="O2123" s="27" t="n"/>
      <c r="P2123" s="27" t="n"/>
      <c r="Q2123" s="27" t="n"/>
      <c r="R2123" s="27" t="n"/>
      <c r="S2123" s="27" t="n"/>
      <c r="T2123" s="27" t="n"/>
    </row>
    <row r="2124" ht="13.8" customFormat="1" customHeight="1" s="70">
      <c r="M2124" s="27" t="n"/>
      <c r="N2124" s="27" t="n"/>
      <c r="O2124" s="27" t="n"/>
      <c r="P2124" s="27" t="n"/>
      <c r="Q2124" s="27" t="n"/>
      <c r="R2124" s="27" t="n"/>
      <c r="S2124" s="27" t="n"/>
      <c r="T2124" s="27" t="n"/>
    </row>
    <row r="2125" ht="13.8" customFormat="1" customHeight="1" s="70">
      <c r="M2125" s="27" t="n"/>
      <c r="N2125" s="27" t="n"/>
      <c r="O2125" s="27" t="n"/>
      <c r="P2125" s="27" t="n"/>
      <c r="Q2125" s="27" t="n"/>
      <c r="R2125" s="27" t="n"/>
      <c r="S2125" s="27" t="n"/>
      <c r="T2125" s="27" t="n"/>
    </row>
    <row r="2126" ht="13.8" customFormat="1" customHeight="1" s="70">
      <c r="M2126" s="27" t="n"/>
      <c r="N2126" s="27" t="n"/>
      <c r="O2126" s="27" t="n"/>
      <c r="P2126" s="27" t="n"/>
      <c r="Q2126" s="27" t="n"/>
      <c r="R2126" s="27" t="n"/>
      <c r="S2126" s="27" t="n"/>
      <c r="T2126" s="27" t="n"/>
    </row>
    <row r="2127" ht="13.8" customFormat="1" customHeight="1" s="70">
      <c r="M2127" s="27" t="n"/>
      <c r="N2127" s="27" t="n"/>
      <c r="O2127" s="27" t="n"/>
      <c r="P2127" s="27" t="n"/>
      <c r="Q2127" s="27" t="n"/>
      <c r="R2127" s="27" t="n"/>
      <c r="S2127" s="27" t="n"/>
      <c r="T2127" s="27" t="n"/>
    </row>
    <row r="2128" ht="13.8" customFormat="1" customHeight="1" s="70">
      <c r="M2128" s="27" t="n"/>
      <c r="N2128" s="27" t="n"/>
      <c r="O2128" s="27" t="n"/>
      <c r="P2128" s="27" t="n"/>
      <c r="Q2128" s="27" t="n"/>
      <c r="R2128" s="27" t="n"/>
      <c r="S2128" s="27" t="n"/>
      <c r="T2128" s="27" t="n"/>
    </row>
    <row r="2129" ht="13.8" customFormat="1" customHeight="1" s="70">
      <c r="M2129" s="27" t="n"/>
      <c r="N2129" s="27" t="n"/>
      <c r="O2129" s="27" t="n"/>
      <c r="P2129" s="27" t="n"/>
      <c r="Q2129" s="27" t="n"/>
      <c r="R2129" s="27" t="n"/>
      <c r="S2129" s="27" t="n"/>
      <c r="T2129" s="27" t="n"/>
    </row>
    <row r="2130" ht="13.8" customFormat="1" customHeight="1" s="70">
      <c r="M2130" s="27" t="n"/>
      <c r="N2130" s="27" t="n"/>
      <c r="O2130" s="27" t="n"/>
      <c r="P2130" s="27" t="n"/>
      <c r="Q2130" s="27" t="n"/>
      <c r="R2130" s="27" t="n"/>
      <c r="S2130" s="27" t="n"/>
      <c r="T2130" s="27" t="n"/>
    </row>
    <row r="2131" ht="13.8" customFormat="1" customHeight="1" s="70">
      <c r="M2131" s="27" t="n"/>
      <c r="N2131" s="27" t="n"/>
      <c r="O2131" s="27" t="n"/>
      <c r="P2131" s="27" t="n"/>
      <c r="Q2131" s="27" t="n"/>
      <c r="R2131" s="27" t="n"/>
      <c r="S2131" s="27" t="n"/>
      <c r="T2131" s="27" t="n"/>
    </row>
    <row r="2132" ht="13.8" customFormat="1" customHeight="1" s="70">
      <c r="M2132" s="27" t="n"/>
      <c r="N2132" s="27" t="n"/>
      <c r="O2132" s="27" t="n"/>
      <c r="P2132" s="27" t="n"/>
      <c r="Q2132" s="27" t="n"/>
      <c r="R2132" s="27" t="n"/>
      <c r="S2132" s="27" t="n"/>
      <c r="T2132" s="27" t="n"/>
    </row>
    <row r="2133" ht="13.8" customFormat="1" customHeight="1" s="70">
      <c r="M2133" s="27" t="n"/>
      <c r="N2133" s="27" t="n"/>
      <c r="O2133" s="27" t="n"/>
      <c r="P2133" s="27" t="n"/>
      <c r="Q2133" s="27" t="n"/>
      <c r="R2133" s="27" t="n"/>
      <c r="S2133" s="27" t="n"/>
      <c r="T2133" s="27" t="n"/>
    </row>
    <row r="2134" ht="13.8" customFormat="1" customHeight="1" s="70">
      <c r="M2134" s="27" t="n"/>
      <c r="N2134" s="27" t="n"/>
      <c r="O2134" s="27" t="n"/>
      <c r="P2134" s="27" t="n"/>
      <c r="Q2134" s="27" t="n"/>
      <c r="R2134" s="27" t="n"/>
      <c r="S2134" s="27" t="n"/>
      <c r="T2134" s="27" t="n"/>
    </row>
    <row r="2135" ht="13.8" customFormat="1" customHeight="1" s="70">
      <c r="M2135" s="27" t="n"/>
      <c r="N2135" s="27" t="n"/>
      <c r="O2135" s="27" t="n"/>
      <c r="P2135" s="27" t="n"/>
      <c r="Q2135" s="27" t="n"/>
      <c r="R2135" s="27" t="n"/>
      <c r="S2135" s="27" t="n"/>
      <c r="T2135" s="27" t="n"/>
    </row>
    <row r="2136" ht="13.8" customFormat="1" customHeight="1" s="70">
      <c r="M2136" s="27" t="n"/>
      <c r="N2136" s="27" t="n"/>
      <c r="O2136" s="27" t="n"/>
      <c r="P2136" s="27" t="n"/>
      <c r="Q2136" s="27" t="n"/>
      <c r="R2136" s="27" t="n"/>
      <c r="S2136" s="27" t="n"/>
      <c r="T2136" s="27" t="n"/>
    </row>
    <row r="2137" ht="13.8" customFormat="1" customHeight="1" s="70">
      <c r="M2137" s="27" t="n"/>
      <c r="N2137" s="27" t="n"/>
      <c r="O2137" s="27" t="n"/>
      <c r="P2137" s="27" t="n"/>
      <c r="Q2137" s="27" t="n"/>
      <c r="R2137" s="27" t="n"/>
      <c r="S2137" s="27" t="n"/>
      <c r="T2137" s="27" t="n"/>
    </row>
    <row r="2138" ht="13.8" customFormat="1" customHeight="1" s="70">
      <c r="M2138" s="27" t="n"/>
      <c r="N2138" s="27" t="n"/>
      <c r="O2138" s="27" t="n"/>
      <c r="P2138" s="27" t="n"/>
      <c r="Q2138" s="27" t="n"/>
      <c r="R2138" s="27" t="n"/>
      <c r="S2138" s="27" t="n"/>
      <c r="T2138" s="27" t="n"/>
    </row>
    <row r="2139" ht="13.8" customFormat="1" customHeight="1" s="70">
      <c r="M2139" s="27" t="n"/>
      <c r="N2139" s="27" t="n"/>
      <c r="O2139" s="27" t="n"/>
      <c r="P2139" s="27" t="n"/>
      <c r="Q2139" s="27" t="n"/>
      <c r="R2139" s="27" t="n"/>
      <c r="S2139" s="27" t="n"/>
      <c r="T2139" s="27" t="n"/>
    </row>
    <row r="2140" ht="13.8" customFormat="1" customHeight="1" s="70">
      <c r="M2140" s="27" t="n"/>
      <c r="N2140" s="27" t="n"/>
      <c r="O2140" s="27" t="n"/>
      <c r="P2140" s="27" t="n"/>
      <c r="Q2140" s="27" t="n"/>
      <c r="R2140" s="27" t="n"/>
      <c r="S2140" s="27" t="n"/>
      <c r="T2140" s="27" t="n"/>
    </row>
    <row r="2141" ht="13.8" customFormat="1" customHeight="1" s="70">
      <c r="M2141" s="27" t="n"/>
      <c r="N2141" s="27" t="n"/>
      <c r="O2141" s="27" t="n"/>
      <c r="P2141" s="27" t="n"/>
      <c r="Q2141" s="27" t="n"/>
      <c r="R2141" s="27" t="n"/>
      <c r="S2141" s="27" t="n"/>
      <c r="T2141" s="27" t="n"/>
    </row>
    <row r="2142" ht="13.8" customFormat="1" customHeight="1" s="70">
      <c r="M2142" s="27" t="n"/>
      <c r="N2142" s="27" t="n"/>
      <c r="O2142" s="27" t="n"/>
      <c r="P2142" s="27" t="n"/>
      <c r="Q2142" s="27" t="n"/>
      <c r="R2142" s="27" t="n"/>
      <c r="S2142" s="27" t="n"/>
      <c r="T2142" s="27" t="n"/>
    </row>
    <row r="2143" ht="13.8" customFormat="1" customHeight="1" s="70">
      <c r="M2143" s="27" t="n"/>
      <c r="N2143" s="27" t="n"/>
      <c r="O2143" s="27" t="n"/>
      <c r="P2143" s="27" t="n"/>
      <c r="Q2143" s="27" t="n"/>
      <c r="R2143" s="27" t="n"/>
      <c r="S2143" s="27" t="n"/>
      <c r="T2143" s="27" t="n"/>
    </row>
    <row r="2144" ht="13.8" customFormat="1" customHeight="1" s="70">
      <c r="M2144" s="27" t="n"/>
      <c r="N2144" s="27" t="n"/>
      <c r="O2144" s="27" t="n"/>
      <c r="P2144" s="27" t="n"/>
      <c r="Q2144" s="27" t="n"/>
      <c r="R2144" s="27" t="n"/>
      <c r="S2144" s="27" t="n"/>
      <c r="T2144" s="27" t="n"/>
    </row>
    <row r="2145" ht="13.8" customFormat="1" customHeight="1" s="70">
      <c r="M2145" s="27" t="n"/>
      <c r="N2145" s="27" t="n"/>
      <c r="O2145" s="27" t="n"/>
      <c r="P2145" s="27" t="n"/>
      <c r="Q2145" s="27" t="n"/>
      <c r="R2145" s="27" t="n"/>
      <c r="S2145" s="27" t="n"/>
      <c r="T2145" s="27" t="n"/>
    </row>
    <row r="2146" ht="13.8" customFormat="1" customHeight="1" s="70">
      <c r="M2146" s="27" t="n"/>
      <c r="N2146" s="27" t="n"/>
      <c r="O2146" s="27" t="n"/>
      <c r="P2146" s="27" t="n"/>
      <c r="Q2146" s="27" t="n"/>
      <c r="R2146" s="27" t="n"/>
      <c r="S2146" s="27" t="n"/>
      <c r="T2146" s="27" t="n"/>
    </row>
    <row r="2147" ht="13.8" customFormat="1" customHeight="1" s="70">
      <c r="M2147" s="27" t="n"/>
      <c r="N2147" s="27" t="n"/>
      <c r="O2147" s="27" t="n"/>
      <c r="P2147" s="27" t="n"/>
      <c r="Q2147" s="27" t="n"/>
      <c r="R2147" s="27" t="n"/>
      <c r="S2147" s="27" t="n"/>
      <c r="T2147" s="27" t="n"/>
    </row>
    <row r="2148" ht="13.8" customFormat="1" customHeight="1" s="70">
      <c r="M2148" s="27" t="n"/>
      <c r="N2148" s="27" t="n"/>
      <c r="O2148" s="27" t="n"/>
      <c r="P2148" s="27" t="n"/>
      <c r="Q2148" s="27" t="n"/>
      <c r="R2148" s="27" t="n"/>
      <c r="S2148" s="27" t="n"/>
      <c r="T2148" s="27" t="n"/>
    </row>
    <row r="2149" ht="13.8" customFormat="1" customHeight="1" s="70">
      <c r="M2149" s="27" t="n"/>
      <c r="N2149" s="27" t="n"/>
      <c r="O2149" s="27" t="n"/>
      <c r="P2149" s="27" t="n"/>
      <c r="Q2149" s="27" t="n"/>
      <c r="R2149" s="27" t="n"/>
      <c r="S2149" s="27" t="n"/>
      <c r="T2149" s="27" t="n"/>
    </row>
    <row r="2150" ht="13.8" customFormat="1" customHeight="1" s="70">
      <c r="M2150" s="27" t="n"/>
      <c r="N2150" s="27" t="n"/>
      <c r="O2150" s="27" t="n"/>
      <c r="P2150" s="27" t="n"/>
      <c r="Q2150" s="27" t="n"/>
      <c r="R2150" s="27" t="n"/>
      <c r="S2150" s="27" t="n"/>
      <c r="T2150" s="27" t="n"/>
    </row>
    <row r="2151" ht="13.8" customFormat="1" customHeight="1" s="70">
      <c r="M2151" s="27" t="n"/>
      <c r="N2151" s="27" t="n"/>
      <c r="O2151" s="27" t="n"/>
      <c r="P2151" s="27" t="n"/>
      <c r="Q2151" s="27" t="n"/>
      <c r="R2151" s="27" t="n"/>
      <c r="S2151" s="27" t="n"/>
      <c r="T2151" s="27" t="n"/>
    </row>
    <row r="2152" ht="13.8" customFormat="1" customHeight="1" s="70">
      <c r="M2152" s="27" t="n"/>
      <c r="N2152" s="27" t="n"/>
      <c r="O2152" s="27" t="n"/>
      <c r="P2152" s="27" t="n"/>
      <c r="Q2152" s="27" t="n"/>
      <c r="R2152" s="27" t="n"/>
      <c r="S2152" s="27" t="n"/>
      <c r="T2152" s="27" t="n"/>
    </row>
    <row r="2153" ht="13.8" customFormat="1" customHeight="1" s="70">
      <c r="M2153" s="27" t="n"/>
      <c r="N2153" s="27" t="n"/>
      <c r="O2153" s="27" t="n"/>
      <c r="P2153" s="27" t="n"/>
      <c r="Q2153" s="27" t="n"/>
      <c r="R2153" s="27" t="n"/>
      <c r="S2153" s="27" t="n"/>
      <c r="T2153" s="27" t="n"/>
    </row>
    <row r="2154" ht="13.8" customFormat="1" customHeight="1" s="70">
      <c r="M2154" s="27" t="n"/>
      <c r="N2154" s="27" t="n"/>
      <c r="O2154" s="27" t="n"/>
      <c r="P2154" s="27" t="n"/>
      <c r="Q2154" s="27" t="n"/>
      <c r="R2154" s="27" t="n"/>
      <c r="S2154" s="27" t="n"/>
      <c r="T2154" s="27" t="n"/>
    </row>
    <row r="2155" ht="13.8" customFormat="1" customHeight="1" s="70">
      <c r="M2155" s="27" t="n"/>
      <c r="N2155" s="27" t="n"/>
      <c r="O2155" s="27" t="n"/>
      <c r="P2155" s="27" t="n"/>
      <c r="Q2155" s="27" t="n"/>
      <c r="R2155" s="27" t="n"/>
      <c r="S2155" s="27" t="n"/>
      <c r="T2155" s="27" t="n"/>
    </row>
    <row r="2156" ht="13.8" customFormat="1" customHeight="1" s="70">
      <c r="M2156" s="27" t="n"/>
      <c r="N2156" s="27" t="n"/>
      <c r="O2156" s="27" t="n"/>
      <c r="P2156" s="27" t="n"/>
      <c r="Q2156" s="27" t="n"/>
      <c r="R2156" s="27" t="n"/>
      <c r="S2156" s="27" t="n"/>
      <c r="T2156" s="27" t="n"/>
    </row>
    <row r="2157" ht="13.8" customFormat="1" customHeight="1" s="70">
      <c r="M2157" s="27" t="n"/>
      <c r="N2157" s="27" t="n"/>
      <c r="O2157" s="27" t="n"/>
      <c r="P2157" s="27" t="n"/>
      <c r="Q2157" s="27" t="n"/>
      <c r="R2157" s="27" t="n"/>
      <c r="S2157" s="27" t="n"/>
      <c r="T2157" s="27" t="n"/>
    </row>
    <row r="2158" ht="13.8" customFormat="1" customHeight="1" s="70">
      <c r="M2158" s="27" t="n"/>
      <c r="N2158" s="27" t="n"/>
      <c r="O2158" s="27" t="n"/>
      <c r="P2158" s="27" t="n"/>
      <c r="Q2158" s="27" t="n"/>
      <c r="R2158" s="27" t="n"/>
      <c r="S2158" s="27" t="n"/>
      <c r="T2158" s="27" t="n"/>
    </row>
    <row r="2159" ht="13.8" customFormat="1" customHeight="1" s="70">
      <c r="M2159" s="27" t="n"/>
      <c r="N2159" s="27" t="n"/>
      <c r="O2159" s="27" t="n"/>
      <c r="P2159" s="27" t="n"/>
      <c r="Q2159" s="27" t="n"/>
      <c r="R2159" s="27" t="n"/>
      <c r="S2159" s="27" t="n"/>
      <c r="T2159" s="27" t="n"/>
    </row>
    <row r="2160" ht="13.8" customFormat="1" customHeight="1" s="70">
      <c r="M2160" s="27" t="n"/>
      <c r="N2160" s="27" t="n"/>
      <c r="O2160" s="27" t="n"/>
      <c r="P2160" s="27" t="n"/>
      <c r="Q2160" s="27" t="n"/>
      <c r="R2160" s="27" t="n"/>
      <c r="S2160" s="27" t="n"/>
      <c r="T2160" s="27" t="n"/>
    </row>
    <row r="2161" ht="13.8" customFormat="1" customHeight="1" s="70">
      <c r="M2161" s="27" t="n"/>
      <c r="N2161" s="27" t="n"/>
      <c r="O2161" s="27" t="n"/>
      <c r="P2161" s="27" t="n"/>
      <c r="Q2161" s="27" t="n"/>
      <c r="R2161" s="27" t="n"/>
      <c r="S2161" s="27" t="n"/>
      <c r="T2161" s="27" t="n"/>
    </row>
    <row r="2162" ht="13.8" customFormat="1" customHeight="1" s="70">
      <c r="M2162" s="27" t="n"/>
      <c r="N2162" s="27" t="n"/>
      <c r="O2162" s="27" t="n"/>
      <c r="P2162" s="27" t="n"/>
      <c r="Q2162" s="27" t="n"/>
      <c r="R2162" s="27" t="n"/>
      <c r="S2162" s="27" t="n"/>
      <c r="T2162" s="27" t="n"/>
    </row>
    <row r="2163" ht="13.8" customFormat="1" customHeight="1" s="70">
      <c r="M2163" s="27" t="n"/>
      <c r="N2163" s="27" t="n"/>
      <c r="O2163" s="27" t="n"/>
      <c r="P2163" s="27" t="n"/>
      <c r="Q2163" s="27" t="n"/>
      <c r="R2163" s="27" t="n"/>
      <c r="S2163" s="27" t="n"/>
      <c r="T2163" s="27" t="n"/>
    </row>
    <row r="2164" ht="13.8" customFormat="1" customHeight="1" s="70">
      <c r="M2164" s="27" t="n"/>
      <c r="N2164" s="27" t="n"/>
      <c r="O2164" s="27" t="n"/>
      <c r="P2164" s="27" t="n"/>
      <c r="Q2164" s="27" t="n"/>
      <c r="R2164" s="27" t="n"/>
      <c r="S2164" s="27" t="n"/>
      <c r="T2164" s="27" t="n"/>
    </row>
    <row r="2165" ht="13.8" customFormat="1" customHeight="1" s="70">
      <c r="M2165" s="27" t="n"/>
      <c r="N2165" s="27" t="n"/>
      <c r="O2165" s="27" t="n"/>
      <c r="P2165" s="27" t="n"/>
      <c r="Q2165" s="27" t="n"/>
      <c r="R2165" s="27" t="n"/>
      <c r="S2165" s="27" t="n"/>
      <c r="T2165" s="27" t="n"/>
    </row>
    <row r="2166" ht="13.8" customFormat="1" customHeight="1" s="70">
      <c r="M2166" s="27" t="n"/>
      <c r="N2166" s="27" t="n"/>
      <c r="O2166" s="27" t="n"/>
      <c r="P2166" s="27" t="n"/>
      <c r="Q2166" s="27" t="n"/>
      <c r="R2166" s="27" t="n"/>
      <c r="S2166" s="27" t="n"/>
      <c r="T2166" s="27" t="n"/>
    </row>
    <row r="2167" ht="13.8" customFormat="1" customHeight="1" s="70">
      <c r="M2167" s="27" t="n"/>
      <c r="N2167" s="27" t="n"/>
      <c r="O2167" s="27" t="n"/>
      <c r="P2167" s="27" t="n"/>
      <c r="Q2167" s="27" t="n"/>
      <c r="R2167" s="27" t="n"/>
      <c r="S2167" s="27" t="n"/>
      <c r="T2167" s="27" t="n"/>
    </row>
    <row r="2168" ht="13.8" customFormat="1" customHeight="1" s="70">
      <c r="M2168" s="27" t="n"/>
      <c r="N2168" s="27" t="n"/>
      <c r="O2168" s="27" t="n"/>
      <c r="P2168" s="27" t="n"/>
      <c r="Q2168" s="27" t="n"/>
      <c r="R2168" s="27" t="n"/>
      <c r="S2168" s="27" t="n"/>
      <c r="T2168" s="27" t="n"/>
    </row>
    <row r="2169" ht="13.8" customFormat="1" customHeight="1" s="70">
      <c r="M2169" s="27" t="n"/>
      <c r="N2169" s="27" t="n"/>
      <c r="O2169" s="27" t="n"/>
      <c r="P2169" s="27" t="n"/>
      <c r="Q2169" s="27" t="n"/>
      <c r="R2169" s="27" t="n"/>
      <c r="S2169" s="27" t="n"/>
      <c r="T2169" s="27" t="n"/>
    </row>
    <row r="2170" ht="13.8" customFormat="1" customHeight="1" s="70">
      <c r="M2170" s="27" t="n"/>
      <c r="N2170" s="27" t="n"/>
      <c r="O2170" s="27" t="n"/>
      <c r="P2170" s="27" t="n"/>
      <c r="Q2170" s="27" t="n"/>
      <c r="R2170" s="27" t="n"/>
      <c r="S2170" s="27" t="n"/>
      <c r="T2170" s="27" t="n"/>
    </row>
    <row r="2171" ht="13.8" customFormat="1" customHeight="1" s="70">
      <c r="M2171" s="27" t="n"/>
      <c r="N2171" s="27" t="n"/>
      <c r="O2171" s="27" t="n"/>
      <c r="P2171" s="27" t="n"/>
      <c r="Q2171" s="27" t="n"/>
      <c r="R2171" s="27" t="n"/>
      <c r="S2171" s="27" t="n"/>
      <c r="T2171" s="27" t="n"/>
    </row>
    <row r="2172" ht="13.8" customFormat="1" customHeight="1" s="70">
      <c r="M2172" s="27" t="n"/>
      <c r="N2172" s="27" t="n"/>
      <c r="O2172" s="27" t="n"/>
      <c r="P2172" s="27" t="n"/>
      <c r="Q2172" s="27" t="n"/>
      <c r="R2172" s="27" t="n"/>
      <c r="S2172" s="27" t="n"/>
      <c r="T2172" s="27" t="n"/>
    </row>
    <row r="2173" ht="13.8" customFormat="1" customHeight="1" s="70">
      <c r="M2173" s="27" t="n"/>
      <c r="N2173" s="27" t="n"/>
      <c r="O2173" s="27" t="n"/>
      <c r="P2173" s="27" t="n"/>
      <c r="Q2173" s="27" t="n"/>
      <c r="R2173" s="27" t="n"/>
      <c r="S2173" s="27" t="n"/>
      <c r="T2173" s="27" t="n"/>
    </row>
    <row r="2174" ht="13.8" customFormat="1" customHeight="1" s="70">
      <c r="M2174" s="27" t="n"/>
      <c r="N2174" s="27" t="n"/>
      <c r="O2174" s="27" t="n"/>
      <c r="P2174" s="27" t="n"/>
      <c r="Q2174" s="27" t="n"/>
      <c r="R2174" s="27" t="n"/>
      <c r="S2174" s="27" t="n"/>
      <c r="T2174" s="27" t="n"/>
    </row>
    <row r="2175" ht="13.8" customFormat="1" customHeight="1" s="70">
      <c r="M2175" s="27" t="n"/>
      <c r="N2175" s="27" t="n"/>
      <c r="O2175" s="27" t="n"/>
      <c r="P2175" s="27" t="n"/>
      <c r="Q2175" s="27" t="n"/>
      <c r="R2175" s="27" t="n"/>
      <c r="S2175" s="27" t="n"/>
      <c r="T2175" s="27" t="n"/>
    </row>
    <row r="2176" ht="13.8" customFormat="1" customHeight="1" s="70">
      <c r="M2176" s="27" t="n"/>
      <c r="N2176" s="27" t="n"/>
      <c r="O2176" s="27" t="n"/>
      <c r="P2176" s="27" t="n"/>
      <c r="Q2176" s="27" t="n"/>
      <c r="R2176" s="27" t="n"/>
      <c r="S2176" s="27" t="n"/>
      <c r="T2176" s="27" t="n"/>
    </row>
    <row r="2177" ht="13.8" customFormat="1" customHeight="1" s="70">
      <c r="M2177" s="27" t="n"/>
      <c r="N2177" s="27" t="n"/>
      <c r="O2177" s="27" t="n"/>
      <c r="P2177" s="27" t="n"/>
      <c r="Q2177" s="27" t="n"/>
      <c r="R2177" s="27" t="n"/>
      <c r="S2177" s="27" t="n"/>
      <c r="T2177" s="27" t="n"/>
    </row>
    <row r="2178" ht="13.8" customFormat="1" customHeight="1" s="70">
      <c r="M2178" s="27" t="n"/>
      <c r="N2178" s="27" t="n"/>
      <c r="O2178" s="27" t="n"/>
      <c r="P2178" s="27" t="n"/>
      <c r="Q2178" s="27" t="n"/>
      <c r="R2178" s="27" t="n"/>
      <c r="S2178" s="27" t="n"/>
      <c r="T2178" s="27" t="n"/>
    </row>
    <row r="2179" ht="13.8" customFormat="1" customHeight="1" s="70">
      <c r="M2179" s="27" t="n"/>
      <c r="N2179" s="27" t="n"/>
      <c r="O2179" s="27" t="n"/>
      <c r="P2179" s="27" t="n"/>
      <c r="Q2179" s="27" t="n"/>
      <c r="R2179" s="27" t="n"/>
      <c r="S2179" s="27" t="n"/>
      <c r="T2179" s="27" t="n"/>
    </row>
    <row r="2180" ht="13.8" customFormat="1" customHeight="1" s="70">
      <c r="M2180" s="27" t="n"/>
      <c r="N2180" s="27" t="n"/>
      <c r="O2180" s="27" t="n"/>
      <c r="P2180" s="27" t="n"/>
      <c r="Q2180" s="27" t="n"/>
      <c r="R2180" s="27" t="n"/>
      <c r="S2180" s="27" t="n"/>
      <c r="T2180" s="27" t="n"/>
    </row>
    <row r="2181" ht="13.8" customFormat="1" customHeight="1" s="70">
      <c r="M2181" s="27" t="n"/>
      <c r="N2181" s="27" t="n"/>
      <c r="O2181" s="27" t="n"/>
      <c r="P2181" s="27" t="n"/>
      <c r="Q2181" s="27" t="n"/>
      <c r="R2181" s="27" t="n"/>
      <c r="S2181" s="27" t="n"/>
      <c r="T2181" s="27" t="n"/>
    </row>
    <row r="2182" ht="13.8" customFormat="1" customHeight="1" s="70">
      <c r="M2182" s="27" t="n"/>
      <c r="N2182" s="27" t="n"/>
      <c r="O2182" s="27" t="n"/>
      <c r="P2182" s="27" t="n"/>
      <c r="Q2182" s="27" t="n"/>
      <c r="R2182" s="27" t="n"/>
      <c r="S2182" s="27" t="n"/>
      <c r="T2182" s="27" t="n"/>
    </row>
    <row r="2183" ht="13.8" customFormat="1" customHeight="1" s="70">
      <c r="M2183" s="27" t="n"/>
      <c r="N2183" s="27" t="n"/>
      <c r="O2183" s="27" t="n"/>
      <c r="P2183" s="27" t="n"/>
      <c r="Q2183" s="27" t="n"/>
      <c r="R2183" s="27" t="n"/>
      <c r="S2183" s="27" t="n"/>
      <c r="T2183" s="27" t="n"/>
    </row>
    <row r="2184" ht="13.8" customFormat="1" customHeight="1" s="70">
      <c r="M2184" s="27" t="n"/>
      <c r="N2184" s="27" t="n"/>
      <c r="O2184" s="27" t="n"/>
      <c r="P2184" s="27" t="n"/>
      <c r="Q2184" s="27" t="n"/>
      <c r="R2184" s="27" t="n"/>
      <c r="S2184" s="27" t="n"/>
      <c r="T2184" s="27" t="n"/>
    </row>
    <row r="2185" ht="13.8" customFormat="1" customHeight="1" s="70">
      <c r="M2185" s="27" t="n"/>
      <c r="N2185" s="27" t="n"/>
      <c r="O2185" s="27" t="n"/>
      <c r="P2185" s="27" t="n"/>
      <c r="Q2185" s="27" t="n"/>
      <c r="R2185" s="27" t="n"/>
      <c r="S2185" s="27" t="n"/>
      <c r="T2185" s="27" t="n"/>
    </row>
    <row r="2186" ht="13.8" customFormat="1" customHeight="1" s="70">
      <c r="M2186" s="27" t="n"/>
      <c r="N2186" s="27" t="n"/>
      <c r="O2186" s="27" t="n"/>
      <c r="P2186" s="27" t="n"/>
      <c r="Q2186" s="27" t="n"/>
      <c r="R2186" s="27" t="n"/>
      <c r="S2186" s="27" t="n"/>
      <c r="T2186" s="27" t="n"/>
    </row>
    <row r="2187" ht="13.8" customFormat="1" customHeight="1" s="70">
      <c r="M2187" s="27" t="n"/>
      <c r="N2187" s="27" t="n"/>
      <c r="O2187" s="27" t="n"/>
      <c r="P2187" s="27" t="n"/>
      <c r="Q2187" s="27" t="n"/>
      <c r="R2187" s="27" t="n"/>
      <c r="S2187" s="27" t="n"/>
      <c r="T2187" s="27" t="n"/>
    </row>
    <row r="2188" ht="13.8" customFormat="1" customHeight="1" s="70">
      <c r="M2188" s="27" t="n"/>
      <c r="N2188" s="27" t="n"/>
      <c r="O2188" s="27" t="n"/>
      <c r="P2188" s="27" t="n"/>
      <c r="Q2188" s="27" t="n"/>
      <c r="R2188" s="27" t="n"/>
      <c r="S2188" s="27" t="n"/>
      <c r="T2188" s="27" t="n"/>
    </row>
    <row r="2189" ht="13.8" customFormat="1" customHeight="1" s="70">
      <c r="M2189" s="27" t="n"/>
      <c r="N2189" s="27" t="n"/>
      <c r="O2189" s="27" t="n"/>
      <c r="P2189" s="27" t="n"/>
      <c r="Q2189" s="27" t="n"/>
      <c r="R2189" s="27" t="n"/>
      <c r="S2189" s="27" t="n"/>
      <c r="T2189" s="27" t="n"/>
    </row>
    <row r="2190" ht="13.8" customFormat="1" customHeight="1" s="70">
      <c r="M2190" s="27" t="n"/>
      <c r="N2190" s="27" t="n"/>
      <c r="O2190" s="27" t="n"/>
      <c r="P2190" s="27" t="n"/>
      <c r="Q2190" s="27" t="n"/>
      <c r="R2190" s="27" t="n"/>
      <c r="S2190" s="27" t="n"/>
      <c r="T2190" s="27" t="n"/>
    </row>
    <row r="2191" ht="13.8" customFormat="1" customHeight="1" s="70">
      <c r="M2191" s="27" t="n"/>
      <c r="N2191" s="27" t="n"/>
      <c r="O2191" s="27" t="n"/>
      <c r="P2191" s="27" t="n"/>
      <c r="Q2191" s="27" t="n"/>
      <c r="R2191" s="27" t="n"/>
      <c r="S2191" s="27" t="n"/>
      <c r="T2191" s="27" t="n"/>
    </row>
    <row r="2192" ht="13.8" customFormat="1" customHeight="1" s="70">
      <c r="M2192" s="27" t="n"/>
      <c r="N2192" s="27" t="n"/>
      <c r="O2192" s="27" t="n"/>
      <c r="P2192" s="27" t="n"/>
      <c r="Q2192" s="27" t="n"/>
      <c r="R2192" s="27" t="n"/>
      <c r="S2192" s="27" t="n"/>
      <c r="T2192" s="27" t="n"/>
    </row>
    <row r="2193" ht="13.8" customFormat="1" customHeight="1" s="70">
      <c r="M2193" s="27" t="n"/>
      <c r="N2193" s="27" t="n"/>
      <c r="O2193" s="27" t="n"/>
      <c r="P2193" s="27" t="n"/>
      <c r="Q2193" s="27" t="n"/>
      <c r="R2193" s="27" t="n"/>
      <c r="S2193" s="27" t="n"/>
      <c r="T2193" s="27" t="n"/>
    </row>
    <row r="2194" ht="13.8" customFormat="1" customHeight="1" s="70">
      <c r="M2194" s="27" t="n"/>
      <c r="N2194" s="27" t="n"/>
      <c r="O2194" s="27" t="n"/>
      <c r="P2194" s="27" t="n"/>
      <c r="Q2194" s="27" t="n"/>
      <c r="R2194" s="27" t="n"/>
      <c r="S2194" s="27" t="n"/>
      <c r="T2194" s="27" t="n"/>
    </row>
    <row r="2195" ht="13.8" customFormat="1" customHeight="1" s="70">
      <c r="M2195" s="27" t="n"/>
      <c r="N2195" s="27" t="n"/>
      <c r="O2195" s="27" t="n"/>
      <c r="P2195" s="27" t="n"/>
      <c r="Q2195" s="27" t="n"/>
      <c r="R2195" s="27" t="n"/>
      <c r="S2195" s="27" t="n"/>
      <c r="T2195" s="27" t="n"/>
    </row>
    <row r="2196" ht="13.8" customFormat="1" customHeight="1" s="70">
      <c r="M2196" s="27" t="n"/>
      <c r="N2196" s="27" t="n"/>
      <c r="O2196" s="27" t="n"/>
      <c r="P2196" s="27" t="n"/>
      <c r="Q2196" s="27" t="n"/>
      <c r="R2196" s="27" t="n"/>
      <c r="S2196" s="27" t="n"/>
      <c r="T2196" s="27" t="n"/>
    </row>
    <row r="2197" ht="13.8" customFormat="1" customHeight="1" s="70">
      <c r="M2197" s="27" t="n"/>
      <c r="N2197" s="27" t="n"/>
      <c r="O2197" s="27" t="n"/>
      <c r="P2197" s="27" t="n"/>
      <c r="Q2197" s="27" t="n"/>
      <c r="R2197" s="27" t="n"/>
      <c r="S2197" s="27" t="n"/>
      <c r="T2197" s="27" t="n"/>
    </row>
    <row r="2198" ht="13.8" customFormat="1" customHeight="1" s="70">
      <c r="M2198" s="27" t="n"/>
      <c r="N2198" s="27" t="n"/>
      <c r="O2198" s="27" t="n"/>
      <c r="P2198" s="27" t="n"/>
      <c r="Q2198" s="27" t="n"/>
      <c r="R2198" s="27" t="n"/>
      <c r="S2198" s="27" t="n"/>
      <c r="T2198" s="27" t="n"/>
    </row>
    <row r="2199" ht="13.8" customFormat="1" customHeight="1" s="70">
      <c r="M2199" s="27" t="n"/>
      <c r="N2199" s="27" t="n"/>
      <c r="O2199" s="27" t="n"/>
      <c r="P2199" s="27" t="n"/>
      <c r="Q2199" s="27" t="n"/>
      <c r="R2199" s="27" t="n"/>
      <c r="S2199" s="27" t="n"/>
      <c r="T2199" s="27" t="n"/>
    </row>
    <row r="2200" ht="13.8" customFormat="1" customHeight="1" s="70">
      <c r="M2200" s="27" t="n"/>
      <c r="N2200" s="27" t="n"/>
      <c r="O2200" s="27" t="n"/>
      <c r="P2200" s="27" t="n"/>
      <c r="Q2200" s="27" t="n"/>
      <c r="R2200" s="27" t="n"/>
      <c r="S2200" s="27" t="n"/>
      <c r="T2200" s="27" t="n"/>
    </row>
    <row r="2201" ht="13.8" customFormat="1" customHeight="1" s="70">
      <c r="M2201" s="27" t="n"/>
      <c r="N2201" s="27" t="n"/>
      <c r="O2201" s="27" t="n"/>
      <c r="P2201" s="27" t="n"/>
      <c r="Q2201" s="27" t="n"/>
      <c r="R2201" s="27" t="n"/>
      <c r="S2201" s="27" t="n"/>
      <c r="T2201" s="27" t="n"/>
    </row>
    <row r="2202" ht="13.8" customFormat="1" customHeight="1" s="70">
      <c r="M2202" s="27" t="n"/>
      <c r="N2202" s="27" t="n"/>
      <c r="O2202" s="27" t="n"/>
      <c r="P2202" s="27" t="n"/>
      <c r="Q2202" s="27" t="n"/>
      <c r="R2202" s="27" t="n"/>
      <c r="S2202" s="27" t="n"/>
      <c r="T2202" s="27" t="n"/>
    </row>
    <row r="2203" ht="13.8" customFormat="1" customHeight="1" s="70">
      <c r="M2203" s="27" t="n"/>
      <c r="N2203" s="27" t="n"/>
      <c r="O2203" s="27" t="n"/>
      <c r="P2203" s="27" t="n"/>
      <c r="Q2203" s="27" t="n"/>
      <c r="R2203" s="27" t="n"/>
      <c r="S2203" s="27" t="n"/>
      <c r="T2203" s="27" t="n"/>
    </row>
    <row r="2204" ht="13.8" customFormat="1" customHeight="1" s="70">
      <c r="M2204" s="27" t="n"/>
      <c r="N2204" s="27" t="n"/>
      <c r="O2204" s="27" t="n"/>
      <c r="P2204" s="27" t="n"/>
      <c r="Q2204" s="27" t="n"/>
      <c r="R2204" s="27" t="n"/>
      <c r="S2204" s="27" t="n"/>
      <c r="T2204" s="27" t="n"/>
    </row>
    <row r="2205" ht="13.8" customFormat="1" customHeight="1" s="70">
      <c r="M2205" s="27" t="n"/>
      <c r="N2205" s="27" t="n"/>
      <c r="O2205" s="27" t="n"/>
      <c r="P2205" s="27" t="n"/>
      <c r="Q2205" s="27" t="n"/>
      <c r="R2205" s="27" t="n"/>
      <c r="S2205" s="27" t="n"/>
      <c r="T2205" s="27" t="n"/>
    </row>
    <row r="2206" ht="13.8" customFormat="1" customHeight="1" s="70">
      <c r="M2206" s="27" t="n"/>
      <c r="N2206" s="27" t="n"/>
      <c r="O2206" s="27" t="n"/>
      <c r="P2206" s="27" t="n"/>
      <c r="Q2206" s="27" t="n"/>
      <c r="R2206" s="27" t="n"/>
      <c r="S2206" s="27" t="n"/>
      <c r="T2206" s="27" t="n"/>
    </row>
    <row r="2207" ht="13.8" customFormat="1" customHeight="1" s="70">
      <c r="M2207" s="27" t="n"/>
      <c r="N2207" s="27" t="n"/>
      <c r="O2207" s="27" t="n"/>
      <c r="P2207" s="27" t="n"/>
      <c r="Q2207" s="27" t="n"/>
      <c r="R2207" s="27" t="n"/>
      <c r="S2207" s="27" t="n"/>
      <c r="T2207" s="27" t="n"/>
    </row>
    <row r="2208" ht="13.8" customFormat="1" customHeight="1" s="70">
      <c r="M2208" s="27" t="n"/>
      <c r="N2208" s="27" t="n"/>
      <c r="O2208" s="27" t="n"/>
      <c r="P2208" s="27" t="n"/>
      <c r="Q2208" s="27" t="n"/>
      <c r="R2208" s="27" t="n"/>
      <c r="S2208" s="27" t="n"/>
      <c r="T2208" s="27" t="n"/>
    </row>
    <row r="2209" ht="13.8" customFormat="1" customHeight="1" s="70">
      <c r="M2209" s="27" t="n"/>
      <c r="N2209" s="27" t="n"/>
      <c r="O2209" s="27" t="n"/>
      <c r="P2209" s="27" t="n"/>
      <c r="Q2209" s="27" t="n"/>
      <c r="R2209" s="27" t="n"/>
      <c r="S2209" s="27" t="n"/>
      <c r="T2209" s="27" t="n"/>
    </row>
    <row r="2210" ht="13.8" customFormat="1" customHeight="1" s="70">
      <c r="M2210" s="27" t="n"/>
      <c r="N2210" s="27" t="n"/>
      <c r="O2210" s="27" t="n"/>
      <c r="P2210" s="27" t="n"/>
      <c r="Q2210" s="27" t="n"/>
      <c r="R2210" s="27" t="n"/>
      <c r="S2210" s="27" t="n"/>
      <c r="T2210" s="27" t="n"/>
    </row>
    <row r="2211" ht="13.8" customFormat="1" customHeight="1" s="70">
      <c r="M2211" s="27" t="n"/>
      <c r="N2211" s="27" t="n"/>
      <c r="O2211" s="27" t="n"/>
      <c r="P2211" s="27" t="n"/>
      <c r="Q2211" s="27" t="n"/>
      <c r="R2211" s="27" t="n"/>
      <c r="S2211" s="27" t="n"/>
      <c r="T2211" s="27" t="n"/>
    </row>
    <row r="2212" ht="13.8" customFormat="1" customHeight="1" s="70">
      <c r="M2212" s="27" t="n"/>
      <c r="N2212" s="27" t="n"/>
      <c r="O2212" s="27" t="n"/>
      <c r="P2212" s="27" t="n"/>
      <c r="Q2212" s="27" t="n"/>
      <c r="R2212" s="27" t="n"/>
      <c r="S2212" s="27" t="n"/>
      <c r="T2212" s="27" t="n"/>
    </row>
    <row r="2213" ht="13.8" customFormat="1" customHeight="1" s="70">
      <c r="M2213" s="27" t="n"/>
      <c r="N2213" s="27" t="n"/>
      <c r="O2213" s="27" t="n"/>
      <c r="P2213" s="27" t="n"/>
      <c r="Q2213" s="27" t="n"/>
      <c r="R2213" s="27" t="n"/>
      <c r="S2213" s="27" t="n"/>
      <c r="T2213" s="27" t="n"/>
    </row>
    <row r="2214" ht="13.8" customFormat="1" customHeight="1" s="70">
      <c r="M2214" s="27" t="n"/>
      <c r="N2214" s="27" t="n"/>
      <c r="O2214" s="27" t="n"/>
      <c r="P2214" s="27" t="n"/>
      <c r="Q2214" s="27" t="n"/>
      <c r="R2214" s="27" t="n"/>
      <c r="S2214" s="27" t="n"/>
      <c r="T2214" s="27" t="n"/>
    </row>
    <row r="2215" ht="13.8" customFormat="1" customHeight="1" s="70">
      <c r="M2215" s="27" t="n"/>
      <c r="N2215" s="27" t="n"/>
      <c r="O2215" s="27" t="n"/>
      <c r="P2215" s="27" t="n"/>
      <c r="Q2215" s="27" t="n"/>
      <c r="R2215" s="27" t="n"/>
      <c r="S2215" s="27" t="n"/>
      <c r="T2215" s="27" t="n"/>
    </row>
    <row r="2216" ht="13.8" customFormat="1" customHeight="1" s="70">
      <c r="M2216" s="27" t="n"/>
      <c r="N2216" s="27" t="n"/>
      <c r="O2216" s="27" t="n"/>
      <c r="P2216" s="27" t="n"/>
      <c r="Q2216" s="27" t="n"/>
      <c r="R2216" s="27" t="n"/>
      <c r="S2216" s="27" t="n"/>
      <c r="T2216" s="27" t="n"/>
    </row>
    <row r="2217" ht="13.8" customFormat="1" customHeight="1" s="70">
      <c r="M2217" s="27" t="n"/>
      <c r="N2217" s="27" t="n"/>
      <c r="O2217" s="27" t="n"/>
      <c r="P2217" s="27" t="n"/>
      <c r="Q2217" s="27" t="n"/>
      <c r="R2217" s="27" t="n"/>
      <c r="S2217" s="27" t="n"/>
      <c r="T2217" s="27" t="n"/>
    </row>
    <row r="2218" ht="13.8" customFormat="1" customHeight="1" s="70">
      <c r="M2218" s="27" t="n"/>
      <c r="N2218" s="27" t="n"/>
      <c r="O2218" s="27" t="n"/>
      <c r="P2218" s="27" t="n"/>
      <c r="Q2218" s="27" t="n"/>
      <c r="R2218" s="27" t="n"/>
      <c r="S2218" s="27" t="n"/>
      <c r="T2218" s="27" t="n"/>
    </row>
    <row r="2219" ht="13.8" customFormat="1" customHeight="1" s="70">
      <c r="M2219" s="27" t="n"/>
      <c r="N2219" s="27" t="n"/>
      <c r="O2219" s="27" t="n"/>
      <c r="P2219" s="27" t="n"/>
      <c r="Q2219" s="27" t="n"/>
      <c r="R2219" s="27" t="n"/>
      <c r="S2219" s="27" t="n"/>
      <c r="T2219" s="27" t="n"/>
    </row>
    <row r="2220" ht="13.8" customFormat="1" customHeight="1" s="70">
      <c r="M2220" s="27" t="n"/>
      <c r="N2220" s="27" t="n"/>
      <c r="O2220" s="27" t="n"/>
      <c r="P2220" s="27" t="n"/>
      <c r="Q2220" s="27" t="n"/>
      <c r="R2220" s="27" t="n"/>
      <c r="S2220" s="27" t="n"/>
      <c r="T2220" s="27" t="n"/>
    </row>
    <row r="2221" ht="13.8" customFormat="1" customHeight="1" s="70">
      <c r="M2221" s="27" t="n"/>
      <c r="N2221" s="27" t="n"/>
      <c r="O2221" s="27" t="n"/>
      <c r="P2221" s="27" t="n"/>
      <c r="Q2221" s="27" t="n"/>
      <c r="R2221" s="27" t="n"/>
      <c r="S2221" s="27" t="n"/>
      <c r="T2221" s="27" t="n"/>
    </row>
    <row r="2222" ht="13.8" customFormat="1" customHeight="1" s="70">
      <c r="M2222" s="27" t="n"/>
      <c r="N2222" s="27" t="n"/>
      <c r="O2222" s="27" t="n"/>
      <c r="P2222" s="27" t="n"/>
      <c r="Q2222" s="27" t="n"/>
      <c r="R2222" s="27" t="n"/>
      <c r="S2222" s="27" t="n"/>
      <c r="T2222" s="27" t="n"/>
    </row>
    <row r="2223" ht="13.8" customFormat="1" customHeight="1" s="70">
      <c r="M2223" s="27" t="n"/>
      <c r="N2223" s="27" t="n"/>
      <c r="O2223" s="27" t="n"/>
      <c r="P2223" s="27" t="n"/>
      <c r="Q2223" s="27" t="n"/>
      <c r="R2223" s="27" t="n"/>
      <c r="S2223" s="27" t="n"/>
      <c r="T2223" s="27" t="n"/>
    </row>
    <row r="2224" ht="13.8" customFormat="1" customHeight="1" s="70">
      <c r="M2224" s="27" t="n"/>
      <c r="N2224" s="27" t="n"/>
      <c r="O2224" s="27" t="n"/>
      <c r="P2224" s="27" t="n"/>
      <c r="Q2224" s="27" t="n"/>
      <c r="R2224" s="27" t="n"/>
      <c r="S2224" s="27" t="n"/>
      <c r="T2224" s="27" t="n"/>
    </row>
    <row r="2225" ht="13.8" customFormat="1" customHeight="1" s="70">
      <c r="M2225" s="27" t="n"/>
      <c r="N2225" s="27" t="n"/>
      <c r="O2225" s="27" t="n"/>
      <c r="P2225" s="27" t="n"/>
      <c r="Q2225" s="27" t="n"/>
      <c r="R2225" s="27" t="n"/>
      <c r="S2225" s="27" t="n"/>
      <c r="T2225" s="27" t="n"/>
    </row>
    <row r="2226" ht="13.8" customFormat="1" customHeight="1" s="70">
      <c r="M2226" s="27" t="n"/>
      <c r="N2226" s="27" t="n"/>
      <c r="O2226" s="27" t="n"/>
      <c r="P2226" s="27" t="n"/>
      <c r="Q2226" s="27" t="n"/>
      <c r="R2226" s="27" t="n"/>
      <c r="S2226" s="27" t="n"/>
      <c r="T2226" s="27" t="n"/>
    </row>
    <row r="2227" ht="13.8" customFormat="1" customHeight="1" s="70">
      <c r="M2227" s="27" t="n"/>
      <c r="N2227" s="27" t="n"/>
      <c r="O2227" s="27" t="n"/>
      <c r="P2227" s="27" t="n"/>
      <c r="Q2227" s="27" t="n"/>
      <c r="R2227" s="27" t="n"/>
      <c r="S2227" s="27" t="n"/>
      <c r="T2227" s="27" t="n"/>
    </row>
    <row r="2228" ht="13.8" customFormat="1" customHeight="1" s="70">
      <c r="M2228" s="27" t="n"/>
      <c r="N2228" s="27" t="n"/>
      <c r="O2228" s="27" t="n"/>
      <c r="P2228" s="27" t="n"/>
      <c r="Q2228" s="27" t="n"/>
      <c r="R2228" s="27" t="n"/>
      <c r="S2228" s="27" t="n"/>
      <c r="T2228" s="27" t="n"/>
    </row>
    <row r="2229" ht="13.8" customFormat="1" customHeight="1" s="70">
      <c r="M2229" s="27" t="n"/>
      <c r="N2229" s="27" t="n"/>
      <c r="O2229" s="27" t="n"/>
      <c r="P2229" s="27" t="n"/>
      <c r="Q2229" s="27" t="n"/>
      <c r="R2229" s="27" t="n"/>
      <c r="S2229" s="27" t="n"/>
      <c r="T2229" s="27" t="n"/>
    </row>
    <row r="2230" ht="13.8" customFormat="1" customHeight="1" s="70">
      <c r="M2230" s="27" t="n"/>
      <c r="N2230" s="27" t="n"/>
      <c r="O2230" s="27" t="n"/>
      <c r="P2230" s="27" t="n"/>
      <c r="Q2230" s="27" t="n"/>
      <c r="R2230" s="27" t="n"/>
      <c r="S2230" s="27" t="n"/>
      <c r="T2230" s="27" t="n"/>
    </row>
    <row r="2231" ht="13.8" customFormat="1" customHeight="1" s="70">
      <c r="M2231" s="27" t="n"/>
      <c r="N2231" s="27" t="n"/>
      <c r="O2231" s="27" t="n"/>
      <c r="P2231" s="27" t="n"/>
      <c r="Q2231" s="27" t="n"/>
      <c r="R2231" s="27" t="n"/>
      <c r="S2231" s="27" t="n"/>
      <c r="T2231" s="27" t="n"/>
    </row>
    <row r="2232" ht="13.8" customFormat="1" customHeight="1" s="70">
      <c r="M2232" s="27" t="n"/>
      <c r="N2232" s="27" t="n"/>
      <c r="O2232" s="27" t="n"/>
      <c r="P2232" s="27" t="n"/>
      <c r="Q2232" s="27" t="n"/>
      <c r="R2232" s="27" t="n"/>
      <c r="S2232" s="27" t="n"/>
      <c r="T2232" s="27" t="n"/>
    </row>
    <row r="2233" ht="13.8" customFormat="1" customHeight="1" s="70">
      <c r="M2233" s="27" t="n"/>
      <c r="N2233" s="27" t="n"/>
      <c r="O2233" s="27" t="n"/>
      <c r="P2233" s="27" t="n"/>
      <c r="Q2233" s="27" t="n"/>
      <c r="R2233" s="27" t="n"/>
      <c r="S2233" s="27" t="n"/>
      <c r="T2233" s="27" t="n"/>
    </row>
    <row r="2234" ht="13.8" customFormat="1" customHeight="1" s="70">
      <c r="M2234" s="27" t="n"/>
      <c r="N2234" s="27" t="n"/>
      <c r="O2234" s="27" t="n"/>
      <c r="P2234" s="27" t="n"/>
      <c r="Q2234" s="27" t="n"/>
      <c r="R2234" s="27" t="n"/>
      <c r="S2234" s="27" t="n"/>
      <c r="T2234" s="27" t="n"/>
    </row>
    <row r="2235" ht="13.8" customFormat="1" customHeight="1" s="70">
      <c r="M2235" s="27" t="n"/>
      <c r="N2235" s="27" t="n"/>
      <c r="O2235" s="27" t="n"/>
      <c r="P2235" s="27" t="n"/>
      <c r="Q2235" s="27" t="n"/>
      <c r="R2235" s="27" t="n"/>
      <c r="S2235" s="27" t="n"/>
      <c r="T2235" s="27" t="n"/>
    </row>
    <row r="2236" ht="13.8" customFormat="1" customHeight="1" s="70">
      <c r="M2236" s="27" t="n"/>
      <c r="N2236" s="27" t="n"/>
      <c r="O2236" s="27" t="n"/>
      <c r="P2236" s="27" t="n"/>
      <c r="Q2236" s="27" t="n"/>
      <c r="R2236" s="27" t="n"/>
      <c r="S2236" s="27" t="n"/>
      <c r="T2236" s="27" t="n"/>
    </row>
    <row r="2237" ht="13.8" customFormat="1" customHeight="1" s="70">
      <c r="M2237" s="27" t="n"/>
      <c r="N2237" s="27" t="n"/>
      <c r="O2237" s="27" t="n"/>
      <c r="P2237" s="27" t="n"/>
      <c r="Q2237" s="27" t="n"/>
      <c r="R2237" s="27" t="n"/>
      <c r="S2237" s="27" t="n"/>
      <c r="T2237" s="27" t="n"/>
    </row>
    <row r="2238" ht="13.8" customFormat="1" customHeight="1" s="70">
      <c r="M2238" s="27" t="n"/>
      <c r="N2238" s="27" t="n"/>
      <c r="O2238" s="27" t="n"/>
      <c r="P2238" s="27" t="n"/>
      <c r="Q2238" s="27" t="n"/>
      <c r="R2238" s="27" t="n"/>
      <c r="S2238" s="27" t="n"/>
      <c r="T2238" s="27" t="n"/>
    </row>
    <row r="2239" ht="13.8" customFormat="1" customHeight="1" s="70">
      <c r="M2239" s="27" t="n"/>
      <c r="N2239" s="27" t="n"/>
      <c r="O2239" s="27" t="n"/>
      <c r="P2239" s="27" t="n"/>
      <c r="Q2239" s="27" t="n"/>
      <c r="R2239" s="27" t="n"/>
      <c r="S2239" s="27" t="n"/>
      <c r="T2239" s="27" t="n"/>
    </row>
    <row r="2240" ht="13.8" customFormat="1" customHeight="1" s="70">
      <c r="M2240" s="27" t="n"/>
      <c r="N2240" s="27" t="n"/>
      <c r="O2240" s="27" t="n"/>
      <c r="P2240" s="27" t="n"/>
      <c r="Q2240" s="27" t="n"/>
      <c r="R2240" s="27" t="n"/>
      <c r="S2240" s="27" t="n"/>
      <c r="T2240" s="27" t="n"/>
    </row>
    <row r="2241" ht="13.8" customFormat="1" customHeight="1" s="70">
      <c r="M2241" s="27" t="n"/>
      <c r="N2241" s="27" t="n"/>
      <c r="O2241" s="27" t="n"/>
      <c r="P2241" s="27" t="n"/>
      <c r="Q2241" s="27" t="n"/>
      <c r="R2241" s="27" t="n"/>
      <c r="S2241" s="27" t="n"/>
      <c r="T2241" s="27" t="n"/>
    </row>
    <row r="2242" ht="13.8" customFormat="1" customHeight="1" s="70">
      <c r="M2242" s="27" t="n"/>
      <c r="N2242" s="27" t="n"/>
      <c r="O2242" s="27" t="n"/>
      <c r="P2242" s="27" t="n"/>
      <c r="Q2242" s="27" t="n"/>
      <c r="R2242" s="27" t="n"/>
      <c r="S2242" s="27" t="n"/>
      <c r="T2242" s="27" t="n"/>
    </row>
    <row r="2243" ht="13.8" customFormat="1" customHeight="1" s="70">
      <c r="M2243" s="27" t="n"/>
      <c r="N2243" s="27" t="n"/>
      <c r="O2243" s="27" t="n"/>
      <c r="P2243" s="27" t="n"/>
      <c r="Q2243" s="27" t="n"/>
      <c r="R2243" s="27" t="n"/>
      <c r="S2243" s="27" t="n"/>
      <c r="T2243" s="27" t="n"/>
    </row>
    <row r="2244" ht="13.8" customFormat="1" customHeight="1" s="70">
      <c r="M2244" s="27" t="n"/>
      <c r="N2244" s="27" t="n"/>
      <c r="O2244" s="27" t="n"/>
      <c r="P2244" s="27" t="n"/>
      <c r="Q2244" s="27" t="n"/>
      <c r="R2244" s="27" t="n"/>
      <c r="S2244" s="27" t="n"/>
      <c r="T2244" s="27" t="n"/>
    </row>
    <row r="2245" ht="13.8" customFormat="1" customHeight="1" s="70">
      <c r="M2245" s="27" t="n"/>
      <c r="N2245" s="27" t="n"/>
      <c r="O2245" s="27" t="n"/>
      <c r="P2245" s="27" t="n"/>
      <c r="Q2245" s="27" t="n"/>
      <c r="R2245" s="27" t="n"/>
      <c r="S2245" s="27" t="n"/>
      <c r="T2245" s="27" t="n"/>
    </row>
    <row r="2246" ht="13.8" customFormat="1" customHeight="1" s="70">
      <c r="M2246" s="27" t="n"/>
      <c r="N2246" s="27" t="n"/>
      <c r="O2246" s="27" t="n"/>
      <c r="P2246" s="27" t="n"/>
      <c r="Q2246" s="27" t="n"/>
      <c r="R2246" s="27" t="n"/>
      <c r="S2246" s="27" t="n"/>
      <c r="T2246" s="27" t="n"/>
    </row>
    <row r="2247" ht="13.8" customFormat="1" customHeight="1" s="70">
      <c r="M2247" s="27" t="n"/>
      <c r="N2247" s="27" t="n"/>
      <c r="O2247" s="27" t="n"/>
      <c r="P2247" s="27" t="n"/>
      <c r="Q2247" s="27" t="n"/>
      <c r="R2247" s="27" t="n"/>
      <c r="S2247" s="27" t="n"/>
      <c r="T2247" s="27" t="n"/>
    </row>
    <row r="2248" ht="13.8" customFormat="1" customHeight="1" s="70">
      <c r="M2248" s="27" t="n"/>
      <c r="N2248" s="27" t="n"/>
      <c r="O2248" s="27" t="n"/>
      <c r="P2248" s="27" t="n"/>
      <c r="Q2248" s="27" t="n"/>
      <c r="R2248" s="27" t="n"/>
      <c r="S2248" s="27" t="n"/>
      <c r="T2248" s="27" t="n"/>
    </row>
    <row r="2249" ht="13.8" customFormat="1" customHeight="1" s="70">
      <c r="M2249" s="27" t="n"/>
      <c r="N2249" s="27" t="n"/>
      <c r="O2249" s="27" t="n"/>
      <c r="P2249" s="27" t="n"/>
      <c r="Q2249" s="27" t="n"/>
      <c r="R2249" s="27" t="n"/>
      <c r="S2249" s="27" t="n"/>
      <c r="T2249" s="27" t="n"/>
    </row>
    <row r="2250" ht="13.8" customFormat="1" customHeight="1" s="70">
      <c r="M2250" s="27" t="n"/>
      <c r="N2250" s="27" t="n"/>
      <c r="O2250" s="27" t="n"/>
      <c r="P2250" s="27" t="n"/>
      <c r="Q2250" s="27" t="n"/>
      <c r="R2250" s="27" t="n"/>
      <c r="S2250" s="27" t="n"/>
      <c r="T2250" s="27" t="n"/>
    </row>
    <row r="2251" ht="13.8" customFormat="1" customHeight="1" s="70">
      <c r="M2251" s="27" t="n"/>
      <c r="N2251" s="27" t="n"/>
      <c r="O2251" s="27" t="n"/>
      <c r="P2251" s="27" t="n"/>
      <c r="Q2251" s="27" t="n"/>
      <c r="R2251" s="27" t="n"/>
      <c r="S2251" s="27" t="n"/>
      <c r="T2251" s="27" t="n"/>
    </row>
    <row r="2252" ht="13.8" customFormat="1" customHeight="1" s="70">
      <c r="M2252" s="27" t="n"/>
      <c r="N2252" s="27" t="n"/>
      <c r="O2252" s="27" t="n"/>
      <c r="P2252" s="27" t="n"/>
      <c r="Q2252" s="27" t="n"/>
      <c r="R2252" s="27" t="n"/>
      <c r="S2252" s="27" t="n"/>
      <c r="T2252" s="27" t="n"/>
    </row>
    <row r="2253" ht="13.8" customFormat="1" customHeight="1" s="70">
      <c r="M2253" s="27" t="n"/>
      <c r="N2253" s="27" t="n"/>
      <c r="O2253" s="27" t="n"/>
      <c r="P2253" s="27" t="n"/>
      <c r="Q2253" s="27" t="n"/>
      <c r="R2253" s="27" t="n"/>
      <c r="S2253" s="27" t="n"/>
      <c r="T2253" s="27" t="n"/>
    </row>
    <row r="2254" ht="13.8" customFormat="1" customHeight="1" s="70">
      <c r="M2254" s="27" t="n"/>
      <c r="N2254" s="27" t="n"/>
      <c r="O2254" s="27" t="n"/>
      <c r="P2254" s="27" t="n"/>
      <c r="Q2254" s="27" t="n"/>
      <c r="R2254" s="27" t="n"/>
      <c r="S2254" s="27" t="n"/>
      <c r="T2254" s="27" t="n"/>
    </row>
    <row r="2255" ht="13.8" customFormat="1" customHeight="1" s="70">
      <c r="M2255" s="27" t="n"/>
      <c r="N2255" s="27" t="n"/>
      <c r="O2255" s="27" t="n"/>
      <c r="P2255" s="27" t="n"/>
      <c r="Q2255" s="27" t="n"/>
      <c r="R2255" s="27" t="n"/>
      <c r="S2255" s="27" t="n"/>
      <c r="T2255" s="27" t="n"/>
    </row>
    <row r="2256" ht="13.8" customFormat="1" customHeight="1" s="70">
      <c r="M2256" s="27" t="n"/>
      <c r="N2256" s="27" t="n"/>
      <c r="O2256" s="27" t="n"/>
      <c r="P2256" s="27" t="n"/>
      <c r="Q2256" s="27" t="n"/>
      <c r="R2256" s="27" t="n"/>
      <c r="S2256" s="27" t="n"/>
      <c r="T2256" s="27" t="n"/>
    </row>
    <row r="2257" ht="13.8" customFormat="1" customHeight="1" s="70">
      <c r="M2257" s="27" t="n"/>
      <c r="N2257" s="27" t="n"/>
      <c r="O2257" s="27" t="n"/>
      <c r="P2257" s="27" t="n"/>
      <c r="Q2257" s="27" t="n"/>
      <c r="R2257" s="27" t="n"/>
      <c r="S2257" s="27" t="n"/>
      <c r="T2257" s="27" t="n"/>
    </row>
    <row r="2258" ht="13.8" customFormat="1" customHeight="1" s="70">
      <c r="M2258" s="27" t="n"/>
      <c r="N2258" s="27" t="n"/>
      <c r="O2258" s="27" t="n"/>
      <c r="P2258" s="27" t="n"/>
      <c r="Q2258" s="27" t="n"/>
      <c r="R2258" s="27" t="n"/>
      <c r="S2258" s="27" t="n"/>
      <c r="T2258" s="27" t="n"/>
    </row>
    <row r="2259" ht="13.8" customFormat="1" customHeight="1" s="70">
      <c r="M2259" s="27" t="n"/>
      <c r="N2259" s="27" t="n"/>
      <c r="O2259" s="27" t="n"/>
      <c r="P2259" s="27" t="n"/>
      <c r="Q2259" s="27" t="n"/>
      <c r="R2259" s="27" t="n"/>
      <c r="S2259" s="27" t="n"/>
      <c r="T2259" s="27" t="n"/>
    </row>
    <row r="2260" ht="13.8" customFormat="1" customHeight="1" s="70">
      <c r="M2260" s="27" t="n"/>
      <c r="N2260" s="27" t="n"/>
      <c r="O2260" s="27" t="n"/>
      <c r="P2260" s="27" t="n"/>
      <c r="Q2260" s="27" t="n"/>
      <c r="R2260" s="27" t="n"/>
      <c r="S2260" s="27" t="n"/>
      <c r="T2260" s="27" t="n"/>
    </row>
    <row r="2261" ht="13.8" customFormat="1" customHeight="1" s="70">
      <c r="M2261" s="27" t="n"/>
      <c r="N2261" s="27" t="n"/>
      <c r="O2261" s="27" t="n"/>
      <c r="P2261" s="27" t="n"/>
      <c r="Q2261" s="27" t="n"/>
      <c r="R2261" s="27" t="n"/>
      <c r="S2261" s="27" t="n"/>
      <c r="T2261" s="27" t="n"/>
    </row>
    <row r="2262" ht="13.8" customFormat="1" customHeight="1" s="70">
      <c r="M2262" s="27" t="n"/>
      <c r="N2262" s="27" t="n"/>
      <c r="O2262" s="27" t="n"/>
      <c r="P2262" s="27" t="n"/>
      <c r="Q2262" s="27" t="n"/>
      <c r="R2262" s="27" t="n"/>
      <c r="S2262" s="27" t="n"/>
      <c r="T2262" s="27" t="n"/>
    </row>
    <row r="2263" ht="13.8" customFormat="1" customHeight="1" s="70">
      <c r="M2263" s="27" t="n"/>
      <c r="N2263" s="27" t="n"/>
      <c r="O2263" s="27" t="n"/>
      <c r="P2263" s="27" t="n"/>
      <c r="Q2263" s="27" t="n"/>
      <c r="R2263" s="27" t="n"/>
      <c r="S2263" s="27" t="n"/>
      <c r="T2263" s="27" t="n"/>
    </row>
    <row r="2264" ht="13.8" customFormat="1" customHeight="1" s="70">
      <c r="M2264" s="27" t="n"/>
      <c r="N2264" s="27" t="n"/>
      <c r="O2264" s="27" t="n"/>
      <c r="P2264" s="27" t="n"/>
      <c r="Q2264" s="27" t="n"/>
      <c r="R2264" s="27" t="n"/>
      <c r="S2264" s="27" t="n"/>
      <c r="T2264" s="27" t="n"/>
    </row>
    <row r="2265" ht="13.8" customFormat="1" customHeight="1" s="70">
      <c r="M2265" s="27" t="n"/>
      <c r="N2265" s="27" t="n"/>
      <c r="O2265" s="27" t="n"/>
      <c r="P2265" s="27" t="n"/>
      <c r="Q2265" s="27" t="n"/>
      <c r="R2265" s="27" t="n"/>
      <c r="S2265" s="27" t="n"/>
      <c r="T2265" s="27" t="n"/>
    </row>
    <row r="2266" ht="13.8" customFormat="1" customHeight="1" s="70">
      <c r="M2266" s="27" t="n"/>
      <c r="N2266" s="27" t="n"/>
      <c r="O2266" s="27" t="n"/>
      <c r="P2266" s="27" t="n"/>
      <c r="Q2266" s="27" t="n"/>
      <c r="R2266" s="27" t="n"/>
      <c r="S2266" s="27" t="n"/>
      <c r="T2266" s="27" t="n"/>
    </row>
    <row r="2267" ht="13.8" customFormat="1" customHeight="1" s="70">
      <c r="M2267" s="27" t="n"/>
      <c r="N2267" s="27" t="n"/>
      <c r="O2267" s="27" t="n"/>
      <c r="P2267" s="27" t="n"/>
      <c r="Q2267" s="27" t="n"/>
      <c r="R2267" s="27" t="n"/>
      <c r="S2267" s="27" t="n"/>
      <c r="T2267" s="27" t="n"/>
    </row>
    <row r="2268" ht="13.8" customFormat="1" customHeight="1" s="70">
      <c r="M2268" s="27" t="n"/>
      <c r="N2268" s="27" t="n"/>
      <c r="O2268" s="27" t="n"/>
      <c r="P2268" s="27" t="n"/>
      <c r="Q2268" s="27" t="n"/>
      <c r="R2268" s="27" t="n"/>
      <c r="S2268" s="27" t="n"/>
      <c r="T2268" s="27" t="n"/>
    </row>
    <row r="2269" ht="13.8" customFormat="1" customHeight="1" s="70">
      <c r="M2269" s="27" t="n"/>
      <c r="N2269" s="27" t="n"/>
      <c r="O2269" s="27" t="n"/>
      <c r="P2269" s="27" t="n"/>
      <c r="Q2269" s="27" t="n"/>
      <c r="R2269" s="27" t="n"/>
      <c r="S2269" s="27" t="n"/>
      <c r="T2269" s="27" t="n"/>
    </row>
    <row r="2270" ht="13.8" customFormat="1" customHeight="1" s="70">
      <c r="M2270" s="27" t="n"/>
      <c r="N2270" s="27" t="n"/>
      <c r="O2270" s="27" t="n"/>
      <c r="P2270" s="27" t="n"/>
      <c r="Q2270" s="27" t="n"/>
      <c r="R2270" s="27" t="n"/>
      <c r="S2270" s="27" t="n"/>
      <c r="T2270" s="27" t="n"/>
    </row>
    <row r="2271" ht="13.8" customFormat="1" customHeight="1" s="70">
      <c r="M2271" s="27" t="n"/>
      <c r="N2271" s="27" t="n"/>
      <c r="O2271" s="27" t="n"/>
      <c r="P2271" s="27" t="n"/>
      <c r="Q2271" s="27" t="n"/>
      <c r="R2271" s="27" t="n"/>
      <c r="S2271" s="27" t="n"/>
      <c r="T2271" s="27" t="n"/>
    </row>
    <row r="2272" ht="13.8" customFormat="1" customHeight="1" s="70">
      <c r="M2272" s="27" t="n"/>
      <c r="N2272" s="27" t="n"/>
      <c r="O2272" s="27" t="n"/>
      <c r="P2272" s="27" t="n"/>
      <c r="Q2272" s="27" t="n"/>
      <c r="R2272" s="27" t="n"/>
      <c r="S2272" s="27" t="n"/>
      <c r="T2272" s="27" t="n"/>
    </row>
    <row r="2273" ht="13.8" customFormat="1" customHeight="1" s="70">
      <c r="M2273" s="27" t="n"/>
      <c r="N2273" s="27" t="n"/>
      <c r="O2273" s="27" t="n"/>
      <c r="P2273" s="27" t="n"/>
      <c r="Q2273" s="27" t="n"/>
      <c r="R2273" s="27" t="n"/>
      <c r="S2273" s="27" t="n"/>
      <c r="T2273" s="27" t="n"/>
    </row>
    <row r="2274" ht="13.8" customFormat="1" customHeight="1" s="70">
      <c r="M2274" s="27" t="n"/>
      <c r="N2274" s="27" t="n"/>
      <c r="O2274" s="27" t="n"/>
      <c r="P2274" s="27" t="n"/>
      <c r="Q2274" s="27" t="n"/>
      <c r="R2274" s="27" t="n"/>
      <c r="S2274" s="27" t="n"/>
      <c r="T2274" s="27" t="n"/>
    </row>
    <row r="2275" ht="13.8" customFormat="1" customHeight="1" s="70">
      <c r="M2275" s="27" t="n"/>
      <c r="N2275" s="27" t="n"/>
      <c r="O2275" s="27" t="n"/>
      <c r="P2275" s="27" t="n"/>
      <c r="Q2275" s="27" t="n"/>
      <c r="R2275" s="27" t="n"/>
      <c r="S2275" s="27" t="n"/>
      <c r="T2275" s="27" t="n"/>
    </row>
    <row r="2276" ht="13.8" customFormat="1" customHeight="1" s="70">
      <c r="M2276" s="27" t="n"/>
      <c r="N2276" s="27" t="n"/>
      <c r="O2276" s="27" t="n"/>
      <c r="P2276" s="27" t="n"/>
      <c r="Q2276" s="27" t="n"/>
      <c r="R2276" s="27" t="n"/>
      <c r="S2276" s="27" t="n"/>
      <c r="T2276" s="27" t="n"/>
    </row>
    <row r="2277" ht="13.8" customFormat="1" customHeight="1" s="70">
      <c r="M2277" s="27" t="n"/>
      <c r="N2277" s="27" t="n"/>
      <c r="O2277" s="27" t="n"/>
      <c r="P2277" s="27" t="n"/>
      <c r="Q2277" s="27" t="n"/>
      <c r="R2277" s="27" t="n"/>
      <c r="S2277" s="27" t="n"/>
      <c r="T2277" s="27" t="n"/>
    </row>
    <row r="2278" ht="13.8" customFormat="1" customHeight="1" s="70">
      <c r="M2278" s="27" t="n"/>
      <c r="N2278" s="27" t="n"/>
      <c r="O2278" s="27" t="n"/>
      <c r="P2278" s="27" t="n"/>
      <c r="Q2278" s="27" t="n"/>
      <c r="R2278" s="27" t="n"/>
      <c r="S2278" s="27" t="n"/>
      <c r="T2278" s="27" t="n"/>
    </row>
    <row r="2279" ht="13.8" customFormat="1" customHeight="1" s="70">
      <c r="M2279" s="27" t="n"/>
      <c r="N2279" s="27" t="n"/>
      <c r="O2279" s="27" t="n"/>
      <c r="P2279" s="27" t="n"/>
      <c r="Q2279" s="27" t="n"/>
      <c r="R2279" s="27" t="n"/>
      <c r="S2279" s="27" t="n"/>
      <c r="T2279" s="27" t="n"/>
    </row>
    <row r="2280" ht="13.8" customFormat="1" customHeight="1" s="70">
      <c r="M2280" s="27" t="n"/>
      <c r="N2280" s="27" t="n"/>
      <c r="O2280" s="27" t="n"/>
      <c r="P2280" s="27" t="n"/>
      <c r="Q2280" s="27" t="n"/>
      <c r="R2280" s="27" t="n"/>
      <c r="S2280" s="27" t="n"/>
      <c r="T2280" s="27" t="n"/>
    </row>
    <row r="2281" ht="13.8" customFormat="1" customHeight="1" s="70">
      <c r="M2281" s="27" t="n"/>
      <c r="N2281" s="27" t="n"/>
      <c r="O2281" s="27" t="n"/>
      <c r="P2281" s="27" t="n"/>
      <c r="Q2281" s="27" t="n"/>
      <c r="R2281" s="27" t="n"/>
      <c r="S2281" s="27" t="n"/>
      <c r="T2281" s="27" t="n"/>
    </row>
    <row r="2282" ht="13.8" customFormat="1" customHeight="1" s="70">
      <c r="M2282" s="27" t="n"/>
      <c r="N2282" s="27" t="n"/>
      <c r="O2282" s="27" t="n"/>
      <c r="P2282" s="27" t="n"/>
      <c r="Q2282" s="27" t="n"/>
      <c r="R2282" s="27" t="n"/>
      <c r="S2282" s="27" t="n"/>
      <c r="T2282" s="27" t="n"/>
    </row>
    <row r="2283" ht="13.8" customFormat="1" customHeight="1" s="70">
      <c r="M2283" s="27" t="n"/>
      <c r="N2283" s="27" t="n"/>
      <c r="O2283" s="27" t="n"/>
      <c r="P2283" s="27" t="n"/>
      <c r="Q2283" s="27" t="n"/>
      <c r="R2283" s="27" t="n"/>
      <c r="S2283" s="27" t="n"/>
      <c r="T2283" s="27" t="n"/>
    </row>
    <row r="2284" ht="13.8" customFormat="1" customHeight="1" s="70">
      <c r="M2284" s="27" t="n"/>
      <c r="N2284" s="27" t="n"/>
      <c r="O2284" s="27" t="n"/>
      <c r="P2284" s="27" t="n"/>
      <c r="Q2284" s="27" t="n"/>
      <c r="R2284" s="27" t="n"/>
      <c r="S2284" s="27" t="n"/>
      <c r="T2284" s="27" t="n"/>
    </row>
    <row r="2285" ht="13.8" customFormat="1" customHeight="1" s="70">
      <c r="M2285" s="27" t="n"/>
      <c r="N2285" s="27" t="n"/>
      <c r="O2285" s="27" t="n"/>
      <c r="P2285" s="27" t="n"/>
      <c r="Q2285" s="27" t="n"/>
      <c r="R2285" s="27" t="n"/>
      <c r="S2285" s="27" t="n"/>
      <c r="T2285" s="27" t="n"/>
    </row>
    <row r="2286" ht="13.8" customFormat="1" customHeight="1" s="70">
      <c r="M2286" s="27" t="n"/>
      <c r="N2286" s="27" t="n"/>
      <c r="O2286" s="27" t="n"/>
      <c r="P2286" s="27" t="n"/>
      <c r="Q2286" s="27" t="n"/>
      <c r="R2286" s="27" t="n"/>
      <c r="S2286" s="27" t="n"/>
      <c r="T2286" s="27" t="n"/>
    </row>
    <row r="2287" ht="13.8" customFormat="1" customHeight="1" s="70">
      <c r="M2287" s="27" t="n"/>
      <c r="N2287" s="27" t="n"/>
      <c r="O2287" s="27" t="n"/>
      <c r="P2287" s="27" t="n"/>
      <c r="Q2287" s="27" t="n"/>
      <c r="R2287" s="27" t="n"/>
      <c r="S2287" s="27" t="n"/>
      <c r="T2287" s="27" t="n"/>
    </row>
    <row r="2288" ht="13.8" customFormat="1" customHeight="1" s="70">
      <c r="M2288" s="27" t="n"/>
      <c r="N2288" s="27" t="n"/>
      <c r="O2288" s="27" t="n"/>
      <c r="P2288" s="27" t="n"/>
      <c r="Q2288" s="27" t="n"/>
      <c r="R2288" s="27" t="n"/>
      <c r="S2288" s="27" t="n"/>
      <c r="T2288" s="27" t="n"/>
    </row>
    <row r="2289" ht="13.8" customFormat="1" customHeight="1" s="70">
      <c r="M2289" s="27" t="n"/>
      <c r="N2289" s="27" t="n"/>
      <c r="O2289" s="27" t="n"/>
      <c r="P2289" s="27" t="n"/>
      <c r="Q2289" s="27" t="n"/>
      <c r="R2289" s="27" t="n"/>
      <c r="S2289" s="27" t="n"/>
      <c r="T2289" s="27" t="n"/>
    </row>
    <row r="2290" ht="13.8" customFormat="1" customHeight="1" s="70">
      <c r="M2290" s="27" t="n"/>
      <c r="N2290" s="27" t="n"/>
      <c r="O2290" s="27" t="n"/>
      <c r="P2290" s="27" t="n"/>
      <c r="Q2290" s="27" t="n"/>
      <c r="R2290" s="27" t="n"/>
      <c r="S2290" s="27" t="n"/>
      <c r="T2290" s="27" t="n"/>
    </row>
    <row r="2291" ht="13.8" customFormat="1" customHeight="1" s="70">
      <c r="M2291" s="27" t="n"/>
      <c r="N2291" s="27" t="n"/>
      <c r="O2291" s="27" t="n"/>
      <c r="P2291" s="27" t="n"/>
      <c r="Q2291" s="27" t="n"/>
      <c r="R2291" s="27" t="n"/>
      <c r="S2291" s="27" t="n"/>
      <c r="T2291" s="27" t="n"/>
    </row>
    <row r="2292" ht="13.8" customFormat="1" customHeight="1" s="70">
      <c r="M2292" s="27" t="n"/>
      <c r="N2292" s="27" t="n"/>
      <c r="O2292" s="27" t="n"/>
      <c r="P2292" s="27" t="n"/>
      <c r="Q2292" s="27" t="n"/>
      <c r="R2292" s="27" t="n"/>
      <c r="S2292" s="27" t="n"/>
      <c r="T2292" s="27" t="n"/>
    </row>
    <row r="2293" ht="13.8" customFormat="1" customHeight="1" s="70">
      <c r="M2293" s="27" t="n"/>
      <c r="N2293" s="27" t="n"/>
      <c r="O2293" s="27" t="n"/>
      <c r="P2293" s="27" t="n"/>
      <c r="Q2293" s="27" t="n"/>
      <c r="R2293" s="27" t="n"/>
      <c r="S2293" s="27" t="n"/>
      <c r="T2293" s="27" t="n"/>
    </row>
    <row r="2294" ht="13.8" customFormat="1" customHeight="1" s="70">
      <c r="M2294" s="27" t="n"/>
      <c r="N2294" s="27" t="n"/>
      <c r="O2294" s="27" t="n"/>
      <c r="P2294" s="27" t="n"/>
      <c r="Q2294" s="27" t="n"/>
      <c r="R2294" s="27" t="n"/>
      <c r="S2294" s="27" t="n"/>
      <c r="T2294" s="27" t="n"/>
    </row>
    <row r="2295" ht="13.8" customFormat="1" customHeight="1" s="70">
      <c r="M2295" s="27" t="n"/>
      <c r="N2295" s="27" t="n"/>
      <c r="O2295" s="27" t="n"/>
      <c r="P2295" s="27" t="n"/>
      <c r="Q2295" s="27" t="n"/>
      <c r="R2295" s="27" t="n"/>
      <c r="S2295" s="27" t="n"/>
      <c r="T2295" s="27" t="n"/>
    </row>
    <row r="2296" ht="13.8" customFormat="1" customHeight="1" s="70">
      <c r="M2296" s="27" t="n"/>
      <c r="N2296" s="27" t="n"/>
      <c r="O2296" s="27" t="n"/>
      <c r="P2296" s="27" t="n"/>
      <c r="Q2296" s="27" t="n"/>
      <c r="R2296" s="27" t="n"/>
      <c r="S2296" s="27" t="n"/>
      <c r="T2296" s="27" t="n"/>
    </row>
    <row r="2297" ht="13.8" customFormat="1" customHeight="1" s="70">
      <c r="M2297" s="27" t="n"/>
      <c r="N2297" s="27" t="n"/>
      <c r="O2297" s="27" t="n"/>
      <c r="P2297" s="27" t="n"/>
      <c r="Q2297" s="27" t="n"/>
      <c r="R2297" s="27" t="n"/>
      <c r="S2297" s="27" t="n"/>
      <c r="T2297" s="27" t="n"/>
    </row>
    <row r="2298" ht="13.8" customFormat="1" customHeight="1" s="70">
      <c r="M2298" s="27" t="n"/>
      <c r="N2298" s="27" t="n"/>
      <c r="O2298" s="27" t="n"/>
      <c r="P2298" s="27" t="n"/>
      <c r="Q2298" s="27" t="n"/>
      <c r="R2298" s="27" t="n"/>
      <c r="S2298" s="27" t="n"/>
      <c r="T2298" s="27" t="n"/>
    </row>
    <row r="2299" ht="13.8" customFormat="1" customHeight="1" s="70">
      <c r="M2299" s="27" t="n"/>
      <c r="N2299" s="27" t="n"/>
      <c r="O2299" s="27" t="n"/>
      <c r="P2299" s="27" t="n"/>
      <c r="Q2299" s="27" t="n"/>
      <c r="R2299" s="27" t="n"/>
      <c r="S2299" s="27" t="n"/>
      <c r="T2299" s="27" t="n"/>
    </row>
    <row r="2300" ht="13.8" customFormat="1" customHeight="1" s="70">
      <c r="M2300" s="27" t="n"/>
      <c r="N2300" s="27" t="n"/>
      <c r="O2300" s="27" t="n"/>
      <c r="P2300" s="27" t="n"/>
      <c r="Q2300" s="27" t="n"/>
      <c r="R2300" s="27" t="n"/>
      <c r="S2300" s="27" t="n"/>
      <c r="T2300" s="27" t="n"/>
    </row>
    <row r="2301" ht="13.8" customFormat="1" customHeight="1" s="70">
      <c r="M2301" s="27" t="n"/>
      <c r="N2301" s="27" t="n"/>
      <c r="O2301" s="27" t="n"/>
      <c r="P2301" s="27" t="n"/>
      <c r="Q2301" s="27" t="n"/>
      <c r="R2301" s="27" t="n"/>
      <c r="S2301" s="27" t="n"/>
      <c r="T2301" s="27" t="n"/>
    </row>
    <row r="2302" ht="13.8" customFormat="1" customHeight="1" s="70">
      <c r="M2302" s="27" t="n"/>
      <c r="N2302" s="27" t="n"/>
      <c r="O2302" s="27" t="n"/>
      <c r="P2302" s="27" t="n"/>
      <c r="Q2302" s="27" t="n"/>
      <c r="R2302" s="27" t="n"/>
      <c r="S2302" s="27" t="n"/>
      <c r="T2302" s="27" t="n"/>
    </row>
    <row r="2303" ht="13.8" customFormat="1" customHeight="1" s="70">
      <c r="M2303" s="27" t="n"/>
      <c r="N2303" s="27" t="n"/>
      <c r="O2303" s="27" t="n"/>
      <c r="P2303" s="27" t="n"/>
      <c r="Q2303" s="27" t="n"/>
      <c r="R2303" s="27" t="n"/>
      <c r="S2303" s="27" t="n"/>
      <c r="T2303" s="27" t="n"/>
    </row>
    <row r="2304" ht="13.8" customFormat="1" customHeight="1" s="70">
      <c r="M2304" s="27" t="n"/>
      <c r="N2304" s="27" t="n"/>
      <c r="O2304" s="27" t="n"/>
      <c r="P2304" s="27" t="n"/>
      <c r="Q2304" s="27" t="n"/>
      <c r="R2304" s="27" t="n"/>
      <c r="S2304" s="27" t="n"/>
      <c r="T2304" s="27" t="n"/>
    </row>
    <row r="2305" ht="13.8" customFormat="1" customHeight="1" s="70">
      <c r="M2305" s="27" t="n"/>
      <c r="N2305" s="27" t="n"/>
      <c r="O2305" s="27" t="n"/>
      <c r="P2305" s="27" t="n"/>
      <c r="Q2305" s="27" t="n"/>
      <c r="R2305" s="27" t="n"/>
      <c r="S2305" s="27" t="n"/>
      <c r="T2305" s="27" t="n"/>
    </row>
    <row r="2306" ht="13.8" customFormat="1" customHeight="1" s="70">
      <c r="M2306" s="27" t="n"/>
      <c r="N2306" s="27" t="n"/>
      <c r="O2306" s="27" t="n"/>
      <c r="P2306" s="27" t="n"/>
      <c r="Q2306" s="27" t="n"/>
      <c r="R2306" s="27" t="n"/>
      <c r="S2306" s="27" t="n"/>
      <c r="T2306" s="27" t="n"/>
    </row>
    <row r="2307" ht="13.8" customFormat="1" customHeight="1" s="70">
      <c r="M2307" s="27" t="n"/>
      <c r="N2307" s="27" t="n"/>
      <c r="O2307" s="27" t="n"/>
      <c r="P2307" s="27" t="n"/>
      <c r="Q2307" s="27" t="n"/>
      <c r="R2307" s="27" t="n"/>
      <c r="S2307" s="27" t="n"/>
      <c r="T2307" s="27" t="n"/>
    </row>
    <row r="2308" ht="13.8" customFormat="1" customHeight="1" s="70">
      <c r="M2308" s="27" t="n"/>
      <c r="N2308" s="27" t="n"/>
      <c r="O2308" s="27" t="n"/>
      <c r="P2308" s="27" t="n"/>
      <c r="Q2308" s="27" t="n"/>
      <c r="R2308" s="27" t="n"/>
      <c r="S2308" s="27" t="n"/>
      <c r="T2308" s="27" t="n"/>
    </row>
    <row r="2309" ht="13.8" customFormat="1" customHeight="1" s="70">
      <c r="M2309" s="27" t="n"/>
      <c r="N2309" s="27" t="n"/>
      <c r="O2309" s="27" t="n"/>
      <c r="P2309" s="27" t="n"/>
      <c r="Q2309" s="27" t="n"/>
      <c r="R2309" s="27" t="n"/>
      <c r="S2309" s="27" t="n"/>
      <c r="T2309" s="27" t="n"/>
    </row>
    <row r="2310" ht="13.8" customFormat="1" customHeight="1" s="70">
      <c r="M2310" s="27" t="n"/>
      <c r="N2310" s="27" t="n"/>
      <c r="O2310" s="27" t="n"/>
      <c r="P2310" s="27" t="n"/>
      <c r="Q2310" s="27" t="n"/>
      <c r="R2310" s="27" t="n"/>
      <c r="S2310" s="27" t="n"/>
      <c r="T2310" s="27" t="n"/>
    </row>
    <row r="2311" ht="13.8" customFormat="1" customHeight="1" s="70">
      <c r="M2311" s="27" t="n"/>
      <c r="N2311" s="27" t="n"/>
      <c r="O2311" s="27" t="n"/>
      <c r="P2311" s="27" t="n"/>
      <c r="Q2311" s="27" t="n"/>
      <c r="R2311" s="27" t="n"/>
      <c r="S2311" s="27" t="n"/>
      <c r="T2311" s="27" t="n"/>
    </row>
    <row r="2312" ht="13.8" customFormat="1" customHeight="1" s="70">
      <c r="M2312" s="27" t="n"/>
      <c r="N2312" s="27" t="n"/>
      <c r="O2312" s="27" t="n"/>
      <c r="P2312" s="27" t="n"/>
      <c r="Q2312" s="27" t="n"/>
      <c r="R2312" s="27" t="n"/>
      <c r="S2312" s="27" t="n"/>
      <c r="T2312" s="27" t="n"/>
    </row>
    <row r="2313" ht="13.8" customFormat="1" customHeight="1" s="70">
      <c r="M2313" s="27" t="n"/>
      <c r="N2313" s="27" t="n"/>
      <c r="O2313" s="27" t="n"/>
      <c r="P2313" s="27" t="n"/>
      <c r="Q2313" s="27" t="n"/>
      <c r="R2313" s="27" t="n"/>
      <c r="S2313" s="27" t="n"/>
      <c r="T2313" s="27" t="n"/>
    </row>
    <row r="2314" ht="13.8" customFormat="1" customHeight="1" s="70">
      <c r="M2314" s="27" t="n"/>
      <c r="N2314" s="27" t="n"/>
      <c r="O2314" s="27" t="n"/>
      <c r="P2314" s="27" t="n"/>
      <c r="Q2314" s="27" t="n"/>
      <c r="R2314" s="27" t="n"/>
      <c r="S2314" s="27" t="n"/>
      <c r="T2314" s="27" t="n"/>
    </row>
    <row r="2315" ht="13.8" customFormat="1" customHeight="1" s="70">
      <c r="M2315" s="27" t="n"/>
      <c r="N2315" s="27" t="n"/>
      <c r="O2315" s="27" t="n"/>
      <c r="P2315" s="27" t="n"/>
      <c r="Q2315" s="27" t="n"/>
      <c r="R2315" s="27" t="n"/>
      <c r="S2315" s="27" t="n"/>
      <c r="T2315" s="27" t="n"/>
    </row>
    <row r="2316" ht="13.8" customFormat="1" customHeight="1" s="70">
      <c r="M2316" s="27" t="n"/>
      <c r="N2316" s="27" t="n"/>
      <c r="O2316" s="27" t="n"/>
      <c r="P2316" s="27" t="n"/>
      <c r="Q2316" s="27" t="n"/>
      <c r="R2316" s="27" t="n"/>
      <c r="S2316" s="27" t="n"/>
      <c r="T2316" s="27" t="n"/>
    </row>
    <row r="2317" ht="13.8" customFormat="1" customHeight="1" s="70">
      <c r="M2317" s="27" t="n"/>
      <c r="N2317" s="27" t="n"/>
      <c r="O2317" s="27" t="n"/>
      <c r="P2317" s="27" t="n"/>
      <c r="Q2317" s="27" t="n"/>
      <c r="R2317" s="27" t="n"/>
      <c r="S2317" s="27" t="n"/>
      <c r="T2317" s="27" t="n"/>
    </row>
    <row r="2318" ht="13.8" customFormat="1" customHeight="1" s="70">
      <c r="M2318" s="27" t="n"/>
      <c r="N2318" s="27" t="n"/>
      <c r="O2318" s="27" t="n"/>
      <c r="P2318" s="27" t="n"/>
      <c r="Q2318" s="27" t="n"/>
      <c r="R2318" s="27" t="n"/>
      <c r="S2318" s="27" t="n"/>
      <c r="T2318" s="27" t="n"/>
    </row>
    <row r="2319" ht="13.8" customFormat="1" customHeight="1" s="70">
      <c r="M2319" s="27" t="n"/>
      <c r="N2319" s="27" t="n"/>
      <c r="O2319" s="27" t="n"/>
      <c r="P2319" s="27" t="n"/>
      <c r="Q2319" s="27" t="n"/>
      <c r="R2319" s="27" t="n"/>
      <c r="S2319" s="27" t="n"/>
      <c r="T2319" s="27" t="n"/>
    </row>
    <row r="2320" ht="13.8" customFormat="1" customHeight="1" s="70">
      <c r="M2320" s="27" t="n"/>
      <c r="N2320" s="27" t="n"/>
      <c r="O2320" s="27" t="n"/>
      <c r="P2320" s="27" t="n"/>
      <c r="Q2320" s="27" t="n"/>
      <c r="R2320" s="27" t="n"/>
      <c r="S2320" s="27" t="n"/>
      <c r="T2320" s="27" t="n"/>
    </row>
    <row r="2321" ht="13.8" customFormat="1" customHeight="1" s="70">
      <c r="M2321" s="27" t="n"/>
      <c r="N2321" s="27" t="n"/>
      <c r="O2321" s="27" t="n"/>
      <c r="P2321" s="27" t="n"/>
      <c r="Q2321" s="27" t="n"/>
      <c r="R2321" s="27" t="n"/>
      <c r="S2321" s="27" t="n"/>
      <c r="T2321" s="27" t="n"/>
    </row>
    <row r="2322" ht="13.8" customFormat="1" customHeight="1" s="70">
      <c r="M2322" s="27" t="n"/>
      <c r="N2322" s="27" t="n"/>
      <c r="O2322" s="27" t="n"/>
      <c r="P2322" s="27" t="n"/>
      <c r="Q2322" s="27" t="n"/>
      <c r="R2322" s="27" t="n"/>
      <c r="S2322" s="27" t="n"/>
      <c r="T2322" s="27" t="n"/>
    </row>
    <row r="2323" ht="13.8" customFormat="1" customHeight="1" s="70">
      <c r="M2323" s="27" t="n"/>
      <c r="N2323" s="27" t="n"/>
      <c r="O2323" s="27" t="n"/>
      <c r="P2323" s="27" t="n"/>
      <c r="Q2323" s="27" t="n"/>
      <c r="R2323" s="27" t="n"/>
      <c r="S2323" s="27" t="n"/>
      <c r="T2323" s="27" t="n"/>
    </row>
    <row r="2324" ht="13.8" customFormat="1" customHeight="1" s="70">
      <c r="M2324" s="27" t="n"/>
      <c r="N2324" s="27" t="n"/>
      <c r="O2324" s="27" t="n"/>
      <c r="P2324" s="27" t="n"/>
      <c r="Q2324" s="27" t="n"/>
      <c r="R2324" s="27" t="n"/>
      <c r="S2324" s="27" t="n"/>
      <c r="T2324" s="27" t="n"/>
    </row>
    <row r="2325" ht="13.8" customFormat="1" customHeight="1" s="70">
      <c r="M2325" s="27" t="n"/>
      <c r="N2325" s="27" t="n"/>
      <c r="O2325" s="27" t="n"/>
      <c r="P2325" s="27" t="n"/>
      <c r="Q2325" s="27" t="n"/>
      <c r="R2325" s="27" t="n"/>
      <c r="S2325" s="27" t="n"/>
      <c r="T2325" s="27" t="n"/>
    </row>
    <row r="2326" ht="13.8" customFormat="1" customHeight="1" s="70">
      <c r="M2326" s="27" t="n"/>
      <c r="N2326" s="27" t="n"/>
      <c r="O2326" s="27" t="n"/>
      <c r="P2326" s="27" t="n"/>
      <c r="Q2326" s="27" t="n"/>
      <c r="R2326" s="27" t="n"/>
      <c r="S2326" s="27" t="n"/>
      <c r="T2326" s="27" t="n"/>
    </row>
    <row r="2327" ht="13.8" customFormat="1" customHeight="1" s="70">
      <c r="M2327" s="27" t="n"/>
      <c r="N2327" s="27" t="n"/>
      <c r="O2327" s="27" t="n"/>
      <c r="P2327" s="27" t="n"/>
      <c r="Q2327" s="27" t="n"/>
      <c r="R2327" s="27" t="n"/>
      <c r="S2327" s="27" t="n"/>
      <c r="T2327" s="27" t="n"/>
    </row>
    <row r="2328" ht="13.8" customFormat="1" customHeight="1" s="70">
      <c r="M2328" s="27" t="n"/>
      <c r="N2328" s="27" t="n"/>
      <c r="O2328" s="27" t="n"/>
      <c r="P2328" s="27" t="n"/>
      <c r="Q2328" s="27" t="n"/>
      <c r="R2328" s="27" t="n"/>
      <c r="S2328" s="27" t="n"/>
      <c r="T2328" s="27" t="n"/>
    </row>
    <row r="2329" ht="13.8" customFormat="1" customHeight="1" s="70">
      <c r="M2329" s="27" t="n"/>
      <c r="N2329" s="27" t="n"/>
      <c r="O2329" s="27" t="n"/>
      <c r="P2329" s="27" t="n"/>
      <c r="Q2329" s="27" t="n"/>
      <c r="R2329" s="27" t="n"/>
      <c r="S2329" s="27" t="n"/>
      <c r="T2329" s="27" t="n"/>
    </row>
    <row r="2330" ht="13.8" customFormat="1" customHeight="1" s="70">
      <c r="M2330" s="27" t="n"/>
      <c r="N2330" s="27" t="n"/>
      <c r="O2330" s="27" t="n"/>
      <c r="P2330" s="27" t="n"/>
      <c r="Q2330" s="27" t="n"/>
      <c r="R2330" s="27" t="n"/>
      <c r="S2330" s="27" t="n"/>
      <c r="T2330" s="27" t="n"/>
    </row>
    <row r="2331" ht="13.8" customFormat="1" customHeight="1" s="70">
      <c r="M2331" s="27" t="n"/>
      <c r="N2331" s="27" t="n"/>
      <c r="O2331" s="27" t="n"/>
      <c r="P2331" s="27" t="n"/>
      <c r="Q2331" s="27" t="n"/>
      <c r="R2331" s="27" t="n"/>
      <c r="S2331" s="27" t="n"/>
      <c r="T2331" s="27" t="n"/>
    </row>
    <row r="2332" ht="13.8" customFormat="1" customHeight="1" s="70">
      <c r="M2332" s="27" t="n"/>
      <c r="N2332" s="27" t="n"/>
      <c r="O2332" s="27" t="n"/>
      <c r="P2332" s="27" t="n"/>
      <c r="Q2332" s="27" t="n"/>
      <c r="R2332" s="27" t="n"/>
      <c r="S2332" s="27" t="n"/>
      <c r="T2332" s="27" t="n"/>
    </row>
    <row r="2333" ht="13.8" customFormat="1" customHeight="1" s="70">
      <c r="M2333" s="27" t="n"/>
      <c r="N2333" s="27" t="n"/>
      <c r="O2333" s="27" t="n"/>
      <c r="P2333" s="27" t="n"/>
      <c r="Q2333" s="27" t="n"/>
      <c r="R2333" s="27" t="n"/>
      <c r="S2333" s="27" t="n"/>
      <c r="T2333" s="27" t="n"/>
    </row>
    <row r="2334" ht="13.8" customFormat="1" customHeight="1" s="70">
      <c r="M2334" s="27" t="n"/>
      <c r="N2334" s="27" t="n"/>
      <c r="O2334" s="27" t="n"/>
      <c r="P2334" s="27" t="n"/>
      <c r="Q2334" s="27" t="n"/>
      <c r="R2334" s="27" t="n"/>
      <c r="S2334" s="27" t="n"/>
      <c r="T2334" s="27" t="n"/>
    </row>
    <row r="2335" ht="13.8" customFormat="1" customHeight="1" s="70">
      <c r="M2335" s="27" t="n"/>
      <c r="N2335" s="27" t="n"/>
      <c r="O2335" s="27" t="n"/>
      <c r="P2335" s="27" t="n"/>
      <c r="Q2335" s="27" t="n"/>
      <c r="R2335" s="27" t="n"/>
      <c r="S2335" s="27" t="n"/>
      <c r="T2335" s="27" t="n"/>
    </row>
    <row r="2336" ht="13.8" customFormat="1" customHeight="1" s="70">
      <c r="M2336" s="27" t="n"/>
      <c r="N2336" s="27" t="n"/>
      <c r="O2336" s="27" t="n"/>
      <c r="P2336" s="27" t="n"/>
      <c r="Q2336" s="27" t="n"/>
      <c r="R2336" s="27" t="n"/>
      <c r="S2336" s="27" t="n"/>
      <c r="T2336" s="27" t="n"/>
    </row>
    <row r="2337" ht="13.8" customFormat="1" customHeight="1" s="70">
      <c r="M2337" s="27" t="n"/>
      <c r="N2337" s="27" t="n"/>
      <c r="O2337" s="27" t="n"/>
      <c r="P2337" s="27" t="n"/>
      <c r="Q2337" s="27" t="n"/>
      <c r="R2337" s="27" t="n"/>
      <c r="S2337" s="27" t="n"/>
      <c r="T2337" s="27" t="n"/>
    </row>
    <row r="2338" ht="13.8" customFormat="1" customHeight="1" s="70">
      <c r="M2338" s="27" t="n"/>
      <c r="N2338" s="27" t="n"/>
      <c r="O2338" s="27" t="n"/>
      <c r="P2338" s="27" t="n"/>
      <c r="Q2338" s="27" t="n"/>
      <c r="R2338" s="27" t="n"/>
      <c r="S2338" s="27" t="n"/>
      <c r="T2338" s="27" t="n"/>
    </row>
    <row r="2339" ht="13.8" customFormat="1" customHeight="1" s="70">
      <c r="M2339" s="27" t="n"/>
      <c r="N2339" s="27" t="n"/>
      <c r="O2339" s="27" t="n"/>
      <c r="P2339" s="27" t="n"/>
      <c r="Q2339" s="27" t="n"/>
      <c r="R2339" s="27" t="n"/>
      <c r="S2339" s="27" t="n"/>
      <c r="T2339" s="27" t="n"/>
    </row>
    <row r="2340" ht="13.8" customFormat="1" customHeight="1" s="70">
      <c r="M2340" s="27" t="n"/>
      <c r="N2340" s="27" t="n"/>
      <c r="O2340" s="27" t="n"/>
      <c r="P2340" s="27" t="n"/>
      <c r="Q2340" s="27" t="n"/>
      <c r="R2340" s="27" t="n"/>
      <c r="S2340" s="27" t="n"/>
      <c r="T2340" s="27" t="n"/>
    </row>
    <row r="2341" ht="13.8" customFormat="1" customHeight="1" s="70">
      <c r="M2341" s="27" t="n"/>
      <c r="N2341" s="27" t="n"/>
      <c r="O2341" s="27" t="n"/>
      <c r="P2341" s="27" t="n"/>
      <c r="Q2341" s="27" t="n"/>
      <c r="R2341" s="27" t="n"/>
      <c r="S2341" s="27" t="n"/>
      <c r="T2341" s="27" t="n"/>
    </row>
    <row r="2342" ht="13.8" customFormat="1" customHeight="1" s="70">
      <c r="M2342" s="27" t="n"/>
      <c r="N2342" s="27" t="n"/>
      <c r="O2342" s="27" t="n"/>
      <c r="P2342" s="27" t="n"/>
      <c r="Q2342" s="27" t="n"/>
      <c r="R2342" s="27" t="n"/>
      <c r="S2342" s="27" t="n"/>
      <c r="T2342" s="27" t="n"/>
    </row>
    <row r="2343" ht="13.8" customFormat="1" customHeight="1" s="70">
      <c r="M2343" s="27" t="n"/>
      <c r="N2343" s="27" t="n"/>
      <c r="O2343" s="27" t="n"/>
      <c r="P2343" s="27" t="n"/>
      <c r="Q2343" s="27" t="n"/>
      <c r="R2343" s="27" t="n"/>
      <c r="S2343" s="27" t="n"/>
      <c r="T2343" s="27" t="n"/>
    </row>
    <row r="2344" ht="13.8" customFormat="1" customHeight="1" s="70">
      <c r="M2344" s="27" t="n"/>
      <c r="N2344" s="27" t="n"/>
      <c r="O2344" s="27" t="n"/>
      <c r="P2344" s="27" t="n"/>
      <c r="Q2344" s="27" t="n"/>
      <c r="R2344" s="27" t="n"/>
      <c r="S2344" s="27" t="n"/>
      <c r="T2344" s="27" t="n"/>
    </row>
    <row r="2345" ht="13.8" customFormat="1" customHeight="1" s="70">
      <c r="M2345" s="27" t="n"/>
      <c r="N2345" s="27" t="n"/>
      <c r="O2345" s="27" t="n"/>
      <c r="P2345" s="27" t="n"/>
      <c r="Q2345" s="27" t="n"/>
      <c r="R2345" s="27" t="n"/>
      <c r="S2345" s="27" t="n"/>
      <c r="T2345" s="27" t="n"/>
    </row>
    <row r="2346" ht="13.8" customFormat="1" customHeight="1" s="70">
      <c r="M2346" s="27" t="n"/>
      <c r="N2346" s="27" t="n"/>
      <c r="O2346" s="27" t="n"/>
      <c r="P2346" s="27" t="n"/>
      <c r="Q2346" s="27" t="n"/>
      <c r="R2346" s="27" t="n"/>
      <c r="S2346" s="27" t="n"/>
      <c r="T2346" s="27" t="n"/>
    </row>
    <row r="2347" ht="13.8" customFormat="1" customHeight="1" s="70">
      <c r="M2347" s="27" t="n"/>
      <c r="N2347" s="27" t="n"/>
      <c r="O2347" s="27" t="n"/>
      <c r="P2347" s="27" t="n"/>
      <c r="Q2347" s="27" t="n"/>
      <c r="R2347" s="27" t="n"/>
      <c r="S2347" s="27" t="n"/>
      <c r="T2347" s="27" t="n"/>
    </row>
    <row r="2348" ht="13.8" customFormat="1" customHeight="1" s="70">
      <c r="M2348" s="27" t="n"/>
      <c r="N2348" s="27" t="n"/>
      <c r="O2348" s="27" t="n"/>
      <c r="P2348" s="27" t="n"/>
      <c r="Q2348" s="27" t="n"/>
      <c r="R2348" s="27" t="n"/>
      <c r="S2348" s="27" t="n"/>
      <c r="T2348" s="27" t="n"/>
    </row>
    <row r="2349" ht="13.8" customFormat="1" customHeight="1" s="70">
      <c r="M2349" s="27" t="n"/>
      <c r="N2349" s="27" t="n"/>
      <c r="O2349" s="27" t="n"/>
      <c r="P2349" s="27" t="n"/>
      <c r="Q2349" s="27" t="n"/>
      <c r="R2349" s="27" t="n"/>
      <c r="S2349" s="27" t="n"/>
      <c r="T2349" s="27" t="n"/>
    </row>
    <row r="2350" ht="13.8" customFormat="1" customHeight="1" s="70">
      <c r="M2350" s="27" t="n"/>
      <c r="N2350" s="27" t="n"/>
      <c r="O2350" s="27" t="n"/>
      <c r="P2350" s="27" t="n"/>
      <c r="Q2350" s="27" t="n"/>
      <c r="R2350" s="27" t="n"/>
      <c r="S2350" s="27" t="n"/>
      <c r="T2350" s="27" t="n"/>
    </row>
    <row r="2351" ht="13.8" customFormat="1" customHeight="1" s="70">
      <c r="M2351" s="27" t="n"/>
      <c r="N2351" s="27" t="n"/>
      <c r="O2351" s="27" t="n"/>
      <c r="P2351" s="27" t="n"/>
      <c r="Q2351" s="27" t="n"/>
      <c r="R2351" s="27" t="n"/>
      <c r="S2351" s="27" t="n"/>
      <c r="T2351" s="27" t="n"/>
    </row>
    <row r="2352" ht="13.8" customFormat="1" customHeight="1" s="70">
      <c r="M2352" s="27" t="n"/>
      <c r="N2352" s="27" t="n"/>
      <c r="O2352" s="27" t="n"/>
      <c r="P2352" s="27" t="n"/>
      <c r="Q2352" s="27" t="n"/>
      <c r="R2352" s="27" t="n"/>
      <c r="S2352" s="27" t="n"/>
      <c r="T2352" s="27" t="n"/>
    </row>
    <row r="2353" ht="13.8" customFormat="1" customHeight="1" s="70">
      <c r="M2353" s="27" t="n"/>
      <c r="N2353" s="27" t="n"/>
      <c r="O2353" s="27" t="n"/>
      <c r="P2353" s="27" t="n"/>
      <c r="Q2353" s="27" t="n"/>
      <c r="R2353" s="27" t="n"/>
      <c r="S2353" s="27" t="n"/>
      <c r="T2353" s="27" t="n"/>
    </row>
    <row r="2354" ht="13.8" customFormat="1" customHeight="1" s="70">
      <c r="M2354" s="27" t="n"/>
      <c r="N2354" s="27" t="n"/>
      <c r="O2354" s="27" t="n"/>
      <c r="P2354" s="27" t="n"/>
      <c r="Q2354" s="27" t="n"/>
      <c r="R2354" s="27" t="n"/>
      <c r="S2354" s="27" t="n"/>
      <c r="T2354" s="27" t="n"/>
    </row>
    <row r="2355" ht="13.8" customFormat="1" customHeight="1" s="70">
      <c r="M2355" s="27" t="n"/>
      <c r="N2355" s="27" t="n"/>
      <c r="O2355" s="27" t="n"/>
      <c r="P2355" s="27" t="n"/>
      <c r="Q2355" s="27" t="n"/>
      <c r="R2355" s="27" t="n"/>
      <c r="S2355" s="27" t="n"/>
      <c r="T2355" s="27" t="n"/>
    </row>
    <row r="2356" ht="13.8" customFormat="1" customHeight="1" s="70">
      <c r="M2356" s="27" t="n"/>
      <c r="N2356" s="27" t="n"/>
      <c r="O2356" s="27" t="n"/>
      <c r="P2356" s="27" t="n"/>
      <c r="Q2356" s="27" t="n"/>
      <c r="R2356" s="27" t="n"/>
      <c r="S2356" s="27" t="n"/>
      <c r="T2356" s="27" t="n"/>
    </row>
    <row r="2357" ht="13.8" customFormat="1" customHeight="1" s="70">
      <c r="M2357" s="27" t="n"/>
      <c r="N2357" s="27" t="n"/>
      <c r="O2357" s="27" t="n"/>
      <c r="P2357" s="27" t="n"/>
      <c r="Q2357" s="27" t="n"/>
      <c r="R2357" s="27" t="n"/>
      <c r="S2357" s="27" t="n"/>
      <c r="T2357" s="27" t="n"/>
    </row>
    <row r="2358" ht="13.8" customFormat="1" customHeight="1" s="70">
      <c r="M2358" s="27" t="n"/>
      <c r="N2358" s="27" t="n"/>
      <c r="O2358" s="27" t="n"/>
      <c r="P2358" s="27" t="n"/>
      <c r="Q2358" s="27" t="n"/>
      <c r="R2358" s="27" t="n"/>
      <c r="S2358" s="27" t="n"/>
      <c r="T2358" s="27" t="n"/>
    </row>
    <row r="2359" ht="13.8" customFormat="1" customHeight="1" s="70">
      <c r="M2359" s="27" t="n"/>
      <c r="N2359" s="27" t="n"/>
      <c r="O2359" s="27" t="n"/>
      <c r="P2359" s="27" t="n"/>
      <c r="Q2359" s="27" t="n"/>
      <c r="R2359" s="27" t="n"/>
      <c r="S2359" s="27" t="n"/>
      <c r="T2359" s="27" t="n"/>
    </row>
    <row r="2360" ht="13.8" customFormat="1" customHeight="1" s="70">
      <c r="M2360" s="27" t="n"/>
      <c r="N2360" s="27" t="n"/>
      <c r="O2360" s="27" t="n"/>
      <c r="P2360" s="27" t="n"/>
      <c r="Q2360" s="27" t="n"/>
      <c r="R2360" s="27" t="n"/>
      <c r="S2360" s="27" t="n"/>
      <c r="T2360" s="27" t="n"/>
    </row>
    <row r="2361" ht="13.8" customFormat="1" customHeight="1" s="70">
      <c r="M2361" s="27" t="n"/>
      <c r="N2361" s="27" t="n"/>
      <c r="O2361" s="27" t="n"/>
      <c r="P2361" s="27" t="n"/>
      <c r="Q2361" s="27" t="n"/>
      <c r="R2361" s="27" t="n"/>
      <c r="S2361" s="27" t="n"/>
      <c r="T2361" s="27" t="n"/>
    </row>
    <row r="2362" ht="13.8" customFormat="1" customHeight="1" s="70">
      <c r="M2362" s="27" t="n"/>
      <c r="N2362" s="27" t="n"/>
      <c r="O2362" s="27" t="n"/>
      <c r="P2362" s="27" t="n"/>
      <c r="Q2362" s="27" t="n"/>
      <c r="R2362" s="27" t="n"/>
      <c r="S2362" s="27" t="n"/>
      <c r="T2362" s="27" t="n"/>
    </row>
    <row r="2363" ht="13.8" customFormat="1" customHeight="1" s="70">
      <c r="M2363" s="27" t="n"/>
      <c r="N2363" s="27" t="n"/>
      <c r="O2363" s="27" t="n"/>
      <c r="P2363" s="27" t="n"/>
      <c r="Q2363" s="27" t="n"/>
      <c r="R2363" s="27" t="n"/>
      <c r="S2363" s="27" t="n"/>
      <c r="T2363" s="27" t="n"/>
    </row>
    <row r="2364" ht="13.8" customFormat="1" customHeight="1" s="70">
      <c r="M2364" s="27" t="n"/>
      <c r="N2364" s="27" t="n"/>
      <c r="O2364" s="27" t="n"/>
      <c r="P2364" s="27" t="n"/>
      <c r="Q2364" s="27" t="n"/>
      <c r="R2364" s="27" t="n"/>
      <c r="S2364" s="27" t="n"/>
      <c r="T2364" s="27" t="n"/>
    </row>
    <row r="2365" ht="13.8" customFormat="1" customHeight="1" s="70">
      <c r="M2365" s="27" t="n"/>
      <c r="N2365" s="27" t="n"/>
      <c r="O2365" s="27" t="n"/>
      <c r="P2365" s="27" t="n"/>
      <c r="Q2365" s="27" t="n"/>
      <c r="R2365" s="27" t="n"/>
      <c r="S2365" s="27" t="n"/>
      <c r="T2365" s="27" t="n"/>
    </row>
    <row r="2366" ht="13.8" customFormat="1" customHeight="1" s="70">
      <c r="M2366" s="27" t="n"/>
      <c r="N2366" s="27" t="n"/>
      <c r="O2366" s="27" t="n"/>
      <c r="P2366" s="27" t="n"/>
      <c r="Q2366" s="27" t="n"/>
      <c r="R2366" s="27" t="n"/>
      <c r="S2366" s="27" t="n"/>
      <c r="T2366" s="27" t="n"/>
    </row>
    <row r="2367" ht="13.8" customFormat="1" customHeight="1" s="70">
      <c r="M2367" s="27" t="n"/>
      <c r="N2367" s="27" t="n"/>
      <c r="O2367" s="27" t="n"/>
      <c r="P2367" s="27" t="n"/>
      <c r="Q2367" s="27" t="n"/>
      <c r="R2367" s="27" t="n"/>
      <c r="S2367" s="27" t="n"/>
      <c r="T2367" s="27" t="n"/>
    </row>
    <row r="2368" ht="13.8" customFormat="1" customHeight="1" s="70">
      <c r="M2368" s="27" t="n"/>
      <c r="N2368" s="27" t="n"/>
      <c r="O2368" s="27" t="n"/>
      <c r="P2368" s="27" t="n"/>
      <c r="Q2368" s="27" t="n"/>
      <c r="R2368" s="27" t="n"/>
      <c r="S2368" s="27" t="n"/>
      <c r="T2368" s="27" t="n"/>
    </row>
    <row r="2369" ht="13.8" customFormat="1" customHeight="1" s="70">
      <c r="M2369" s="27" t="n"/>
      <c r="N2369" s="27" t="n"/>
      <c r="O2369" s="27" t="n"/>
      <c r="P2369" s="27" t="n"/>
      <c r="Q2369" s="27" t="n"/>
      <c r="R2369" s="27" t="n"/>
      <c r="S2369" s="27" t="n"/>
      <c r="T2369" s="27" t="n"/>
    </row>
    <row r="2370" ht="13.8" customFormat="1" customHeight="1" s="70">
      <c r="M2370" s="27" t="n"/>
      <c r="N2370" s="27" t="n"/>
      <c r="O2370" s="27" t="n"/>
      <c r="P2370" s="27" t="n"/>
      <c r="Q2370" s="27" t="n"/>
      <c r="R2370" s="27" t="n"/>
      <c r="S2370" s="27" t="n"/>
      <c r="T2370" s="27" t="n"/>
    </row>
    <row r="2371" ht="13.8" customFormat="1" customHeight="1" s="70">
      <c r="M2371" s="27" t="n"/>
      <c r="N2371" s="27" t="n"/>
      <c r="O2371" s="27" t="n"/>
      <c r="P2371" s="27" t="n"/>
      <c r="Q2371" s="27" t="n"/>
      <c r="R2371" s="27" t="n"/>
      <c r="S2371" s="27" t="n"/>
      <c r="T2371" s="27" t="n"/>
    </row>
    <row r="2372" ht="13.8" customFormat="1" customHeight="1" s="70">
      <c r="M2372" s="27" t="n"/>
      <c r="N2372" s="27" t="n"/>
      <c r="O2372" s="27" t="n"/>
      <c r="P2372" s="27" t="n"/>
      <c r="Q2372" s="27" t="n"/>
      <c r="R2372" s="27" t="n"/>
      <c r="S2372" s="27" t="n"/>
      <c r="T2372" s="27" t="n"/>
    </row>
    <row r="2373" ht="13.8" customFormat="1" customHeight="1" s="70">
      <c r="M2373" s="27" t="n"/>
      <c r="N2373" s="27" t="n"/>
      <c r="O2373" s="27" t="n"/>
      <c r="P2373" s="27" t="n"/>
      <c r="Q2373" s="27" t="n"/>
      <c r="R2373" s="27" t="n"/>
      <c r="S2373" s="27" t="n"/>
      <c r="T2373" s="27" t="n"/>
    </row>
    <row r="2374" ht="13.8" customFormat="1" customHeight="1" s="70">
      <c r="M2374" s="27" t="n"/>
      <c r="N2374" s="27" t="n"/>
      <c r="O2374" s="27" t="n"/>
      <c r="P2374" s="27" t="n"/>
      <c r="Q2374" s="27" t="n"/>
      <c r="R2374" s="27" t="n"/>
      <c r="S2374" s="27" t="n"/>
      <c r="T2374" s="27" t="n"/>
    </row>
    <row r="2375" ht="13.8" customFormat="1" customHeight="1" s="70">
      <c r="M2375" s="27" t="n"/>
      <c r="N2375" s="27" t="n"/>
      <c r="O2375" s="27" t="n"/>
      <c r="P2375" s="27" t="n"/>
      <c r="Q2375" s="27" t="n"/>
      <c r="R2375" s="27" t="n"/>
      <c r="S2375" s="27" t="n"/>
      <c r="T2375" s="27" t="n"/>
    </row>
    <row r="2376" ht="13.8" customFormat="1" customHeight="1" s="70">
      <c r="M2376" s="27" t="n"/>
      <c r="N2376" s="27" t="n"/>
      <c r="O2376" s="27" t="n"/>
      <c r="P2376" s="27" t="n"/>
      <c r="Q2376" s="27" t="n"/>
      <c r="R2376" s="27" t="n"/>
      <c r="S2376" s="27" t="n"/>
      <c r="T2376" s="27" t="n"/>
    </row>
    <row r="2377" ht="13.8" customFormat="1" customHeight="1" s="70">
      <c r="M2377" s="27" t="n"/>
      <c r="N2377" s="27" t="n"/>
      <c r="O2377" s="27" t="n"/>
      <c r="P2377" s="27" t="n"/>
      <c r="Q2377" s="27" t="n"/>
      <c r="R2377" s="27" t="n"/>
      <c r="S2377" s="27" t="n"/>
      <c r="T2377" s="27" t="n"/>
    </row>
    <row r="2378" ht="13.8" customFormat="1" customHeight="1" s="70">
      <c r="M2378" s="27" t="n"/>
      <c r="N2378" s="27" t="n"/>
      <c r="O2378" s="27" t="n"/>
      <c r="P2378" s="27" t="n"/>
      <c r="Q2378" s="27" t="n"/>
      <c r="R2378" s="27" t="n"/>
      <c r="S2378" s="27" t="n"/>
      <c r="T2378" s="27" t="n"/>
    </row>
    <row r="2379" ht="13.8" customFormat="1" customHeight="1" s="70">
      <c r="M2379" s="27" t="n"/>
      <c r="N2379" s="27" t="n"/>
      <c r="O2379" s="27" t="n"/>
      <c r="P2379" s="27" t="n"/>
      <c r="Q2379" s="27" t="n"/>
      <c r="R2379" s="27" t="n"/>
      <c r="S2379" s="27" t="n"/>
      <c r="T2379" s="27" t="n"/>
    </row>
    <row r="2380" ht="13.8" customFormat="1" customHeight="1" s="70">
      <c r="M2380" s="27" t="n"/>
      <c r="N2380" s="27" t="n"/>
      <c r="O2380" s="27" t="n"/>
      <c r="P2380" s="27" t="n"/>
      <c r="Q2380" s="27" t="n"/>
      <c r="R2380" s="27" t="n"/>
      <c r="S2380" s="27" t="n"/>
      <c r="T2380" s="27" t="n"/>
    </row>
    <row r="2381" ht="13.8" customFormat="1" customHeight="1" s="70">
      <c r="M2381" s="27" t="n"/>
      <c r="N2381" s="27" t="n"/>
      <c r="O2381" s="27" t="n"/>
      <c r="P2381" s="27" t="n"/>
      <c r="Q2381" s="27" t="n"/>
      <c r="R2381" s="27" t="n"/>
      <c r="S2381" s="27" t="n"/>
      <c r="T2381" s="27" t="n"/>
    </row>
    <row r="2382" ht="13.8" customFormat="1" customHeight="1" s="70">
      <c r="M2382" s="27" t="n"/>
      <c r="N2382" s="27" t="n"/>
      <c r="O2382" s="27" t="n"/>
      <c r="P2382" s="27" t="n"/>
      <c r="Q2382" s="27" t="n"/>
      <c r="R2382" s="27" t="n"/>
      <c r="S2382" s="27" t="n"/>
      <c r="T2382" s="27" t="n"/>
    </row>
    <row r="2383" ht="13.8" customFormat="1" customHeight="1" s="70">
      <c r="M2383" s="27" t="n"/>
      <c r="N2383" s="27" t="n"/>
      <c r="O2383" s="27" t="n"/>
      <c r="P2383" s="27" t="n"/>
      <c r="Q2383" s="27" t="n"/>
      <c r="R2383" s="27" t="n"/>
      <c r="S2383" s="27" t="n"/>
      <c r="T2383" s="27" t="n"/>
    </row>
    <row r="2384" ht="13.8" customFormat="1" customHeight="1" s="70">
      <c r="M2384" s="27" t="n"/>
      <c r="N2384" s="27" t="n"/>
      <c r="O2384" s="27" t="n"/>
      <c r="P2384" s="27" t="n"/>
      <c r="Q2384" s="27" t="n"/>
      <c r="R2384" s="27" t="n"/>
      <c r="S2384" s="27" t="n"/>
      <c r="T2384" s="27" t="n"/>
    </row>
    <row r="2385" ht="13.8" customFormat="1" customHeight="1" s="70">
      <c r="M2385" s="27" t="n"/>
      <c r="N2385" s="27" t="n"/>
      <c r="O2385" s="27" t="n"/>
      <c r="P2385" s="27" t="n"/>
      <c r="Q2385" s="27" t="n"/>
      <c r="R2385" s="27" t="n"/>
      <c r="S2385" s="27" t="n"/>
      <c r="T2385" s="27" t="n"/>
    </row>
    <row r="2386" ht="13.8" customFormat="1" customHeight="1" s="70">
      <c r="M2386" s="27" t="n"/>
      <c r="N2386" s="27" t="n"/>
      <c r="O2386" s="27" t="n"/>
      <c r="P2386" s="27" t="n"/>
      <c r="Q2386" s="27" t="n"/>
      <c r="R2386" s="27" t="n"/>
      <c r="S2386" s="27" t="n"/>
      <c r="T2386" s="27" t="n"/>
    </row>
    <row r="2387" ht="13.8" customFormat="1" customHeight="1" s="70">
      <c r="M2387" s="27" t="n"/>
      <c r="N2387" s="27" t="n"/>
      <c r="O2387" s="27" t="n"/>
      <c r="P2387" s="27" t="n"/>
      <c r="Q2387" s="27" t="n"/>
      <c r="R2387" s="27" t="n"/>
      <c r="S2387" s="27" t="n"/>
      <c r="T2387" s="27" t="n"/>
    </row>
    <row r="2388" ht="13.8" customFormat="1" customHeight="1" s="70">
      <c r="M2388" s="27" t="n"/>
      <c r="N2388" s="27" t="n"/>
      <c r="O2388" s="27" t="n"/>
      <c r="P2388" s="27" t="n"/>
      <c r="Q2388" s="27" t="n"/>
      <c r="R2388" s="27" t="n"/>
      <c r="S2388" s="27" t="n"/>
      <c r="T2388" s="27" t="n"/>
    </row>
    <row r="2389" ht="13.8" customFormat="1" customHeight="1" s="70">
      <c r="M2389" s="27" t="n"/>
      <c r="N2389" s="27" t="n"/>
      <c r="O2389" s="27" t="n"/>
      <c r="P2389" s="27" t="n"/>
      <c r="Q2389" s="27" t="n"/>
      <c r="R2389" s="27" t="n"/>
      <c r="S2389" s="27" t="n"/>
      <c r="T2389" s="27" t="n"/>
    </row>
    <row r="2390" ht="13.8" customFormat="1" customHeight="1" s="70">
      <c r="M2390" s="27" t="n"/>
      <c r="N2390" s="27" t="n"/>
      <c r="O2390" s="27" t="n"/>
      <c r="P2390" s="27" t="n"/>
      <c r="Q2390" s="27" t="n"/>
      <c r="R2390" s="27" t="n"/>
      <c r="S2390" s="27" t="n"/>
      <c r="T2390" s="27" t="n"/>
    </row>
    <row r="2391" ht="13.8" customFormat="1" customHeight="1" s="70">
      <c r="M2391" s="27" t="n"/>
      <c r="N2391" s="27" t="n"/>
      <c r="O2391" s="27" t="n"/>
      <c r="P2391" s="27" t="n"/>
      <c r="Q2391" s="27" t="n"/>
      <c r="R2391" s="27" t="n"/>
      <c r="S2391" s="27" t="n"/>
      <c r="T2391" s="27" t="n"/>
    </row>
    <row r="2392" ht="13.8" customFormat="1" customHeight="1" s="70">
      <c r="M2392" s="27" t="n"/>
      <c r="N2392" s="27" t="n"/>
      <c r="O2392" s="27" t="n"/>
      <c r="P2392" s="27" t="n"/>
      <c r="Q2392" s="27" t="n"/>
      <c r="R2392" s="27" t="n"/>
      <c r="S2392" s="27" t="n"/>
      <c r="T2392" s="27" t="n"/>
    </row>
    <row r="2393" ht="13.8" customFormat="1" customHeight="1" s="70">
      <c r="M2393" s="27" t="n"/>
      <c r="N2393" s="27" t="n"/>
      <c r="O2393" s="27" t="n"/>
      <c r="P2393" s="27" t="n"/>
      <c r="Q2393" s="27" t="n"/>
      <c r="R2393" s="27" t="n"/>
      <c r="S2393" s="27" t="n"/>
      <c r="T2393" s="27" t="n"/>
    </row>
    <row r="2394" ht="13.8" customFormat="1" customHeight="1" s="70">
      <c r="M2394" s="27" t="n"/>
      <c r="N2394" s="27" t="n"/>
      <c r="O2394" s="27" t="n"/>
      <c r="P2394" s="27" t="n"/>
      <c r="Q2394" s="27" t="n"/>
      <c r="R2394" s="27" t="n"/>
      <c r="S2394" s="27" t="n"/>
      <c r="T2394" s="27" t="n"/>
    </row>
    <row r="2395" ht="13.8" customFormat="1" customHeight="1" s="70">
      <c r="M2395" s="27" t="n"/>
      <c r="N2395" s="27" t="n"/>
      <c r="O2395" s="27" t="n"/>
      <c r="P2395" s="27" t="n"/>
      <c r="Q2395" s="27" t="n"/>
      <c r="R2395" s="27" t="n"/>
      <c r="S2395" s="27" t="n"/>
      <c r="T2395" s="27" t="n"/>
    </row>
    <row r="2396" ht="13.8" customFormat="1" customHeight="1" s="70">
      <c r="M2396" s="27" t="n"/>
      <c r="N2396" s="27" t="n"/>
      <c r="O2396" s="27" t="n"/>
      <c r="P2396" s="27" t="n"/>
      <c r="Q2396" s="27" t="n"/>
      <c r="R2396" s="27" t="n"/>
      <c r="S2396" s="27" t="n"/>
      <c r="T2396" s="27" t="n"/>
    </row>
    <row r="2397" ht="13.8" customFormat="1" customHeight="1" s="70">
      <c r="M2397" s="27" t="n"/>
      <c r="N2397" s="27" t="n"/>
      <c r="O2397" s="27" t="n"/>
      <c r="P2397" s="27" t="n"/>
      <c r="Q2397" s="27" t="n"/>
      <c r="R2397" s="27" t="n"/>
      <c r="S2397" s="27" t="n"/>
      <c r="T2397" s="27" t="n"/>
    </row>
    <row r="2398" ht="13.8" customFormat="1" customHeight="1" s="70">
      <c r="M2398" s="27" t="n"/>
      <c r="N2398" s="27" t="n"/>
      <c r="O2398" s="27" t="n"/>
      <c r="P2398" s="27" t="n"/>
      <c r="Q2398" s="27" t="n"/>
      <c r="R2398" s="27" t="n"/>
      <c r="S2398" s="27" t="n"/>
      <c r="T2398" s="27" t="n"/>
    </row>
    <row r="2399" ht="13.8" customFormat="1" customHeight="1" s="70">
      <c r="M2399" s="27" t="n"/>
      <c r="N2399" s="27" t="n"/>
      <c r="O2399" s="27" t="n"/>
      <c r="P2399" s="27" t="n"/>
      <c r="Q2399" s="27" t="n"/>
      <c r="R2399" s="27" t="n"/>
      <c r="S2399" s="27" t="n"/>
      <c r="T2399" s="27" t="n"/>
    </row>
    <row r="2400" ht="13.8" customFormat="1" customHeight="1" s="70">
      <c r="M2400" s="27" t="n"/>
      <c r="N2400" s="27" t="n"/>
      <c r="O2400" s="27" t="n"/>
      <c r="P2400" s="27" t="n"/>
      <c r="Q2400" s="27" t="n"/>
      <c r="R2400" s="27" t="n"/>
      <c r="S2400" s="27" t="n"/>
      <c r="T2400" s="27" t="n"/>
    </row>
    <row r="2401" ht="13.8" customFormat="1" customHeight="1" s="70">
      <c r="M2401" s="27" t="n"/>
      <c r="N2401" s="27" t="n"/>
      <c r="O2401" s="27" t="n"/>
      <c r="P2401" s="27" t="n"/>
      <c r="Q2401" s="27" t="n"/>
      <c r="R2401" s="27" t="n"/>
      <c r="S2401" s="27" t="n"/>
      <c r="T2401" s="27" t="n"/>
    </row>
    <row r="2402" ht="13.8" customFormat="1" customHeight="1" s="70">
      <c r="M2402" s="27" t="n"/>
      <c r="N2402" s="27" t="n"/>
      <c r="O2402" s="27" t="n"/>
      <c r="P2402" s="27" t="n"/>
      <c r="Q2402" s="27" t="n"/>
      <c r="R2402" s="27" t="n"/>
      <c r="S2402" s="27" t="n"/>
      <c r="T2402" s="27" t="n"/>
    </row>
    <row r="2403" ht="13.8" customFormat="1" customHeight="1" s="70">
      <c r="M2403" s="27" t="n"/>
      <c r="N2403" s="27" t="n"/>
      <c r="O2403" s="27" t="n"/>
      <c r="P2403" s="27" t="n"/>
      <c r="Q2403" s="27" t="n"/>
      <c r="R2403" s="27" t="n"/>
      <c r="S2403" s="27" t="n"/>
      <c r="T2403" s="27" t="n"/>
    </row>
    <row r="2404" ht="13.8" customFormat="1" customHeight="1" s="70">
      <c r="M2404" s="27" t="n"/>
      <c r="N2404" s="27" t="n"/>
      <c r="O2404" s="27" t="n"/>
      <c r="P2404" s="27" t="n"/>
      <c r="Q2404" s="27" t="n"/>
      <c r="R2404" s="27" t="n"/>
      <c r="S2404" s="27" t="n"/>
      <c r="T2404" s="27" t="n"/>
    </row>
    <row r="2405" ht="13.8" customFormat="1" customHeight="1" s="70">
      <c r="M2405" s="27" t="n"/>
      <c r="N2405" s="27" t="n"/>
      <c r="O2405" s="27" t="n"/>
      <c r="P2405" s="27" t="n"/>
      <c r="Q2405" s="27" t="n"/>
      <c r="R2405" s="27" t="n"/>
      <c r="S2405" s="27" t="n"/>
      <c r="T2405" s="27" t="n"/>
    </row>
    <row r="2406" ht="13.8" customFormat="1" customHeight="1" s="70">
      <c r="M2406" s="27" t="n"/>
      <c r="N2406" s="27" t="n"/>
      <c r="O2406" s="27" t="n"/>
      <c r="P2406" s="27" t="n"/>
      <c r="Q2406" s="27" t="n"/>
      <c r="R2406" s="27" t="n"/>
      <c r="S2406" s="27" t="n"/>
      <c r="T2406" s="27" t="n"/>
    </row>
    <row r="2407" ht="13.8" customFormat="1" customHeight="1" s="70">
      <c r="M2407" s="27" t="n"/>
      <c r="N2407" s="27" t="n"/>
      <c r="O2407" s="27" t="n"/>
      <c r="P2407" s="27" t="n"/>
      <c r="Q2407" s="27" t="n"/>
      <c r="R2407" s="27" t="n"/>
      <c r="S2407" s="27" t="n"/>
      <c r="T2407" s="27" t="n"/>
    </row>
    <row r="2408" ht="13.8" customFormat="1" customHeight="1" s="70">
      <c r="M2408" s="27" t="n"/>
      <c r="N2408" s="27" t="n"/>
      <c r="O2408" s="27" t="n"/>
      <c r="P2408" s="27" t="n"/>
      <c r="Q2408" s="27" t="n"/>
      <c r="R2408" s="27" t="n"/>
      <c r="S2408" s="27" t="n"/>
      <c r="T2408" s="27" t="n"/>
    </row>
    <row r="2409" ht="13.8" customFormat="1" customHeight="1" s="70">
      <c r="M2409" s="27" t="n"/>
      <c r="N2409" s="27" t="n"/>
      <c r="O2409" s="27" t="n"/>
      <c r="P2409" s="27" t="n"/>
      <c r="Q2409" s="27" t="n"/>
      <c r="R2409" s="27" t="n"/>
      <c r="S2409" s="27" t="n"/>
      <c r="T2409" s="27" t="n"/>
    </row>
    <row r="2410" ht="13.8" customFormat="1" customHeight="1" s="70">
      <c r="M2410" s="27" t="n"/>
      <c r="N2410" s="27" t="n"/>
      <c r="O2410" s="27" t="n"/>
      <c r="P2410" s="27" t="n"/>
      <c r="Q2410" s="27" t="n"/>
      <c r="R2410" s="27" t="n"/>
      <c r="S2410" s="27" t="n"/>
      <c r="T2410" s="27" t="n"/>
    </row>
    <row r="2411" ht="13.8" customFormat="1" customHeight="1" s="70">
      <c r="M2411" s="27" t="n"/>
      <c r="N2411" s="27" t="n"/>
      <c r="O2411" s="27" t="n"/>
      <c r="P2411" s="27" t="n"/>
      <c r="Q2411" s="27" t="n"/>
      <c r="R2411" s="27" t="n"/>
      <c r="S2411" s="27" t="n"/>
      <c r="T2411" s="27" t="n"/>
    </row>
    <row r="2412" ht="13.8" customFormat="1" customHeight="1" s="70">
      <c r="M2412" s="27" t="n"/>
      <c r="N2412" s="27" t="n"/>
      <c r="O2412" s="27" t="n"/>
      <c r="P2412" s="27" t="n"/>
      <c r="Q2412" s="27" t="n"/>
      <c r="R2412" s="27" t="n"/>
      <c r="S2412" s="27" t="n"/>
      <c r="T2412" s="27" t="n"/>
    </row>
    <row r="2413" ht="13.8" customFormat="1" customHeight="1" s="70">
      <c r="M2413" s="27" t="n"/>
      <c r="N2413" s="27" t="n"/>
      <c r="O2413" s="27" t="n"/>
      <c r="P2413" s="27" t="n"/>
      <c r="Q2413" s="27" t="n"/>
      <c r="R2413" s="27" t="n"/>
      <c r="S2413" s="27" t="n"/>
      <c r="T2413" s="27" t="n"/>
    </row>
    <row r="2414" ht="13.8" customFormat="1" customHeight="1" s="70">
      <c r="M2414" s="27" t="n"/>
      <c r="N2414" s="27" t="n"/>
      <c r="O2414" s="27" t="n"/>
      <c r="P2414" s="27" t="n"/>
      <c r="Q2414" s="27" t="n"/>
      <c r="R2414" s="27" t="n"/>
      <c r="S2414" s="27" t="n"/>
      <c r="T2414" s="27" t="n"/>
    </row>
    <row r="2415" ht="13.8" customFormat="1" customHeight="1" s="70">
      <c r="M2415" s="27" t="n"/>
      <c r="N2415" s="27" t="n"/>
      <c r="O2415" s="27" t="n"/>
      <c r="P2415" s="27" t="n"/>
      <c r="Q2415" s="27" t="n"/>
      <c r="R2415" s="27" t="n"/>
      <c r="S2415" s="27" t="n"/>
      <c r="T2415" s="27" t="n"/>
    </row>
    <row r="2416" ht="13.8" customFormat="1" customHeight="1" s="70">
      <c r="M2416" s="27" t="n"/>
      <c r="N2416" s="27" t="n"/>
      <c r="O2416" s="27" t="n"/>
      <c r="P2416" s="27" t="n"/>
      <c r="Q2416" s="27" t="n"/>
      <c r="R2416" s="27" t="n"/>
      <c r="S2416" s="27" t="n"/>
      <c r="T2416" s="27" t="n"/>
    </row>
    <row r="2417" ht="13.8" customFormat="1" customHeight="1" s="70">
      <c r="M2417" s="27" t="n"/>
      <c r="N2417" s="27" t="n"/>
      <c r="O2417" s="27" t="n"/>
      <c r="P2417" s="27" t="n"/>
      <c r="Q2417" s="27" t="n"/>
      <c r="R2417" s="27" t="n"/>
      <c r="S2417" s="27" t="n"/>
      <c r="T2417" s="27" t="n"/>
    </row>
    <row r="2418" ht="13.8" customFormat="1" customHeight="1" s="70">
      <c r="M2418" s="27" t="n"/>
      <c r="N2418" s="27" t="n"/>
      <c r="O2418" s="27" t="n"/>
      <c r="P2418" s="27" t="n"/>
      <c r="Q2418" s="27" t="n"/>
      <c r="R2418" s="27" t="n"/>
      <c r="S2418" s="27" t="n"/>
      <c r="T2418" s="27" t="n"/>
    </row>
    <row r="2419" ht="13.8" customFormat="1" customHeight="1" s="70">
      <c r="M2419" s="27" t="n"/>
      <c r="N2419" s="27" t="n"/>
      <c r="O2419" s="27" t="n"/>
      <c r="P2419" s="27" t="n"/>
      <c r="Q2419" s="27" t="n"/>
      <c r="R2419" s="27" t="n"/>
      <c r="S2419" s="27" t="n"/>
      <c r="T2419" s="27" t="n"/>
    </row>
    <row r="2420" ht="13.8" customFormat="1" customHeight="1" s="70">
      <c r="M2420" s="27" t="n"/>
      <c r="N2420" s="27" t="n"/>
      <c r="O2420" s="27" t="n"/>
      <c r="P2420" s="27" t="n"/>
      <c r="Q2420" s="27" t="n"/>
      <c r="R2420" s="27" t="n"/>
      <c r="S2420" s="27" t="n"/>
      <c r="T2420" s="27" t="n"/>
    </row>
    <row r="2421" ht="13.8" customFormat="1" customHeight="1" s="70">
      <c r="M2421" s="27" t="n"/>
      <c r="N2421" s="27" t="n"/>
      <c r="O2421" s="27" t="n"/>
      <c r="P2421" s="27" t="n"/>
      <c r="Q2421" s="27" t="n"/>
      <c r="R2421" s="27" t="n"/>
      <c r="S2421" s="27" t="n"/>
      <c r="T2421" s="27" t="n"/>
    </row>
    <row r="2422" ht="13.8" customFormat="1" customHeight="1" s="70">
      <c r="M2422" s="27" t="n"/>
      <c r="N2422" s="27" t="n"/>
      <c r="O2422" s="27" t="n"/>
      <c r="P2422" s="27" t="n"/>
      <c r="Q2422" s="27" t="n"/>
      <c r="R2422" s="27" t="n"/>
      <c r="S2422" s="27" t="n"/>
      <c r="T2422" s="27" t="n"/>
    </row>
    <row r="2423" ht="13.8" customFormat="1" customHeight="1" s="70">
      <c r="M2423" s="27" t="n"/>
      <c r="N2423" s="27" t="n"/>
      <c r="O2423" s="27" t="n"/>
      <c r="P2423" s="27" t="n"/>
      <c r="Q2423" s="27" t="n"/>
      <c r="R2423" s="27" t="n"/>
      <c r="S2423" s="27" t="n"/>
      <c r="T2423" s="27" t="n"/>
    </row>
    <row r="2424" ht="13.8" customFormat="1" customHeight="1" s="70">
      <c r="M2424" s="27" t="n"/>
      <c r="N2424" s="27" t="n"/>
      <c r="O2424" s="27" t="n"/>
      <c r="P2424" s="27" t="n"/>
      <c r="Q2424" s="27" t="n"/>
      <c r="R2424" s="27" t="n"/>
      <c r="S2424" s="27" t="n"/>
      <c r="T2424" s="27" t="n"/>
    </row>
    <row r="2425" ht="13.8" customFormat="1" customHeight="1" s="70">
      <c r="M2425" s="27" t="n"/>
      <c r="N2425" s="27" t="n"/>
      <c r="O2425" s="27" t="n"/>
      <c r="P2425" s="27" t="n"/>
      <c r="Q2425" s="27" t="n"/>
      <c r="R2425" s="27" t="n"/>
      <c r="S2425" s="27" t="n"/>
      <c r="T2425" s="27" t="n"/>
    </row>
    <row r="2426" ht="13.8" customFormat="1" customHeight="1" s="70">
      <c r="M2426" s="27" t="n"/>
      <c r="N2426" s="27" t="n"/>
      <c r="O2426" s="27" t="n"/>
      <c r="P2426" s="27" t="n"/>
      <c r="Q2426" s="27" t="n"/>
      <c r="R2426" s="27" t="n"/>
      <c r="S2426" s="27" t="n"/>
      <c r="T2426" s="27" t="n"/>
    </row>
    <row r="2427" ht="13.8" customFormat="1" customHeight="1" s="70">
      <c r="M2427" s="27" t="n"/>
      <c r="N2427" s="27" t="n"/>
      <c r="O2427" s="27" t="n"/>
      <c r="P2427" s="27" t="n"/>
      <c r="Q2427" s="27" t="n"/>
      <c r="R2427" s="27" t="n"/>
      <c r="S2427" s="27" t="n"/>
      <c r="T2427" s="27" t="n"/>
    </row>
    <row r="2428" ht="13.8" customFormat="1" customHeight="1" s="70">
      <c r="M2428" s="27" t="n"/>
      <c r="N2428" s="27" t="n"/>
      <c r="O2428" s="27" t="n"/>
      <c r="P2428" s="27" t="n"/>
      <c r="Q2428" s="27" t="n"/>
      <c r="R2428" s="27" t="n"/>
      <c r="S2428" s="27" t="n"/>
      <c r="T2428" s="27" t="n"/>
    </row>
    <row r="2429" ht="13.8" customFormat="1" customHeight="1" s="70">
      <c r="M2429" s="27" t="n"/>
      <c r="N2429" s="27" t="n"/>
      <c r="O2429" s="27" t="n"/>
      <c r="P2429" s="27" t="n"/>
      <c r="Q2429" s="27" t="n"/>
      <c r="R2429" s="27" t="n"/>
      <c r="S2429" s="27" t="n"/>
      <c r="T2429" s="27" t="n"/>
    </row>
    <row r="2430" ht="13.8" customFormat="1" customHeight="1" s="70">
      <c r="M2430" s="27" t="n"/>
      <c r="N2430" s="27" t="n"/>
      <c r="O2430" s="27" t="n"/>
      <c r="P2430" s="27" t="n"/>
      <c r="Q2430" s="27" t="n"/>
      <c r="R2430" s="27" t="n"/>
      <c r="S2430" s="27" t="n"/>
      <c r="T2430" s="27" t="n"/>
    </row>
    <row r="2431" ht="13.8" customFormat="1" customHeight="1" s="70">
      <c r="M2431" s="27" t="n"/>
      <c r="N2431" s="27" t="n"/>
      <c r="O2431" s="27" t="n"/>
      <c r="P2431" s="27" t="n"/>
      <c r="Q2431" s="27" t="n"/>
      <c r="R2431" s="27" t="n"/>
      <c r="S2431" s="27" t="n"/>
      <c r="T2431" s="27" t="n"/>
    </row>
    <row r="2432" ht="13.8" customFormat="1" customHeight="1" s="70">
      <c r="M2432" s="27" t="n"/>
      <c r="N2432" s="27" t="n"/>
      <c r="O2432" s="27" t="n"/>
      <c r="P2432" s="27" t="n"/>
      <c r="Q2432" s="27" t="n"/>
      <c r="R2432" s="27" t="n"/>
      <c r="S2432" s="27" t="n"/>
      <c r="T2432" s="27" t="n"/>
    </row>
    <row r="2433" ht="13.8" customFormat="1" customHeight="1" s="70">
      <c r="M2433" s="27" t="n"/>
      <c r="N2433" s="27" t="n"/>
      <c r="O2433" s="27" t="n"/>
      <c r="P2433" s="27" t="n"/>
      <c r="Q2433" s="27" t="n"/>
      <c r="R2433" s="27" t="n"/>
      <c r="S2433" s="27" t="n"/>
      <c r="T2433" s="27" t="n"/>
    </row>
    <row r="2434" ht="13.8" customFormat="1" customHeight="1" s="70">
      <c r="M2434" s="27" t="n"/>
      <c r="N2434" s="27" t="n"/>
      <c r="O2434" s="27" t="n"/>
      <c r="P2434" s="27" t="n"/>
      <c r="Q2434" s="27" t="n"/>
      <c r="R2434" s="27" t="n"/>
      <c r="S2434" s="27" t="n"/>
      <c r="T2434" s="27" t="n"/>
    </row>
    <row r="2435" ht="13.8" customFormat="1" customHeight="1" s="70">
      <c r="M2435" s="27" t="n"/>
      <c r="N2435" s="27" t="n"/>
      <c r="O2435" s="27" t="n"/>
      <c r="P2435" s="27" t="n"/>
      <c r="Q2435" s="27" t="n"/>
      <c r="R2435" s="27" t="n"/>
      <c r="S2435" s="27" t="n"/>
      <c r="T2435" s="27" t="n"/>
    </row>
    <row r="2436" ht="13.8" customFormat="1" customHeight="1" s="70">
      <c r="M2436" s="27" t="n"/>
      <c r="N2436" s="27" t="n"/>
      <c r="O2436" s="27" t="n"/>
      <c r="P2436" s="27" t="n"/>
      <c r="Q2436" s="27" t="n"/>
      <c r="R2436" s="27" t="n"/>
      <c r="S2436" s="27" t="n"/>
      <c r="T2436" s="27" t="n"/>
    </row>
    <row r="2437" ht="13.8" customFormat="1" customHeight="1" s="70">
      <c r="M2437" s="27" t="n"/>
      <c r="N2437" s="27" t="n"/>
      <c r="O2437" s="27" t="n"/>
      <c r="P2437" s="27" t="n"/>
      <c r="Q2437" s="27" t="n"/>
      <c r="R2437" s="27" t="n"/>
      <c r="S2437" s="27" t="n"/>
      <c r="T2437" s="27" t="n"/>
    </row>
    <row r="2438" ht="13.8" customFormat="1" customHeight="1" s="70">
      <c r="M2438" s="27" t="n"/>
      <c r="N2438" s="27" t="n"/>
      <c r="O2438" s="27" t="n"/>
      <c r="P2438" s="27" t="n"/>
      <c r="Q2438" s="27" t="n"/>
      <c r="R2438" s="27" t="n"/>
      <c r="S2438" s="27" t="n"/>
      <c r="T2438" s="27" t="n"/>
    </row>
    <row r="2439" ht="13.8" customFormat="1" customHeight="1" s="70">
      <c r="M2439" s="27" t="n"/>
      <c r="N2439" s="27" t="n"/>
      <c r="O2439" s="27" t="n"/>
      <c r="P2439" s="27" t="n"/>
      <c r="Q2439" s="27" t="n"/>
      <c r="R2439" s="27" t="n"/>
      <c r="S2439" s="27" t="n"/>
      <c r="T2439" s="27" t="n"/>
    </row>
    <row r="2440" ht="13.8" customFormat="1" customHeight="1" s="70">
      <c r="M2440" s="27" t="n"/>
      <c r="N2440" s="27" t="n"/>
      <c r="O2440" s="27" t="n"/>
      <c r="P2440" s="27" t="n"/>
      <c r="Q2440" s="27" t="n"/>
      <c r="R2440" s="27" t="n"/>
      <c r="S2440" s="27" t="n"/>
      <c r="T2440" s="27" t="n"/>
    </row>
    <row r="2441" ht="13.8" customFormat="1" customHeight="1" s="70">
      <c r="M2441" s="27" t="n"/>
      <c r="N2441" s="27" t="n"/>
      <c r="O2441" s="27" t="n"/>
      <c r="P2441" s="27" t="n"/>
      <c r="Q2441" s="27" t="n"/>
      <c r="R2441" s="27" t="n"/>
      <c r="S2441" s="27" t="n"/>
      <c r="T2441" s="27" t="n"/>
    </row>
    <row r="2442" ht="13.8" customFormat="1" customHeight="1" s="70">
      <c r="M2442" s="27" t="n"/>
      <c r="N2442" s="27" t="n"/>
      <c r="O2442" s="27" t="n"/>
      <c r="P2442" s="27" t="n"/>
      <c r="Q2442" s="27" t="n"/>
      <c r="R2442" s="27" t="n"/>
      <c r="S2442" s="27" t="n"/>
      <c r="T2442" s="27" t="n"/>
    </row>
    <row r="2443" ht="13.8" customFormat="1" customHeight="1" s="70">
      <c r="M2443" s="27" t="n"/>
      <c r="N2443" s="27" t="n"/>
      <c r="O2443" s="27" t="n"/>
      <c r="P2443" s="27" t="n"/>
      <c r="Q2443" s="27" t="n"/>
      <c r="R2443" s="27" t="n"/>
      <c r="S2443" s="27" t="n"/>
      <c r="T2443" s="27" t="n"/>
    </row>
    <row r="2444" ht="13.8" customFormat="1" customHeight="1" s="70">
      <c r="M2444" s="27" t="n"/>
      <c r="N2444" s="27" t="n"/>
      <c r="O2444" s="27" t="n"/>
      <c r="P2444" s="27" t="n"/>
      <c r="Q2444" s="27" t="n"/>
      <c r="R2444" s="27" t="n"/>
      <c r="S2444" s="27" t="n"/>
      <c r="T2444" s="27" t="n"/>
    </row>
    <row r="2445" ht="13.8" customFormat="1" customHeight="1" s="70">
      <c r="M2445" s="27" t="n"/>
      <c r="N2445" s="27" t="n"/>
      <c r="O2445" s="27" t="n"/>
      <c r="P2445" s="27" t="n"/>
      <c r="Q2445" s="27" t="n"/>
      <c r="R2445" s="27" t="n"/>
      <c r="S2445" s="27" t="n"/>
      <c r="T2445" s="27" t="n"/>
    </row>
    <row r="2446" ht="13.8" customFormat="1" customHeight="1" s="70">
      <c r="M2446" s="27" t="n"/>
      <c r="N2446" s="27" t="n"/>
      <c r="O2446" s="27" t="n"/>
      <c r="P2446" s="27" t="n"/>
      <c r="Q2446" s="27" t="n"/>
      <c r="R2446" s="27" t="n"/>
      <c r="S2446" s="27" t="n"/>
      <c r="T2446" s="27" t="n"/>
    </row>
    <row r="2447" ht="13.8" customFormat="1" customHeight="1" s="70">
      <c r="M2447" s="27" t="n"/>
      <c r="N2447" s="27" t="n"/>
      <c r="O2447" s="27" t="n"/>
      <c r="P2447" s="27" t="n"/>
      <c r="Q2447" s="27" t="n"/>
      <c r="R2447" s="27" t="n"/>
      <c r="S2447" s="27" t="n"/>
      <c r="T2447" s="27" t="n"/>
    </row>
    <row r="2448" ht="13.8" customFormat="1" customHeight="1" s="70">
      <c r="M2448" s="27" t="n"/>
      <c r="N2448" s="27" t="n"/>
      <c r="O2448" s="27" t="n"/>
      <c r="P2448" s="27" t="n"/>
      <c r="Q2448" s="27" t="n"/>
      <c r="R2448" s="27" t="n"/>
      <c r="S2448" s="27" t="n"/>
      <c r="T2448" s="27" t="n"/>
    </row>
    <row r="2449" ht="13.8" customFormat="1" customHeight="1" s="70">
      <c r="M2449" s="27" t="n"/>
      <c r="N2449" s="27" t="n"/>
      <c r="O2449" s="27" t="n"/>
      <c r="P2449" s="27" t="n"/>
      <c r="Q2449" s="27" t="n"/>
      <c r="R2449" s="27" t="n"/>
      <c r="S2449" s="27" t="n"/>
      <c r="T2449" s="27" t="n"/>
    </row>
    <row r="2450" ht="13.8" customFormat="1" customHeight="1" s="70">
      <c r="M2450" s="27" t="n"/>
      <c r="N2450" s="27" t="n"/>
      <c r="O2450" s="27" t="n"/>
      <c r="P2450" s="27" t="n"/>
      <c r="Q2450" s="27" t="n"/>
      <c r="R2450" s="27" t="n"/>
      <c r="S2450" s="27" t="n"/>
      <c r="T2450" s="27" t="n"/>
    </row>
    <row r="2451" ht="13.8" customFormat="1" customHeight="1" s="70">
      <c r="M2451" s="27" t="n"/>
      <c r="N2451" s="27" t="n"/>
      <c r="O2451" s="27" t="n"/>
      <c r="P2451" s="27" t="n"/>
      <c r="Q2451" s="27" t="n"/>
      <c r="R2451" s="27" t="n"/>
      <c r="S2451" s="27" t="n"/>
      <c r="T2451" s="27" t="n"/>
    </row>
    <row r="2452" ht="13.8" customFormat="1" customHeight="1" s="70">
      <c r="M2452" s="27" t="n"/>
      <c r="N2452" s="27" t="n"/>
      <c r="O2452" s="27" t="n"/>
      <c r="P2452" s="27" t="n"/>
      <c r="Q2452" s="27" t="n"/>
      <c r="R2452" s="27" t="n"/>
      <c r="S2452" s="27" t="n"/>
      <c r="T2452" s="27" t="n"/>
    </row>
    <row r="2453" ht="13.8" customFormat="1" customHeight="1" s="70">
      <c r="M2453" s="27" t="n"/>
      <c r="N2453" s="27" t="n"/>
      <c r="O2453" s="27" t="n"/>
      <c r="P2453" s="27" t="n"/>
      <c r="Q2453" s="27" t="n"/>
      <c r="R2453" s="27" t="n"/>
      <c r="S2453" s="27" t="n"/>
      <c r="T2453" s="27" t="n"/>
    </row>
    <row r="2454" ht="13.8" customFormat="1" customHeight="1" s="70">
      <c r="M2454" s="27" t="n"/>
      <c r="N2454" s="27" t="n"/>
      <c r="O2454" s="27" t="n"/>
      <c r="P2454" s="27" t="n"/>
      <c r="Q2454" s="27" t="n"/>
      <c r="R2454" s="27" t="n"/>
      <c r="S2454" s="27" t="n"/>
      <c r="T2454" s="27" t="n"/>
    </row>
    <row r="2455" ht="13.8" customFormat="1" customHeight="1" s="70">
      <c r="M2455" s="27" t="n"/>
      <c r="N2455" s="27" t="n"/>
      <c r="O2455" s="27" t="n"/>
      <c r="P2455" s="27" t="n"/>
      <c r="Q2455" s="27" t="n"/>
      <c r="R2455" s="27" t="n"/>
      <c r="S2455" s="27" t="n"/>
      <c r="T2455" s="27" t="n"/>
    </row>
    <row r="2456" ht="13.8" customFormat="1" customHeight="1" s="70">
      <c r="M2456" s="27" t="n"/>
      <c r="N2456" s="27" t="n"/>
      <c r="O2456" s="27" t="n"/>
      <c r="P2456" s="27" t="n"/>
      <c r="Q2456" s="27" t="n"/>
      <c r="R2456" s="27" t="n"/>
      <c r="S2456" s="27" t="n"/>
      <c r="T2456" s="27" t="n"/>
    </row>
    <row r="2457" ht="13.8" customFormat="1" customHeight="1" s="70">
      <c r="M2457" s="27" t="n"/>
      <c r="N2457" s="27" t="n"/>
      <c r="O2457" s="27" t="n"/>
      <c r="P2457" s="27" t="n"/>
      <c r="Q2457" s="27" t="n"/>
      <c r="R2457" s="27" t="n"/>
      <c r="S2457" s="27" t="n"/>
      <c r="T2457" s="27" t="n"/>
    </row>
    <row r="2458" ht="13.8" customFormat="1" customHeight="1" s="70">
      <c r="M2458" s="27" t="n"/>
      <c r="N2458" s="27" t="n"/>
      <c r="O2458" s="27" t="n"/>
      <c r="P2458" s="27" t="n"/>
      <c r="Q2458" s="27" t="n"/>
      <c r="R2458" s="27" t="n"/>
      <c r="S2458" s="27" t="n"/>
      <c r="T2458" s="27" t="n"/>
    </row>
    <row r="2459" ht="13.8" customFormat="1" customHeight="1" s="70">
      <c r="M2459" s="27" t="n"/>
      <c r="N2459" s="27" t="n"/>
      <c r="O2459" s="27" t="n"/>
      <c r="P2459" s="27" t="n"/>
      <c r="Q2459" s="27" t="n"/>
      <c r="R2459" s="27" t="n"/>
      <c r="S2459" s="27" t="n"/>
      <c r="T2459" s="27" t="n"/>
    </row>
    <row r="2460" ht="13.8" customFormat="1" customHeight="1" s="70">
      <c r="M2460" s="27" t="n"/>
      <c r="N2460" s="27" t="n"/>
      <c r="O2460" s="27" t="n"/>
      <c r="P2460" s="27" t="n"/>
      <c r="Q2460" s="27" t="n"/>
      <c r="R2460" s="27" t="n"/>
      <c r="S2460" s="27" t="n"/>
      <c r="T2460" s="27" t="n"/>
    </row>
    <row r="2461" ht="13.8" customFormat="1" customHeight="1" s="70">
      <c r="M2461" s="27" t="n"/>
      <c r="N2461" s="27" t="n"/>
      <c r="O2461" s="27" t="n"/>
      <c r="P2461" s="27" t="n"/>
      <c r="Q2461" s="27" t="n"/>
      <c r="R2461" s="27" t="n"/>
      <c r="S2461" s="27" t="n"/>
      <c r="T2461" s="27" t="n"/>
    </row>
    <row r="2462" ht="13.8" customFormat="1" customHeight="1" s="70">
      <c r="M2462" s="27" t="n"/>
      <c r="N2462" s="27" t="n"/>
      <c r="O2462" s="27" t="n"/>
      <c r="P2462" s="27" t="n"/>
      <c r="Q2462" s="27" t="n"/>
      <c r="R2462" s="27" t="n"/>
      <c r="S2462" s="27" t="n"/>
      <c r="T2462" s="27" t="n"/>
    </row>
    <row r="2463" ht="13.8" customFormat="1" customHeight="1" s="70">
      <c r="M2463" s="27" t="n"/>
      <c r="N2463" s="27" t="n"/>
      <c r="O2463" s="27" t="n"/>
      <c r="P2463" s="27" t="n"/>
      <c r="Q2463" s="27" t="n"/>
      <c r="R2463" s="27" t="n"/>
      <c r="S2463" s="27" t="n"/>
      <c r="T2463" s="27" t="n"/>
    </row>
    <row r="2464" ht="13.8" customFormat="1" customHeight="1" s="70">
      <c r="M2464" s="27" t="n"/>
      <c r="N2464" s="27" t="n"/>
      <c r="O2464" s="27" t="n"/>
      <c r="P2464" s="27" t="n"/>
      <c r="Q2464" s="27" t="n"/>
      <c r="R2464" s="27" t="n"/>
      <c r="S2464" s="27" t="n"/>
      <c r="T2464" s="27" t="n"/>
    </row>
    <row r="2465" ht="13.8" customFormat="1" customHeight="1" s="70">
      <c r="M2465" s="27" t="n"/>
      <c r="N2465" s="27" t="n"/>
      <c r="O2465" s="27" t="n"/>
      <c r="P2465" s="27" t="n"/>
      <c r="Q2465" s="27" t="n"/>
      <c r="R2465" s="27" t="n"/>
      <c r="S2465" s="27" t="n"/>
      <c r="T2465" s="27" t="n"/>
    </row>
    <row r="2466" ht="13.8" customFormat="1" customHeight="1" s="70">
      <c r="M2466" s="27" t="n"/>
      <c r="N2466" s="27" t="n"/>
      <c r="O2466" s="27" t="n"/>
      <c r="P2466" s="27" t="n"/>
      <c r="Q2466" s="27" t="n"/>
      <c r="R2466" s="27" t="n"/>
      <c r="S2466" s="27" t="n"/>
      <c r="T2466" s="27" t="n"/>
    </row>
    <row r="2467" ht="13.8" customFormat="1" customHeight="1" s="70">
      <c r="M2467" s="27" t="n"/>
      <c r="N2467" s="27" t="n"/>
      <c r="O2467" s="27" t="n"/>
      <c r="P2467" s="27" t="n"/>
      <c r="Q2467" s="27" t="n"/>
      <c r="R2467" s="27" t="n"/>
      <c r="S2467" s="27" t="n"/>
      <c r="T2467" s="27" t="n"/>
    </row>
    <row r="2468" ht="13.8" customFormat="1" customHeight="1" s="70">
      <c r="M2468" s="27" t="n"/>
      <c r="N2468" s="27" t="n"/>
      <c r="O2468" s="27" t="n"/>
      <c r="P2468" s="27" t="n"/>
      <c r="Q2468" s="27" t="n"/>
      <c r="R2468" s="27" t="n"/>
      <c r="S2468" s="27" t="n"/>
      <c r="T2468" s="27" t="n"/>
    </row>
    <row r="2469" ht="13.8" customFormat="1" customHeight="1" s="70">
      <c r="M2469" s="27" t="n"/>
      <c r="N2469" s="27" t="n"/>
      <c r="O2469" s="27" t="n"/>
      <c r="P2469" s="27" t="n"/>
      <c r="Q2469" s="27" t="n"/>
      <c r="R2469" s="27" t="n"/>
      <c r="S2469" s="27" t="n"/>
      <c r="T2469" s="27" t="n"/>
    </row>
    <row r="2470" ht="13.8" customFormat="1" customHeight="1" s="70">
      <c r="M2470" s="27" t="n"/>
      <c r="N2470" s="27" t="n"/>
      <c r="O2470" s="27" t="n"/>
      <c r="P2470" s="27" t="n"/>
      <c r="Q2470" s="27" t="n"/>
      <c r="R2470" s="27" t="n"/>
      <c r="S2470" s="27" t="n"/>
      <c r="T2470" s="27" t="n"/>
    </row>
    <row r="2471" ht="13.8" customFormat="1" customHeight="1" s="70">
      <c r="M2471" s="27" t="n"/>
      <c r="N2471" s="27" t="n"/>
      <c r="O2471" s="27" t="n"/>
      <c r="P2471" s="27" t="n"/>
      <c r="Q2471" s="27" t="n"/>
      <c r="R2471" s="27" t="n"/>
      <c r="S2471" s="27" t="n"/>
      <c r="T2471" s="27" t="n"/>
    </row>
    <row r="2472" ht="13.8" customFormat="1" customHeight="1" s="70">
      <c r="M2472" s="27" t="n"/>
      <c r="N2472" s="27" t="n"/>
      <c r="O2472" s="27" t="n"/>
      <c r="P2472" s="27" t="n"/>
      <c r="Q2472" s="27" t="n"/>
      <c r="R2472" s="27" t="n"/>
      <c r="S2472" s="27" t="n"/>
      <c r="T2472" s="27" t="n"/>
    </row>
    <row r="2473" ht="13.8" customFormat="1" customHeight="1" s="70">
      <c r="M2473" s="27" t="n"/>
      <c r="N2473" s="27" t="n"/>
      <c r="O2473" s="27" t="n"/>
      <c r="P2473" s="27" t="n"/>
      <c r="Q2473" s="27" t="n"/>
      <c r="R2473" s="27" t="n"/>
      <c r="S2473" s="27" t="n"/>
      <c r="T2473" s="27" t="n"/>
    </row>
    <row r="2474" ht="13.8" customFormat="1" customHeight="1" s="70">
      <c r="M2474" s="27" t="n"/>
      <c r="N2474" s="27" t="n"/>
      <c r="O2474" s="27" t="n"/>
      <c r="P2474" s="27" t="n"/>
      <c r="Q2474" s="27" t="n"/>
      <c r="R2474" s="27" t="n"/>
      <c r="S2474" s="27" t="n"/>
      <c r="T2474" s="27" t="n"/>
    </row>
    <row r="2475" ht="13.8" customFormat="1" customHeight="1" s="70">
      <c r="M2475" s="27" t="n"/>
      <c r="N2475" s="27" t="n"/>
      <c r="O2475" s="27" t="n"/>
      <c r="P2475" s="27" t="n"/>
      <c r="Q2475" s="27" t="n"/>
      <c r="R2475" s="27" t="n"/>
      <c r="S2475" s="27" t="n"/>
      <c r="T2475" s="27" t="n"/>
    </row>
    <row r="2476" ht="13.8" customFormat="1" customHeight="1" s="70">
      <c r="M2476" s="27" t="n"/>
      <c r="N2476" s="27" t="n"/>
      <c r="O2476" s="27" t="n"/>
      <c r="P2476" s="27" t="n"/>
      <c r="Q2476" s="27" t="n"/>
      <c r="R2476" s="27" t="n"/>
      <c r="S2476" s="27" t="n"/>
      <c r="T2476" s="27" t="n"/>
    </row>
    <row r="2477" ht="13.8" customFormat="1" customHeight="1" s="70">
      <c r="M2477" s="27" t="n"/>
      <c r="N2477" s="27" t="n"/>
      <c r="O2477" s="27" t="n"/>
      <c r="P2477" s="27" t="n"/>
      <c r="Q2477" s="27" t="n"/>
      <c r="R2477" s="27" t="n"/>
      <c r="S2477" s="27" t="n"/>
      <c r="T2477" s="27" t="n"/>
    </row>
    <row r="2478" ht="13.8" customFormat="1" customHeight="1" s="70">
      <c r="M2478" s="27" t="n"/>
      <c r="N2478" s="27" t="n"/>
      <c r="O2478" s="27" t="n"/>
      <c r="P2478" s="27" t="n"/>
      <c r="Q2478" s="27" t="n"/>
      <c r="R2478" s="27" t="n"/>
      <c r="S2478" s="27" t="n"/>
      <c r="T2478" s="27" t="n"/>
    </row>
    <row r="2479" ht="13.8" customFormat="1" customHeight="1" s="70">
      <c r="M2479" s="27" t="n"/>
      <c r="N2479" s="27" t="n"/>
      <c r="O2479" s="27" t="n"/>
      <c r="P2479" s="27" t="n"/>
      <c r="Q2479" s="27" t="n"/>
      <c r="R2479" s="27" t="n"/>
      <c r="S2479" s="27" t="n"/>
      <c r="T2479" s="27" t="n"/>
    </row>
    <row r="2480" ht="13.8" customFormat="1" customHeight="1" s="70">
      <c r="M2480" s="27" t="n"/>
      <c r="N2480" s="27" t="n"/>
      <c r="O2480" s="27" t="n"/>
      <c r="P2480" s="27" t="n"/>
      <c r="Q2480" s="27" t="n"/>
      <c r="R2480" s="27" t="n"/>
      <c r="S2480" s="27" t="n"/>
      <c r="T2480" s="27" t="n"/>
    </row>
    <row r="2481" ht="13.8" customFormat="1" customHeight="1" s="70">
      <c r="M2481" s="27" t="n"/>
      <c r="N2481" s="27" t="n"/>
      <c r="O2481" s="27" t="n"/>
      <c r="P2481" s="27" t="n"/>
      <c r="Q2481" s="27" t="n"/>
      <c r="R2481" s="27" t="n"/>
      <c r="S2481" s="27" t="n"/>
      <c r="T2481" s="27" t="n"/>
    </row>
    <row r="2482" ht="13.8" customFormat="1" customHeight="1" s="70">
      <c r="M2482" s="27" t="n"/>
      <c r="N2482" s="27" t="n"/>
      <c r="O2482" s="27" t="n"/>
      <c r="P2482" s="27" t="n"/>
      <c r="Q2482" s="27" t="n"/>
      <c r="R2482" s="27" t="n"/>
      <c r="S2482" s="27" t="n"/>
      <c r="T2482" s="27" t="n"/>
    </row>
    <row r="2483" ht="13.8" customFormat="1" customHeight="1" s="70">
      <c r="M2483" s="27" t="n"/>
      <c r="N2483" s="27" t="n"/>
      <c r="O2483" s="27" t="n"/>
      <c r="P2483" s="27" t="n"/>
      <c r="Q2483" s="27" t="n"/>
      <c r="R2483" s="27" t="n"/>
      <c r="S2483" s="27" t="n"/>
      <c r="T2483" s="27" t="n"/>
    </row>
    <row r="2484" ht="13.8" customFormat="1" customHeight="1" s="70">
      <c r="M2484" s="27" t="n"/>
      <c r="N2484" s="27" t="n"/>
      <c r="O2484" s="27" t="n"/>
      <c r="P2484" s="27" t="n"/>
      <c r="Q2484" s="27" t="n"/>
      <c r="R2484" s="27" t="n"/>
      <c r="S2484" s="27" t="n"/>
      <c r="T2484" s="27" t="n"/>
    </row>
    <row r="2485" ht="13.8" customFormat="1" customHeight="1" s="70">
      <c r="M2485" s="27" t="n"/>
      <c r="N2485" s="27" t="n"/>
      <c r="O2485" s="27" t="n"/>
      <c r="P2485" s="27" t="n"/>
      <c r="Q2485" s="27" t="n"/>
      <c r="R2485" s="27" t="n"/>
      <c r="S2485" s="27" t="n"/>
      <c r="T2485" s="27" t="n"/>
    </row>
    <row r="2486" ht="13.8" customFormat="1" customHeight="1" s="70">
      <c r="M2486" s="27" t="n"/>
      <c r="N2486" s="27" t="n"/>
      <c r="O2486" s="27" t="n"/>
      <c r="P2486" s="27" t="n"/>
      <c r="Q2486" s="27" t="n"/>
      <c r="R2486" s="27" t="n"/>
      <c r="S2486" s="27" t="n"/>
      <c r="T2486" s="27" t="n"/>
    </row>
    <row r="2487" ht="13.8" customFormat="1" customHeight="1" s="70">
      <c r="M2487" s="27" t="n"/>
      <c r="N2487" s="27" t="n"/>
      <c r="O2487" s="27" t="n"/>
      <c r="P2487" s="27" t="n"/>
      <c r="Q2487" s="27" t="n"/>
      <c r="R2487" s="27" t="n"/>
      <c r="S2487" s="27" t="n"/>
      <c r="T2487" s="27" t="n"/>
    </row>
    <row r="2488" ht="13.8" customFormat="1" customHeight="1" s="70">
      <c r="M2488" s="27" t="n"/>
      <c r="N2488" s="27" t="n"/>
      <c r="O2488" s="27" t="n"/>
      <c r="P2488" s="27" t="n"/>
      <c r="Q2488" s="27" t="n"/>
      <c r="R2488" s="27" t="n"/>
      <c r="S2488" s="27" t="n"/>
      <c r="T2488" s="27" t="n"/>
    </row>
    <row r="2489" ht="13.8" customFormat="1" customHeight="1" s="70">
      <c r="M2489" s="27" t="n"/>
      <c r="N2489" s="27" t="n"/>
      <c r="O2489" s="27" t="n"/>
      <c r="P2489" s="27" t="n"/>
      <c r="Q2489" s="27" t="n"/>
      <c r="R2489" s="27" t="n"/>
      <c r="S2489" s="27" t="n"/>
      <c r="T2489" s="27" t="n"/>
    </row>
    <row r="2490" ht="13.8" customFormat="1" customHeight="1" s="70">
      <c r="M2490" s="27" t="n"/>
      <c r="N2490" s="27" t="n"/>
      <c r="O2490" s="27" t="n"/>
      <c r="P2490" s="27" t="n"/>
      <c r="Q2490" s="27" t="n"/>
      <c r="R2490" s="27" t="n"/>
      <c r="S2490" s="27" t="n"/>
      <c r="T2490" s="27" t="n"/>
    </row>
    <row r="2491" ht="13.8" customFormat="1" customHeight="1" s="70">
      <c r="M2491" s="27" t="n"/>
      <c r="N2491" s="27" t="n"/>
      <c r="O2491" s="27" t="n"/>
      <c r="P2491" s="27" t="n"/>
      <c r="Q2491" s="27" t="n"/>
      <c r="R2491" s="27" t="n"/>
      <c r="S2491" s="27" t="n"/>
      <c r="T2491" s="27" t="n"/>
    </row>
    <row r="2492" ht="13.8" customFormat="1" customHeight="1" s="70">
      <c r="M2492" s="27" t="n"/>
      <c r="N2492" s="27" t="n"/>
      <c r="O2492" s="27" t="n"/>
      <c r="P2492" s="27" t="n"/>
      <c r="Q2492" s="27" t="n"/>
      <c r="R2492" s="27" t="n"/>
      <c r="S2492" s="27" t="n"/>
      <c r="T2492" s="27" t="n"/>
    </row>
    <row r="2493" ht="13.8" customFormat="1" customHeight="1" s="70">
      <c r="M2493" s="27" t="n"/>
      <c r="N2493" s="27" t="n"/>
      <c r="O2493" s="27" t="n"/>
      <c r="P2493" s="27" t="n"/>
      <c r="Q2493" s="27" t="n"/>
      <c r="R2493" s="27" t="n"/>
      <c r="S2493" s="27" t="n"/>
      <c r="T2493" s="27" t="n"/>
    </row>
    <row r="2494" ht="13.8" customFormat="1" customHeight="1" s="70">
      <c r="M2494" s="27" t="n"/>
      <c r="N2494" s="27" t="n"/>
      <c r="O2494" s="27" t="n"/>
      <c r="P2494" s="27" t="n"/>
      <c r="Q2494" s="27" t="n"/>
      <c r="R2494" s="27" t="n"/>
      <c r="S2494" s="27" t="n"/>
      <c r="T2494" s="27" t="n"/>
    </row>
    <row r="2495" ht="13.8" customFormat="1" customHeight="1" s="70">
      <c r="M2495" s="27" t="n"/>
      <c r="N2495" s="27" t="n"/>
      <c r="O2495" s="27" t="n"/>
      <c r="P2495" s="27" t="n"/>
      <c r="Q2495" s="27" t="n"/>
      <c r="R2495" s="27" t="n"/>
      <c r="S2495" s="27" t="n"/>
      <c r="T2495" s="27" t="n"/>
    </row>
    <row r="2496" ht="13.8" customFormat="1" customHeight="1" s="70">
      <c r="M2496" s="27" t="n"/>
      <c r="N2496" s="27" t="n"/>
      <c r="O2496" s="27" t="n"/>
      <c r="P2496" s="27" t="n"/>
      <c r="Q2496" s="27" t="n"/>
      <c r="R2496" s="27" t="n"/>
      <c r="S2496" s="27" t="n"/>
      <c r="T2496" s="27" t="n"/>
    </row>
    <row r="2497" ht="13.8" customFormat="1" customHeight="1" s="70">
      <c r="M2497" s="27" t="n"/>
      <c r="N2497" s="27" t="n"/>
      <c r="O2497" s="27" t="n"/>
      <c r="P2497" s="27" t="n"/>
      <c r="Q2497" s="27" t="n"/>
      <c r="R2497" s="27" t="n"/>
      <c r="S2497" s="27" t="n"/>
      <c r="T2497" s="27" t="n"/>
    </row>
    <row r="2498" ht="13.8" customFormat="1" customHeight="1" s="70">
      <c r="M2498" s="27" t="n"/>
      <c r="N2498" s="27" t="n"/>
      <c r="O2498" s="27" t="n"/>
      <c r="P2498" s="27" t="n"/>
      <c r="Q2498" s="27" t="n"/>
      <c r="R2498" s="27" t="n"/>
      <c r="S2498" s="27" t="n"/>
      <c r="T2498" s="27" t="n"/>
    </row>
    <row r="2499" ht="13.8" customFormat="1" customHeight="1" s="70">
      <c r="M2499" s="27" t="n"/>
      <c r="N2499" s="27" t="n"/>
      <c r="O2499" s="27" t="n"/>
      <c r="P2499" s="27" t="n"/>
      <c r="Q2499" s="27" t="n"/>
      <c r="R2499" s="27" t="n"/>
      <c r="S2499" s="27" t="n"/>
      <c r="T2499" s="27" t="n"/>
    </row>
    <row r="2500" ht="13.8" customFormat="1" customHeight="1" s="70">
      <c r="M2500" s="27" t="n"/>
      <c r="N2500" s="27" t="n"/>
      <c r="O2500" s="27" t="n"/>
      <c r="P2500" s="27" t="n"/>
      <c r="Q2500" s="27" t="n"/>
      <c r="R2500" s="27" t="n"/>
      <c r="S2500" s="27" t="n"/>
      <c r="T2500" s="27" t="n"/>
    </row>
    <row r="2501" ht="13.8" customFormat="1" customHeight="1" s="70">
      <c r="M2501" s="27" t="n"/>
      <c r="N2501" s="27" t="n"/>
      <c r="O2501" s="27" t="n"/>
      <c r="P2501" s="27" t="n"/>
      <c r="Q2501" s="27" t="n"/>
      <c r="R2501" s="27" t="n"/>
      <c r="S2501" s="27" t="n"/>
      <c r="T2501" s="27" t="n"/>
    </row>
    <row r="2502" ht="13.8" customFormat="1" customHeight="1" s="70">
      <c r="M2502" s="27" t="n"/>
      <c r="N2502" s="27" t="n"/>
      <c r="O2502" s="27" t="n"/>
      <c r="P2502" s="27" t="n"/>
      <c r="Q2502" s="27" t="n"/>
      <c r="R2502" s="27" t="n"/>
      <c r="S2502" s="27" t="n"/>
      <c r="T2502" s="27" t="n"/>
    </row>
    <row r="2503" ht="13.8" customFormat="1" customHeight="1" s="70">
      <c r="M2503" s="27" t="n"/>
      <c r="N2503" s="27" t="n"/>
      <c r="O2503" s="27" t="n"/>
      <c r="P2503" s="27" t="n"/>
      <c r="Q2503" s="27" t="n"/>
      <c r="R2503" s="27" t="n"/>
      <c r="S2503" s="27" t="n"/>
      <c r="T2503" s="27" t="n"/>
    </row>
    <row r="2504" ht="13.8" customFormat="1" customHeight="1" s="70">
      <c r="M2504" s="27" t="n"/>
      <c r="N2504" s="27" t="n"/>
      <c r="O2504" s="27" t="n"/>
      <c r="P2504" s="27" t="n"/>
      <c r="Q2504" s="27" t="n"/>
      <c r="R2504" s="27" t="n"/>
      <c r="S2504" s="27" t="n"/>
      <c r="T2504" s="27" t="n"/>
    </row>
    <row r="2505" ht="13.8" customFormat="1" customHeight="1" s="70">
      <c r="M2505" s="27" t="n"/>
      <c r="N2505" s="27" t="n"/>
      <c r="O2505" s="27" t="n"/>
      <c r="P2505" s="27" t="n"/>
      <c r="Q2505" s="27" t="n"/>
      <c r="R2505" s="27" t="n"/>
      <c r="S2505" s="27" t="n"/>
      <c r="T2505" s="27" t="n"/>
    </row>
    <row r="2506" ht="13.8" customFormat="1" customHeight="1" s="70">
      <c r="M2506" s="27" t="n"/>
      <c r="N2506" s="27" t="n"/>
      <c r="O2506" s="27" t="n"/>
      <c r="P2506" s="27" t="n"/>
      <c r="Q2506" s="27" t="n"/>
      <c r="R2506" s="27" t="n"/>
      <c r="S2506" s="27" t="n"/>
      <c r="T2506" s="27" t="n"/>
    </row>
    <row r="2507" ht="13.8" customFormat="1" customHeight="1" s="70">
      <c r="M2507" s="27" t="n"/>
      <c r="N2507" s="27" t="n"/>
      <c r="O2507" s="27" t="n"/>
      <c r="P2507" s="27" t="n"/>
      <c r="Q2507" s="27" t="n"/>
      <c r="R2507" s="27" t="n"/>
      <c r="S2507" s="27" t="n"/>
      <c r="T2507" s="27" t="n"/>
    </row>
    <row r="2508" ht="13.8" customFormat="1" customHeight="1" s="70">
      <c r="M2508" s="27" t="n"/>
      <c r="N2508" s="27" t="n"/>
      <c r="O2508" s="27" t="n"/>
      <c r="P2508" s="27" t="n"/>
      <c r="Q2508" s="27" t="n"/>
      <c r="R2508" s="27" t="n"/>
      <c r="S2508" s="27" t="n"/>
      <c r="T2508" s="27" t="n"/>
    </row>
    <row r="2509" ht="13.8" customFormat="1" customHeight="1" s="70">
      <c r="M2509" s="27" t="n"/>
      <c r="N2509" s="27" t="n"/>
      <c r="O2509" s="27" t="n"/>
      <c r="P2509" s="27" t="n"/>
      <c r="Q2509" s="27" t="n"/>
      <c r="R2509" s="27" t="n"/>
      <c r="S2509" s="27" t="n"/>
      <c r="T2509" s="27" t="n"/>
    </row>
    <row r="2510" ht="13.8" customFormat="1" customHeight="1" s="70">
      <c r="M2510" s="27" t="n"/>
      <c r="N2510" s="27" t="n"/>
      <c r="O2510" s="27" t="n"/>
      <c r="P2510" s="27" t="n"/>
      <c r="Q2510" s="27" t="n"/>
      <c r="R2510" s="27" t="n"/>
      <c r="S2510" s="27" t="n"/>
      <c r="T2510" s="27" t="n"/>
    </row>
    <row r="2511" ht="13.8" customFormat="1" customHeight="1" s="70">
      <c r="M2511" s="27" t="n"/>
      <c r="N2511" s="27" t="n"/>
      <c r="O2511" s="27" t="n"/>
      <c r="P2511" s="27" t="n"/>
      <c r="Q2511" s="27" t="n"/>
      <c r="R2511" s="27" t="n"/>
      <c r="S2511" s="27" t="n"/>
      <c r="T2511" s="27" t="n"/>
    </row>
    <row r="2512" ht="13.8" customFormat="1" customHeight="1" s="70">
      <c r="M2512" s="27" t="n"/>
      <c r="N2512" s="27" t="n"/>
      <c r="O2512" s="27" t="n"/>
      <c r="P2512" s="27" t="n"/>
      <c r="Q2512" s="27" t="n"/>
      <c r="R2512" s="27" t="n"/>
      <c r="S2512" s="27" t="n"/>
      <c r="T2512" s="27" t="n"/>
    </row>
    <row r="2513" ht="13.8" customFormat="1" customHeight="1" s="70">
      <c r="M2513" s="27" t="n"/>
      <c r="N2513" s="27" t="n"/>
      <c r="O2513" s="27" t="n"/>
      <c r="P2513" s="27" t="n"/>
      <c r="Q2513" s="27" t="n"/>
      <c r="R2513" s="27" t="n"/>
      <c r="S2513" s="27" t="n"/>
      <c r="T2513" s="27" t="n"/>
    </row>
    <row r="2514" ht="13.8" customFormat="1" customHeight="1" s="70">
      <c r="M2514" s="27" t="n"/>
      <c r="N2514" s="27" t="n"/>
      <c r="O2514" s="27" t="n"/>
      <c r="P2514" s="27" t="n"/>
      <c r="Q2514" s="27" t="n"/>
      <c r="R2514" s="27" t="n"/>
      <c r="S2514" s="27" t="n"/>
      <c r="T2514" s="27" t="n"/>
    </row>
    <row r="2515" ht="13.8" customFormat="1" customHeight="1" s="70">
      <c r="M2515" s="27" t="n"/>
      <c r="N2515" s="27" t="n"/>
      <c r="O2515" s="27" t="n"/>
      <c r="P2515" s="27" t="n"/>
      <c r="Q2515" s="27" t="n"/>
      <c r="R2515" s="27" t="n"/>
      <c r="S2515" s="27" t="n"/>
      <c r="T2515" s="27" t="n"/>
    </row>
    <row r="2516" ht="13.8" customFormat="1" customHeight="1" s="70">
      <c r="M2516" s="27" t="n"/>
      <c r="N2516" s="27" t="n"/>
      <c r="O2516" s="27" t="n"/>
      <c r="P2516" s="27" t="n"/>
      <c r="Q2516" s="27" t="n"/>
      <c r="R2516" s="27" t="n"/>
      <c r="S2516" s="27" t="n"/>
      <c r="T2516" s="27" t="n"/>
    </row>
    <row r="2517" ht="13.8" customFormat="1" customHeight="1" s="70">
      <c r="M2517" s="27" t="n"/>
      <c r="N2517" s="27" t="n"/>
      <c r="O2517" s="27" t="n"/>
      <c r="P2517" s="27" t="n"/>
      <c r="Q2517" s="27" t="n"/>
      <c r="R2517" s="27" t="n"/>
      <c r="S2517" s="27" t="n"/>
      <c r="T2517" s="27" t="n"/>
    </row>
    <row r="2518" ht="13.8" customFormat="1" customHeight="1" s="70">
      <c r="M2518" s="27" t="n"/>
      <c r="N2518" s="27" t="n"/>
      <c r="O2518" s="27" t="n"/>
      <c r="P2518" s="27" t="n"/>
      <c r="Q2518" s="27" t="n"/>
      <c r="R2518" s="27" t="n"/>
      <c r="S2518" s="27" t="n"/>
      <c r="T2518" s="27" t="n"/>
    </row>
    <row r="2519" ht="13.8" customFormat="1" customHeight="1" s="70">
      <c r="M2519" s="27" t="n"/>
      <c r="N2519" s="27" t="n"/>
      <c r="O2519" s="27" t="n"/>
      <c r="P2519" s="27" t="n"/>
      <c r="Q2519" s="27" t="n"/>
      <c r="R2519" s="27" t="n"/>
      <c r="S2519" s="27" t="n"/>
      <c r="T2519" s="27" t="n"/>
    </row>
    <row r="2520" ht="13.8" customFormat="1" customHeight="1" s="70">
      <c r="M2520" s="27" t="n"/>
      <c r="N2520" s="27" t="n"/>
      <c r="O2520" s="27" t="n"/>
      <c r="P2520" s="27" t="n"/>
      <c r="Q2520" s="27" t="n"/>
      <c r="R2520" s="27" t="n"/>
      <c r="S2520" s="27" t="n"/>
      <c r="T2520" s="27" t="n"/>
    </row>
    <row r="2521" ht="13.8" customFormat="1" customHeight="1" s="70">
      <c r="M2521" s="27" t="n"/>
      <c r="N2521" s="27" t="n"/>
      <c r="O2521" s="27" t="n"/>
      <c r="P2521" s="27" t="n"/>
      <c r="Q2521" s="27" t="n"/>
      <c r="R2521" s="27" t="n"/>
      <c r="S2521" s="27" t="n"/>
      <c r="T2521" s="27" t="n"/>
    </row>
    <row r="2522" ht="13.8" customFormat="1" customHeight="1" s="70">
      <c r="M2522" s="27" t="n"/>
      <c r="N2522" s="27" t="n"/>
      <c r="O2522" s="27" t="n"/>
      <c r="P2522" s="27" t="n"/>
      <c r="Q2522" s="27" t="n"/>
      <c r="R2522" s="27" t="n"/>
      <c r="S2522" s="27" t="n"/>
      <c r="T2522" s="27" t="n"/>
    </row>
    <row r="2523" ht="13.8" customFormat="1" customHeight="1" s="70">
      <c r="M2523" s="27" t="n"/>
      <c r="N2523" s="27" t="n"/>
      <c r="O2523" s="27" t="n"/>
      <c r="P2523" s="27" t="n"/>
      <c r="Q2523" s="27" t="n"/>
      <c r="R2523" s="27" t="n"/>
      <c r="S2523" s="27" t="n"/>
      <c r="T2523" s="27" t="n"/>
    </row>
    <row r="2524" ht="13.8" customFormat="1" customHeight="1" s="70">
      <c r="M2524" s="27" t="n"/>
      <c r="N2524" s="27" t="n"/>
      <c r="O2524" s="27" t="n"/>
      <c r="P2524" s="27" t="n"/>
      <c r="Q2524" s="27" t="n"/>
      <c r="R2524" s="27" t="n"/>
      <c r="S2524" s="27" t="n"/>
      <c r="T2524" s="27" t="n"/>
    </row>
    <row r="2525" ht="13.8" customFormat="1" customHeight="1" s="70">
      <c r="M2525" s="27" t="n"/>
      <c r="N2525" s="27" t="n"/>
      <c r="O2525" s="27" t="n"/>
      <c r="P2525" s="27" t="n"/>
      <c r="Q2525" s="27" t="n"/>
      <c r="R2525" s="27" t="n"/>
      <c r="S2525" s="27" t="n"/>
      <c r="T2525" s="27" t="n"/>
    </row>
    <row r="2526" ht="13.8" customFormat="1" customHeight="1" s="70">
      <c r="M2526" s="27" t="n"/>
      <c r="N2526" s="27" t="n"/>
      <c r="O2526" s="27" t="n"/>
      <c r="P2526" s="27" t="n"/>
      <c r="Q2526" s="27" t="n"/>
      <c r="R2526" s="27" t="n"/>
      <c r="S2526" s="27" t="n"/>
      <c r="T2526" s="27" t="n"/>
    </row>
    <row r="2527" ht="13.8" customFormat="1" customHeight="1" s="70">
      <c r="M2527" s="27" t="n"/>
      <c r="N2527" s="27" t="n"/>
      <c r="O2527" s="27" t="n"/>
      <c r="P2527" s="27" t="n"/>
      <c r="Q2527" s="27" t="n"/>
      <c r="R2527" s="27" t="n"/>
      <c r="S2527" s="27" t="n"/>
      <c r="T2527" s="27" t="n"/>
    </row>
    <row r="2528" ht="13.8" customFormat="1" customHeight="1" s="70">
      <c r="M2528" s="27" t="n"/>
      <c r="N2528" s="27" t="n"/>
      <c r="O2528" s="27" t="n"/>
      <c r="P2528" s="27" t="n"/>
      <c r="Q2528" s="27" t="n"/>
      <c r="R2528" s="27" t="n"/>
      <c r="S2528" s="27" t="n"/>
      <c r="T2528" s="27" t="n"/>
    </row>
    <row r="2529" ht="13.8" customFormat="1" customHeight="1" s="70">
      <c r="M2529" s="27" t="n"/>
      <c r="N2529" s="27" t="n"/>
      <c r="O2529" s="27" t="n"/>
      <c r="P2529" s="27" t="n"/>
      <c r="Q2529" s="27" t="n"/>
      <c r="R2529" s="27" t="n"/>
      <c r="S2529" s="27" t="n"/>
      <c r="T2529" s="27" t="n"/>
    </row>
    <row r="2530" ht="13.8" customFormat="1" customHeight="1" s="70">
      <c r="M2530" s="27" t="n"/>
      <c r="N2530" s="27" t="n"/>
      <c r="O2530" s="27" t="n"/>
      <c r="P2530" s="27" t="n"/>
      <c r="Q2530" s="27" t="n"/>
      <c r="R2530" s="27" t="n"/>
      <c r="S2530" s="27" t="n"/>
      <c r="T2530" s="27" t="n"/>
    </row>
    <row r="2531" ht="13.8" customFormat="1" customHeight="1" s="70">
      <c r="M2531" s="27" t="n"/>
      <c r="N2531" s="27" t="n"/>
      <c r="O2531" s="27" t="n"/>
      <c r="P2531" s="27" t="n"/>
      <c r="Q2531" s="27" t="n"/>
      <c r="R2531" s="27" t="n"/>
      <c r="S2531" s="27" t="n"/>
      <c r="T2531" s="27" t="n"/>
    </row>
    <row r="2532" ht="13.8" customFormat="1" customHeight="1" s="70">
      <c r="M2532" s="27" t="n"/>
      <c r="N2532" s="27" t="n"/>
      <c r="O2532" s="27" t="n"/>
      <c r="P2532" s="27" t="n"/>
      <c r="Q2532" s="27" t="n"/>
      <c r="R2532" s="27" t="n"/>
      <c r="S2532" s="27" t="n"/>
      <c r="T2532" s="27" t="n"/>
    </row>
    <row r="2533" ht="13.8" customFormat="1" customHeight="1" s="70">
      <c r="M2533" s="27" t="n"/>
      <c r="N2533" s="27" t="n"/>
      <c r="O2533" s="27" t="n"/>
      <c r="P2533" s="27" t="n"/>
      <c r="Q2533" s="27" t="n"/>
      <c r="R2533" s="27" t="n"/>
      <c r="S2533" s="27" t="n"/>
      <c r="T2533" s="27" t="n"/>
    </row>
    <row r="2534" ht="13.8" customFormat="1" customHeight="1" s="70">
      <c r="M2534" s="27" t="n"/>
      <c r="N2534" s="27" t="n"/>
      <c r="O2534" s="27" t="n"/>
      <c r="P2534" s="27" t="n"/>
      <c r="Q2534" s="27" t="n"/>
      <c r="R2534" s="27" t="n"/>
      <c r="S2534" s="27" t="n"/>
      <c r="T2534" s="27" t="n"/>
    </row>
    <row r="2535" ht="13.8" customFormat="1" customHeight="1" s="70">
      <c r="M2535" s="27" t="n"/>
      <c r="N2535" s="27" t="n"/>
      <c r="O2535" s="27" t="n"/>
      <c r="P2535" s="27" t="n"/>
      <c r="Q2535" s="27" t="n"/>
      <c r="R2535" s="27" t="n"/>
      <c r="S2535" s="27" t="n"/>
      <c r="T2535" s="27" t="n"/>
    </row>
    <row r="2536" ht="13.8" customFormat="1" customHeight="1" s="70">
      <c r="M2536" s="27" t="n"/>
      <c r="N2536" s="27" t="n"/>
      <c r="O2536" s="27" t="n"/>
      <c r="P2536" s="27" t="n"/>
      <c r="Q2536" s="27" t="n"/>
      <c r="R2536" s="27" t="n"/>
      <c r="S2536" s="27" t="n"/>
      <c r="T2536" s="27" t="n"/>
    </row>
    <row r="2537" ht="13.8" customFormat="1" customHeight="1" s="70">
      <c r="M2537" s="27" t="n"/>
      <c r="N2537" s="27" t="n"/>
      <c r="O2537" s="27" t="n"/>
      <c r="P2537" s="27" t="n"/>
      <c r="Q2537" s="27" t="n"/>
      <c r="R2537" s="27" t="n"/>
      <c r="S2537" s="27" t="n"/>
      <c r="T2537" s="27" t="n"/>
    </row>
    <row r="2538" ht="13.8" customFormat="1" customHeight="1" s="70">
      <c r="M2538" s="27" t="n"/>
      <c r="N2538" s="27" t="n"/>
      <c r="O2538" s="27" t="n"/>
      <c r="P2538" s="27" t="n"/>
      <c r="Q2538" s="27" t="n"/>
      <c r="R2538" s="27" t="n"/>
      <c r="S2538" s="27" t="n"/>
      <c r="T2538" s="27" t="n"/>
    </row>
    <row r="2539" ht="13.8" customFormat="1" customHeight="1" s="70">
      <c r="M2539" s="27" t="n"/>
      <c r="N2539" s="27" t="n"/>
      <c r="O2539" s="27" t="n"/>
      <c r="P2539" s="27" t="n"/>
      <c r="Q2539" s="27" t="n"/>
      <c r="R2539" s="27" t="n"/>
      <c r="S2539" s="27" t="n"/>
      <c r="T2539" s="27" t="n"/>
    </row>
    <row r="2540" ht="13.8" customFormat="1" customHeight="1" s="70">
      <c r="M2540" s="27" t="n"/>
      <c r="N2540" s="27" t="n"/>
      <c r="O2540" s="27" t="n"/>
      <c r="P2540" s="27" t="n"/>
      <c r="Q2540" s="27" t="n"/>
      <c r="R2540" s="27" t="n"/>
      <c r="S2540" s="27" t="n"/>
      <c r="T2540" s="27" t="n"/>
    </row>
    <row r="2541" ht="13.8" customFormat="1" customHeight="1" s="70">
      <c r="M2541" s="27" t="n"/>
      <c r="N2541" s="27" t="n"/>
      <c r="O2541" s="27" t="n"/>
      <c r="P2541" s="27" t="n"/>
      <c r="Q2541" s="27" t="n"/>
      <c r="R2541" s="27" t="n"/>
      <c r="S2541" s="27" t="n"/>
      <c r="T2541" s="27" t="n"/>
    </row>
    <row r="2542" ht="13.8" customFormat="1" customHeight="1" s="70">
      <c r="M2542" s="27" t="n"/>
      <c r="N2542" s="27" t="n"/>
      <c r="O2542" s="27" t="n"/>
      <c r="P2542" s="27" t="n"/>
      <c r="Q2542" s="27" t="n"/>
      <c r="R2542" s="27" t="n"/>
      <c r="S2542" s="27" t="n"/>
      <c r="T2542" s="27" t="n"/>
    </row>
    <row r="2543" ht="13.8" customFormat="1" customHeight="1" s="70">
      <c r="M2543" s="27" t="n"/>
      <c r="N2543" s="27" t="n"/>
      <c r="O2543" s="27" t="n"/>
      <c r="P2543" s="27" t="n"/>
      <c r="Q2543" s="27" t="n"/>
      <c r="R2543" s="27" t="n"/>
      <c r="S2543" s="27" t="n"/>
      <c r="T2543" s="27" t="n"/>
    </row>
    <row r="2544" ht="13.8" customFormat="1" customHeight="1" s="70">
      <c r="M2544" s="27" t="n"/>
      <c r="N2544" s="27" t="n"/>
      <c r="O2544" s="27" t="n"/>
      <c r="P2544" s="27" t="n"/>
      <c r="Q2544" s="27" t="n"/>
      <c r="R2544" s="27" t="n"/>
      <c r="S2544" s="27" t="n"/>
      <c r="T2544" s="27" t="n"/>
    </row>
    <row r="2545" ht="13.8" customFormat="1" customHeight="1" s="70">
      <c r="M2545" s="27" t="n"/>
      <c r="N2545" s="27" t="n"/>
      <c r="O2545" s="27" t="n"/>
      <c r="P2545" s="27" t="n"/>
      <c r="Q2545" s="27" t="n"/>
      <c r="R2545" s="27" t="n"/>
      <c r="S2545" s="27" t="n"/>
      <c r="T2545" s="27" t="n"/>
    </row>
    <row r="2546" ht="13.8" customFormat="1" customHeight="1" s="70">
      <c r="M2546" s="27" t="n"/>
      <c r="N2546" s="27" t="n"/>
      <c r="O2546" s="27" t="n"/>
      <c r="P2546" s="27" t="n"/>
      <c r="Q2546" s="27" t="n"/>
      <c r="R2546" s="27" t="n"/>
      <c r="S2546" s="27" t="n"/>
      <c r="T2546" s="27" t="n"/>
    </row>
    <row r="2547" ht="13.8" customFormat="1" customHeight="1" s="70">
      <c r="M2547" s="27" t="n"/>
      <c r="N2547" s="27" t="n"/>
      <c r="O2547" s="27" t="n"/>
      <c r="P2547" s="27" t="n"/>
      <c r="Q2547" s="27" t="n"/>
      <c r="R2547" s="27" t="n"/>
      <c r="S2547" s="27" t="n"/>
      <c r="T2547" s="27" t="n"/>
    </row>
    <row r="2548" ht="13.8" customFormat="1" customHeight="1" s="70">
      <c r="M2548" s="27" t="n"/>
      <c r="N2548" s="27" t="n"/>
      <c r="O2548" s="27" t="n"/>
      <c r="P2548" s="27" t="n"/>
      <c r="Q2548" s="27" t="n"/>
      <c r="R2548" s="27" t="n"/>
      <c r="S2548" s="27" t="n"/>
      <c r="T2548" s="27" t="n"/>
    </row>
    <row r="2549" ht="13.8" customFormat="1" customHeight="1" s="70">
      <c r="M2549" s="27" t="n"/>
      <c r="N2549" s="27" t="n"/>
      <c r="O2549" s="27" t="n"/>
      <c r="P2549" s="27" t="n"/>
      <c r="Q2549" s="27" t="n"/>
      <c r="R2549" s="27" t="n"/>
      <c r="S2549" s="27" t="n"/>
      <c r="T2549" s="27" t="n"/>
    </row>
    <row r="2550" ht="13.8" customFormat="1" customHeight="1" s="70">
      <c r="M2550" s="27" t="n"/>
      <c r="N2550" s="27" t="n"/>
      <c r="O2550" s="27" t="n"/>
      <c r="P2550" s="27" t="n"/>
      <c r="Q2550" s="27" t="n"/>
      <c r="R2550" s="27" t="n"/>
      <c r="S2550" s="27" t="n"/>
      <c r="T2550" s="27" t="n"/>
    </row>
    <row r="2551" ht="13.8" customFormat="1" customHeight="1" s="70">
      <c r="M2551" s="27" t="n"/>
      <c r="N2551" s="27" t="n"/>
      <c r="O2551" s="27" t="n"/>
      <c r="P2551" s="27" t="n"/>
      <c r="Q2551" s="27" t="n"/>
      <c r="R2551" s="27" t="n"/>
      <c r="S2551" s="27" t="n"/>
      <c r="T2551" s="27" t="n"/>
    </row>
    <row r="2552" ht="13.8" customFormat="1" customHeight="1" s="70">
      <c r="M2552" s="27" t="n"/>
      <c r="N2552" s="27" t="n"/>
      <c r="O2552" s="27" t="n"/>
      <c r="P2552" s="27" t="n"/>
      <c r="Q2552" s="27" t="n"/>
      <c r="R2552" s="27" t="n"/>
      <c r="S2552" s="27" t="n"/>
      <c r="T2552" s="27" t="n"/>
    </row>
    <row r="2553" ht="13.8" customFormat="1" customHeight="1" s="70">
      <c r="M2553" s="27" t="n"/>
      <c r="N2553" s="27" t="n"/>
      <c r="O2553" s="27" t="n"/>
      <c r="P2553" s="27" t="n"/>
      <c r="Q2553" s="27" t="n"/>
      <c r="R2553" s="27" t="n"/>
      <c r="S2553" s="27" t="n"/>
      <c r="T2553" s="27" t="n"/>
    </row>
    <row r="2554" ht="13.8" customFormat="1" customHeight="1" s="70">
      <c r="M2554" s="27" t="n"/>
      <c r="N2554" s="27" t="n"/>
      <c r="O2554" s="27" t="n"/>
      <c r="P2554" s="27" t="n"/>
      <c r="Q2554" s="27" t="n"/>
      <c r="R2554" s="27" t="n"/>
      <c r="S2554" s="27" t="n"/>
      <c r="T2554" s="27" t="n"/>
    </row>
    <row r="2555" ht="13.8" customFormat="1" customHeight="1" s="70">
      <c r="M2555" s="27" t="n"/>
      <c r="N2555" s="27" t="n"/>
      <c r="O2555" s="27" t="n"/>
      <c r="P2555" s="27" t="n"/>
      <c r="Q2555" s="27" t="n"/>
      <c r="R2555" s="27" t="n"/>
      <c r="S2555" s="27" t="n"/>
      <c r="T2555" s="27" t="n"/>
    </row>
    <row r="2556" ht="13.8" customFormat="1" customHeight="1" s="70">
      <c r="M2556" s="27" t="n"/>
      <c r="N2556" s="27" t="n"/>
      <c r="O2556" s="27" t="n"/>
      <c r="P2556" s="27" t="n"/>
      <c r="Q2556" s="27" t="n"/>
      <c r="R2556" s="27" t="n"/>
      <c r="S2556" s="27" t="n"/>
      <c r="T2556" s="27" t="n"/>
    </row>
    <row r="2557" ht="13.8" customFormat="1" customHeight="1" s="70">
      <c r="M2557" s="27" t="n"/>
      <c r="N2557" s="27" t="n"/>
      <c r="O2557" s="27" t="n"/>
      <c r="P2557" s="27" t="n"/>
      <c r="Q2557" s="27" t="n"/>
      <c r="R2557" s="27" t="n"/>
      <c r="S2557" s="27" t="n"/>
      <c r="T2557" s="27" t="n"/>
    </row>
    <row r="2558" ht="13.8" customFormat="1" customHeight="1" s="70">
      <c r="M2558" s="27" t="n"/>
      <c r="N2558" s="27" t="n"/>
      <c r="O2558" s="27" t="n"/>
      <c r="P2558" s="27" t="n"/>
      <c r="Q2558" s="27" t="n"/>
      <c r="R2558" s="27" t="n"/>
      <c r="S2558" s="27" t="n"/>
      <c r="T2558" s="27" t="n"/>
    </row>
    <row r="2559" ht="13.8" customFormat="1" customHeight="1" s="70">
      <c r="M2559" s="27" t="n"/>
      <c r="N2559" s="27" t="n"/>
      <c r="O2559" s="27" t="n"/>
      <c r="P2559" s="27" t="n"/>
      <c r="Q2559" s="27" t="n"/>
      <c r="R2559" s="27" t="n"/>
      <c r="S2559" s="27" t="n"/>
      <c r="T2559" s="27" t="n"/>
    </row>
    <row r="2560" ht="13.8" customFormat="1" customHeight="1" s="70">
      <c r="M2560" s="27" t="n"/>
      <c r="N2560" s="27" t="n"/>
      <c r="O2560" s="27" t="n"/>
      <c r="P2560" s="27" t="n"/>
      <c r="Q2560" s="27" t="n"/>
      <c r="R2560" s="27" t="n"/>
      <c r="S2560" s="27" t="n"/>
      <c r="T2560" s="27" t="n"/>
    </row>
    <row r="2561" ht="13.8" customFormat="1" customHeight="1" s="70">
      <c r="M2561" s="27" t="n"/>
      <c r="N2561" s="27" t="n"/>
      <c r="O2561" s="27" t="n"/>
      <c r="P2561" s="27" t="n"/>
      <c r="Q2561" s="27" t="n"/>
      <c r="R2561" s="27" t="n"/>
      <c r="S2561" s="27" t="n"/>
      <c r="T2561" s="27" t="n"/>
    </row>
    <row r="2562" ht="13.8" customFormat="1" customHeight="1" s="70">
      <c r="M2562" s="27" t="n"/>
      <c r="N2562" s="27" t="n"/>
      <c r="O2562" s="27" t="n"/>
      <c r="P2562" s="27" t="n"/>
      <c r="Q2562" s="27" t="n"/>
      <c r="R2562" s="27" t="n"/>
      <c r="S2562" s="27" t="n"/>
      <c r="T2562" s="27" t="n"/>
    </row>
    <row r="2563" ht="13.8" customFormat="1" customHeight="1" s="70">
      <c r="M2563" s="27" t="n"/>
      <c r="N2563" s="27" t="n"/>
      <c r="O2563" s="27" t="n"/>
      <c r="P2563" s="27" t="n"/>
      <c r="Q2563" s="27" t="n"/>
      <c r="R2563" s="27" t="n"/>
      <c r="S2563" s="27" t="n"/>
      <c r="T2563" s="27" t="n"/>
    </row>
    <row r="2564" ht="13.8" customFormat="1" customHeight="1" s="70">
      <c r="M2564" s="27" t="n"/>
      <c r="N2564" s="27" t="n"/>
      <c r="O2564" s="27" t="n"/>
      <c r="P2564" s="27" t="n"/>
      <c r="Q2564" s="27" t="n"/>
      <c r="R2564" s="27" t="n"/>
      <c r="S2564" s="27" t="n"/>
      <c r="T2564" s="27" t="n"/>
    </row>
    <row r="2565" ht="13.8" customFormat="1" customHeight="1" s="70">
      <c r="M2565" s="27" t="n"/>
      <c r="N2565" s="27" t="n"/>
      <c r="O2565" s="27" t="n"/>
      <c r="P2565" s="27" t="n"/>
      <c r="Q2565" s="27" t="n"/>
      <c r="R2565" s="27" t="n"/>
      <c r="S2565" s="27" t="n"/>
      <c r="T2565" s="27" t="n"/>
    </row>
    <row r="2566" ht="13.8" customFormat="1" customHeight="1" s="70">
      <c r="M2566" s="27" t="n"/>
      <c r="N2566" s="27" t="n"/>
      <c r="O2566" s="27" t="n"/>
      <c r="P2566" s="27" t="n"/>
      <c r="Q2566" s="27" t="n"/>
      <c r="R2566" s="27" t="n"/>
      <c r="S2566" s="27" t="n"/>
      <c r="T2566" s="27" t="n"/>
    </row>
    <row r="2567" ht="13.8" customFormat="1" customHeight="1" s="70">
      <c r="M2567" s="27" t="n"/>
      <c r="N2567" s="27" t="n"/>
      <c r="O2567" s="27" t="n"/>
      <c r="P2567" s="27" t="n"/>
      <c r="Q2567" s="27" t="n"/>
      <c r="R2567" s="27" t="n"/>
      <c r="S2567" s="27" t="n"/>
      <c r="T2567" s="27" t="n"/>
    </row>
    <row r="2568" ht="13.8" customFormat="1" customHeight="1" s="70">
      <c r="M2568" s="27" t="n"/>
      <c r="N2568" s="27" t="n"/>
      <c r="O2568" s="27" t="n"/>
      <c r="P2568" s="27" t="n"/>
      <c r="Q2568" s="27" t="n"/>
      <c r="R2568" s="27" t="n"/>
      <c r="S2568" s="27" t="n"/>
      <c r="T2568" s="27" t="n"/>
    </row>
    <row r="2569" ht="13.8" customFormat="1" customHeight="1" s="70">
      <c r="M2569" s="27" t="n"/>
      <c r="N2569" s="27" t="n"/>
      <c r="O2569" s="27" t="n"/>
      <c r="P2569" s="27" t="n"/>
      <c r="Q2569" s="27" t="n"/>
      <c r="R2569" s="27" t="n"/>
      <c r="S2569" s="27" t="n"/>
      <c r="T2569" s="27" t="n"/>
    </row>
    <row r="2570" ht="13.8" customFormat="1" customHeight="1" s="70">
      <c r="M2570" s="27" t="n"/>
      <c r="N2570" s="27" t="n"/>
      <c r="O2570" s="27" t="n"/>
      <c r="P2570" s="27" t="n"/>
      <c r="Q2570" s="27" t="n"/>
      <c r="R2570" s="27" t="n"/>
      <c r="S2570" s="27" t="n"/>
      <c r="T2570" s="27" t="n"/>
    </row>
    <row r="2571" ht="13.8" customFormat="1" customHeight="1" s="70">
      <c r="M2571" s="27" t="n"/>
      <c r="N2571" s="27" t="n"/>
      <c r="O2571" s="27" t="n"/>
      <c r="P2571" s="27" t="n"/>
      <c r="Q2571" s="27" t="n"/>
      <c r="R2571" s="27" t="n"/>
      <c r="S2571" s="27" t="n"/>
      <c r="T2571" s="27" t="n"/>
    </row>
    <row r="2572" ht="13.8" customFormat="1" customHeight="1" s="70">
      <c r="M2572" s="27" t="n"/>
      <c r="N2572" s="27" t="n"/>
      <c r="O2572" s="27" t="n"/>
      <c r="P2572" s="27" t="n"/>
      <c r="Q2572" s="27" t="n"/>
      <c r="R2572" s="27" t="n"/>
      <c r="S2572" s="27" t="n"/>
      <c r="T2572" s="27" t="n"/>
    </row>
    <row r="2573" ht="13.8" customFormat="1" customHeight="1" s="70">
      <c r="M2573" s="27" t="n"/>
      <c r="N2573" s="27" t="n"/>
      <c r="O2573" s="27" t="n"/>
      <c r="P2573" s="27" t="n"/>
      <c r="Q2573" s="27" t="n"/>
      <c r="R2573" s="27" t="n"/>
      <c r="S2573" s="27" t="n"/>
      <c r="T2573" s="27" t="n"/>
    </row>
    <row r="2574" ht="13.8" customFormat="1" customHeight="1" s="70">
      <c r="M2574" s="27" t="n"/>
      <c r="N2574" s="27" t="n"/>
      <c r="O2574" s="27" t="n"/>
      <c r="P2574" s="27" t="n"/>
      <c r="Q2574" s="27" t="n"/>
      <c r="R2574" s="27" t="n"/>
      <c r="S2574" s="27" t="n"/>
      <c r="T2574" s="27" t="n"/>
    </row>
    <row r="2575" ht="13.8" customFormat="1" customHeight="1" s="70">
      <c r="M2575" s="27" t="n"/>
      <c r="N2575" s="27" t="n"/>
      <c r="O2575" s="27" t="n"/>
      <c r="P2575" s="27" t="n"/>
      <c r="Q2575" s="27" t="n"/>
      <c r="R2575" s="27" t="n"/>
      <c r="S2575" s="27" t="n"/>
      <c r="T2575" s="27" t="n"/>
    </row>
    <row r="2576" ht="13.8" customFormat="1" customHeight="1" s="70">
      <c r="M2576" s="27" t="n"/>
      <c r="N2576" s="27" t="n"/>
      <c r="O2576" s="27" t="n"/>
      <c r="P2576" s="27" t="n"/>
      <c r="Q2576" s="27" t="n"/>
      <c r="R2576" s="27" t="n"/>
      <c r="S2576" s="27" t="n"/>
      <c r="T2576" s="27" t="n"/>
    </row>
    <row r="2577" ht="13.8" customFormat="1" customHeight="1" s="70">
      <c r="M2577" s="27" t="n"/>
      <c r="N2577" s="27" t="n"/>
      <c r="O2577" s="27" t="n"/>
      <c r="P2577" s="27" t="n"/>
      <c r="Q2577" s="27" t="n"/>
      <c r="R2577" s="27" t="n"/>
      <c r="S2577" s="27" t="n"/>
      <c r="T2577" s="27" t="n"/>
    </row>
    <row r="2578" ht="13.8" customFormat="1" customHeight="1" s="70">
      <c r="M2578" s="27" t="n"/>
      <c r="N2578" s="27" t="n"/>
      <c r="O2578" s="27" t="n"/>
      <c r="P2578" s="27" t="n"/>
      <c r="Q2578" s="27" t="n"/>
      <c r="R2578" s="27" t="n"/>
      <c r="S2578" s="27" t="n"/>
      <c r="T2578" s="27" t="n"/>
    </row>
    <row r="2579" ht="13.8" customFormat="1" customHeight="1" s="70">
      <c r="M2579" s="27" t="n"/>
      <c r="N2579" s="27" t="n"/>
      <c r="O2579" s="27" t="n"/>
      <c r="P2579" s="27" t="n"/>
      <c r="Q2579" s="27" t="n"/>
      <c r="R2579" s="27" t="n"/>
      <c r="S2579" s="27" t="n"/>
      <c r="T2579" s="27" t="n"/>
    </row>
    <row r="2580" ht="13.8" customFormat="1" customHeight="1" s="70">
      <c r="M2580" s="27" t="n"/>
      <c r="N2580" s="27" t="n"/>
      <c r="O2580" s="27" t="n"/>
      <c r="P2580" s="27" t="n"/>
      <c r="Q2580" s="27" t="n"/>
      <c r="R2580" s="27" t="n"/>
      <c r="S2580" s="27" t="n"/>
      <c r="T2580" s="27" t="n"/>
    </row>
    <row r="2581" ht="13.8" customFormat="1" customHeight="1" s="70">
      <c r="M2581" s="27" t="n"/>
      <c r="N2581" s="27" t="n"/>
      <c r="O2581" s="27" t="n"/>
      <c r="P2581" s="27" t="n"/>
      <c r="Q2581" s="27" t="n"/>
      <c r="R2581" s="27" t="n"/>
      <c r="S2581" s="27" t="n"/>
      <c r="T2581" s="27" t="n"/>
    </row>
    <row r="2582" ht="13.8" customFormat="1" customHeight="1" s="70">
      <c r="M2582" s="27" t="n"/>
      <c r="N2582" s="27" t="n"/>
      <c r="O2582" s="27" t="n"/>
      <c r="P2582" s="27" t="n"/>
      <c r="Q2582" s="27" t="n"/>
      <c r="R2582" s="27" t="n"/>
      <c r="S2582" s="27" t="n"/>
      <c r="T2582" s="27" t="n"/>
    </row>
    <row r="2583" ht="13.8" customFormat="1" customHeight="1" s="70">
      <c r="M2583" s="27" t="n"/>
      <c r="N2583" s="27" t="n"/>
      <c r="O2583" s="27" t="n"/>
      <c r="P2583" s="27" t="n"/>
      <c r="Q2583" s="27" t="n"/>
      <c r="R2583" s="27" t="n"/>
      <c r="S2583" s="27" t="n"/>
      <c r="T2583" s="27" t="n"/>
    </row>
    <row r="2584" ht="13.8" customFormat="1" customHeight="1" s="70">
      <c r="M2584" s="27" t="n"/>
      <c r="N2584" s="27" t="n"/>
      <c r="O2584" s="27" t="n"/>
      <c r="P2584" s="27" t="n"/>
      <c r="Q2584" s="27" t="n"/>
      <c r="R2584" s="27" t="n"/>
      <c r="S2584" s="27" t="n"/>
      <c r="T2584" s="27" t="n"/>
    </row>
    <row r="2585" ht="13.8" customFormat="1" customHeight="1" s="70">
      <c r="M2585" s="27" t="n"/>
      <c r="N2585" s="27" t="n"/>
      <c r="O2585" s="27" t="n"/>
      <c r="P2585" s="27" t="n"/>
      <c r="Q2585" s="27" t="n"/>
      <c r="R2585" s="27" t="n"/>
      <c r="S2585" s="27" t="n"/>
      <c r="T2585" s="27" t="n"/>
    </row>
    <row r="2586" ht="13.8" customFormat="1" customHeight="1" s="70">
      <c r="M2586" s="27" t="n"/>
      <c r="N2586" s="27" t="n"/>
      <c r="O2586" s="27" t="n"/>
      <c r="P2586" s="27" t="n"/>
      <c r="Q2586" s="27" t="n"/>
      <c r="R2586" s="27" t="n"/>
      <c r="S2586" s="27" t="n"/>
      <c r="T2586" s="27" t="n"/>
    </row>
    <row r="2587" ht="13.8" customFormat="1" customHeight="1" s="70">
      <c r="M2587" s="27" t="n"/>
      <c r="N2587" s="27" t="n"/>
      <c r="O2587" s="27" t="n"/>
      <c r="P2587" s="27" t="n"/>
      <c r="Q2587" s="27" t="n"/>
      <c r="R2587" s="27" t="n"/>
      <c r="S2587" s="27" t="n"/>
      <c r="T2587" s="27" t="n"/>
    </row>
    <row r="2588" ht="13.8" customFormat="1" customHeight="1" s="70">
      <c r="M2588" s="27" t="n"/>
      <c r="N2588" s="27" t="n"/>
      <c r="O2588" s="27" t="n"/>
      <c r="P2588" s="27" t="n"/>
      <c r="Q2588" s="27" t="n"/>
      <c r="R2588" s="27" t="n"/>
      <c r="S2588" s="27" t="n"/>
      <c r="T2588" s="27" t="n"/>
    </row>
    <row r="2589" ht="13.8" customFormat="1" customHeight="1" s="70">
      <c r="M2589" s="27" t="n"/>
      <c r="N2589" s="27" t="n"/>
      <c r="O2589" s="27" t="n"/>
      <c r="P2589" s="27" t="n"/>
      <c r="Q2589" s="27" t="n"/>
      <c r="R2589" s="27" t="n"/>
      <c r="S2589" s="27" t="n"/>
      <c r="T2589" s="27" t="n"/>
    </row>
    <row r="2590" ht="13.8" customFormat="1" customHeight="1" s="70">
      <c r="M2590" s="27" t="n"/>
      <c r="N2590" s="27" t="n"/>
      <c r="O2590" s="27" t="n"/>
      <c r="P2590" s="27" t="n"/>
      <c r="Q2590" s="27" t="n"/>
      <c r="R2590" s="27" t="n"/>
      <c r="S2590" s="27" t="n"/>
      <c r="T2590" s="27" t="n"/>
    </row>
    <row r="2591" ht="13.8" customFormat="1" customHeight="1" s="70">
      <c r="M2591" s="27" t="n"/>
      <c r="N2591" s="27" t="n"/>
      <c r="O2591" s="27" t="n"/>
      <c r="P2591" s="27" t="n"/>
      <c r="Q2591" s="27" t="n"/>
      <c r="R2591" s="27" t="n"/>
      <c r="S2591" s="27" t="n"/>
      <c r="T2591" s="27" t="n"/>
    </row>
    <row r="2592" ht="13.8" customFormat="1" customHeight="1" s="70">
      <c r="M2592" s="27" t="n"/>
      <c r="N2592" s="27" t="n"/>
      <c r="O2592" s="27" t="n"/>
      <c r="P2592" s="27" t="n"/>
      <c r="Q2592" s="27" t="n"/>
      <c r="R2592" s="27" t="n"/>
      <c r="S2592" s="27" t="n"/>
      <c r="T2592" s="27" t="n"/>
    </row>
    <row r="2593" ht="13.8" customFormat="1" customHeight="1" s="70">
      <c r="M2593" s="27" t="n"/>
      <c r="N2593" s="27" t="n"/>
      <c r="O2593" s="27" t="n"/>
      <c r="P2593" s="27" t="n"/>
      <c r="Q2593" s="27" t="n"/>
      <c r="R2593" s="27" t="n"/>
      <c r="S2593" s="27" t="n"/>
      <c r="T2593" s="27" t="n"/>
    </row>
    <row r="2594" ht="13.8" customFormat="1" customHeight="1" s="70">
      <c r="M2594" s="27" t="n"/>
      <c r="N2594" s="27" t="n"/>
      <c r="O2594" s="27" t="n"/>
      <c r="P2594" s="27" t="n"/>
      <c r="Q2594" s="27" t="n"/>
      <c r="R2594" s="27" t="n"/>
      <c r="S2594" s="27" t="n"/>
      <c r="T2594" s="27" t="n"/>
    </row>
    <row r="2595" ht="13.8" customFormat="1" customHeight="1" s="70">
      <c r="M2595" s="27" t="n"/>
      <c r="N2595" s="27" t="n"/>
      <c r="O2595" s="27" t="n"/>
      <c r="P2595" s="27" t="n"/>
      <c r="Q2595" s="27" t="n"/>
      <c r="R2595" s="27" t="n"/>
      <c r="S2595" s="27" t="n"/>
      <c r="T2595" s="27" t="n"/>
    </row>
    <row r="2596" ht="13.8" customFormat="1" customHeight="1" s="70">
      <c r="M2596" s="27" t="n"/>
      <c r="N2596" s="27" t="n"/>
      <c r="O2596" s="27" t="n"/>
      <c r="P2596" s="27" t="n"/>
      <c r="Q2596" s="27" t="n"/>
      <c r="R2596" s="27" t="n"/>
      <c r="S2596" s="27" t="n"/>
      <c r="T2596" s="27" t="n"/>
    </row>
    <row r="2597" ht="13.8" customFormat="1" customHeight="1" s="70">
      <c r="M2597" s="27" t="n"/>
      <c r="N2597" s="27" t="n"/>
      <c r="O2597" s="27" t="n"/>
      <c r="P2597" s="27" t="n"/>
      <c r="Q2597" s="27" t="n"/>
      <c r="R2597" s="27" t="n"/>
      <c r="S2597" s="27" t="n"/>
      <c r="T2597" s="27" t="n"/>
    </row>
    <row r="2598" ht="13.8" customFormat="1" customHeight="1" s="70">
      <c r="M2598" s="27" t="n"/>
      <c r="N2598" s="27" t="n"/>
      <c r="O2598" s="27" t="n"/>
      <c r="P2598" s="27" t="n"/>
      <c r="Q2598" s="27" t="n"/>
      <c r="R2598" s="27" t="n"/>
      <c r="S2598" s="27" t="n"/>
      <c r="T2598" s="27" t="n"/>
    </row>
    <row r="2599" ht="13.8" customFormat="1" customHeight="1" s="70">
      <c r="M2599" s="27" t="n"/>
      <c r="N2599" s="27" t="n"/>
      <c r="O2599" s="27" t="n"/>
      <c r="P2599" s="27" t="n"/>
      <c r="Q2599" s="27" t="n"/>
      <c r="R2599" s="27" t="n"/>
      <c r="S2599" s="27" t="n"/>
      <c r="T2599" s="27" t="n"/>
    </row>
    <row r="2600" ht="13.8" customFormat="1" customHeight="1" s="70">
      <c r="M2600" s="27" t="n"/>
      <c r="N2600" s="27" t="n"/>
      <c r="O2600" s="27" t="n"/>
      <c r="P2600" s="27" t="n"/>
      <c r="Q2600" s="27" t="n"/>
      <c r="R2600" s="27" t="n"/>
      <c r="S2600" s="27" t="n"/>
      <c r="T2600" s="27" t="n"/>
    </row>
    <row r="2601" ht="13.8" customFormat="1" customHeight="1" s="70">
      <c r="M2601" s="27" t="n"/>
      <c r="N2601" s="27" t="n"/>
      <c r="O2601" s="27" t="n"/>
      <c r="P2601" s="27" t="n"/>
      <c r="Q2601" s="27" t="n"/>
      <c r="R2601" s="27" t="n"/>
      <c r="S2601" s="27" t="n"/>
      <c r="T2601" s="27" t="n"/>
    </row>
    <row r="2602" ht="13.8" customFormat="1" customHeight="1" s="70">
      <c r="M2602" s="27" t="n"/>
      <c r="N2602" s="27" t="n"/>
      <c r="O2602" s="27" t="n"/>
      <c r="P2602" s="27" t="n"/>
      <c r="Q2602" s="27" t="n"/>
      <c r="R2602" s="27" t="n"/>
      <c r="S2602" s="27" t="n"/>
      <c r="T2602" s="27" t="n"/>
    </row>
    <row r="2603" ht="13.8" customFormat="1" customHeight="1" s="70">
      <c r="M2603" s="27" t="n"/>
      <c r="N2603" s="27" t="n"/>
      <c r="O2603" s="27" t="n"/>
      <c r="P2603" s="27" t="n"/>
      <c r="Q2603" s="27" t="n"/>
      <c r="R2603" s="27" t="n"/>
      <c r="S2603" s="27" t="n"/>
      <c r="T2603" s="27" t="n"/>
    </row>
    <row r="2604" ht="13.8" customFormat="1" customHeight="1" s="70">
      <c r="M2604" s="27" t="n"/>
      <c r="N2604" s="27" t="n"/>
      <c r="O2604" s="27" t="n"/>
      <c r="P2604" s="27" t="n"/>
      <c r="Q2604" s="27" t="n"/>
      <c r="R2604" s="27" t="n"/>
      <c r="S2604" s="27" t="n"/>
      <c r="T2604" s="27" t="n"/>
    </row>
    <row r="2605" ht="13.8" customFormat="1" customHeight="1" s="70">
      <c r="M2605" s="27" t="n"/>
      <c r="N2605" s="27" t="n"/>
      <c r="O2605" s="27" t="n"/>
      <c r="P2605" s="27" t="n"/>
      <c r="Q2605" s="27" t="n"/>
      <c r="R2605" s="27" t="n"/>
      <c r="S2605" s="27" t="n"/>
      <c r="T2605" s="27" t="n"/>
    </row>
    <row r="2606" ht="13.8" customFormat="1" customHeight="1" s="70">
      <c r="M2606" s="27" t="n"/>
      <c r="N2606" s="27" t="n"/>
      <c r="O2606" s="27" t="n"/>
      <c r="P2606" s="27" t="n"/>
      <c r="Q2606" s="27" t="n"/>
      <c r="R2606" s="27" t="n"/>
      <c r="S2606" s="27" t="n"/>
      <c r="T2606" s="27" t="n"/>
    </row>
    <row r="2607" ht="13.8" customFormat="1" customHeight="1" s="70">
      <c r="M2607" s="27" t="n"/>
      <c r="N2607" s="27" t="n"/>
      <c r="O2607" s="27" t="n"/>
      <c r="P2607" s="27" t="n"/>
      <c r="Q2607" s="27" t="n"/>
      <c r="R2607" s="27" t="n"/>
      <c r="S2607" s="27" t="n"/>
      <c r="T2607" s="27" t="n"/>
    </row>
    <row r="2608" ht="13.8" customFormat="1" customHeight="1" s="70">
      <c r="M2608" s="27" t="n"/>
      <c r="N2608" s="27" t="n"/>
      <c r="O2608" s="27" t="n"/>
      <c r="P2608" s="27" t="n"/>
      <c r="Q2608" s="27" t="n"/>
      <c r="R2608" s="27" t="n"/>
      <c r="S2608" s="27" t="n"/>
      <c r="T2608" s="27" t="n"/>
    </row>
    <row r="2609" ht="13.8" customFormat="1" customHeight="1" s="70">
      <c r="M2609" s="27" t="n"/>
      <c r="N2609" s="27" t="n"/>
      <c r="O2609" s="27" t="n"/>
      <c r="P2609" s="27" t="n"/>
      <c r="Q2609" s="27" t="n"/>
      <c r="R2609" s="27" t="n"/>
      <c r="S2609" s="27" t="n"/>
      <c r="T2609" s="27" t="n"/>
    </row>
    <row r="2610" ht="13.8" customFormat="1" customHeight="1" s="70">
      <c r="M2610" s="27" t="n"/>
      <c r="N2610" s="27" t="n"/>
      <c r="O2610" s="27" t="n"/>
      <c r="P2610" s="27" t="n"/>
      <c r="Q2610" s="27" t="n"/>
      <c r="R2610" s="27" t="n"/>
      <c r="S2610" s="27" t="n"/>
      <c r="T2610" s="27" t="n"/>
    </row>
    <row r="2611" ht="13.8" customFormat="1" customHeight="1" s="70">
      <c r="M2611" s="27" t="n"/>
      <c r="N2611" s="27" t="n"/>
      <c r="O2611" s="27" t="n"/>
      <c r="P2611" s="27" t="n"/>
      <c r="Q2611" s="27" t="n"/>
      <c r="R2611" s="27" t="n"/>
      <c r="S2611" s="27" t="n"/>
      <c r="T2611" s="27" t="n"/>
    </row>
    <row r="2612" ht="13.8" customFormat="1" customHeight="1" s="70">
      <c r="M2612" s="27" t="n"/>
      <c r="N2612" s="27" t="n"/>
      <c r="O2612" s="27" t="n"/>
      <c r="P2612" s="27" t="n"/>
      <c r="Q2612" s="27" t="n"/>
      <c r="R2612" s="27" t="n"/>
      <c r="S2612" s="27" t="n"/>
      <c r="T2612" s="27" t="n"/>
    </row>
    <row r="2613" ht="13.8" customFormat="1" customHeight="1" s="70">
      <c r="M2613" s="27" t="n"/>
      <c r="N2613" s="27" t="n"/>
      <c r="O2613" s="27" t="n"/>
      <c r="P2613" s="27" t="n"/>
      <c r="Q2613" s="27" t="n"/>
      <c r="R2613" s="27" t="n"/>
      <c r="S2613" s="27" t="n"/>
      <c r="T2613" s="27" t="n"/>
    </row>
    <row r="2614" ht="13.8" customFormat="1" customHeight="1" s="70">
      <c r="M2614" s="27" t="n"/>
      <c r="N2614" s="27" t="n"/>
      <c r="O2614" s="27" t="n"/>
      <c r="P2614" s="27" t="n"/>
      <c r="Q2614" s="27" t="n"/>
      <c r="R2614" s="27" t="n"/>
      <c r="S2614" s="27" t="n"/>
      <c r="T2614" s="27" t="n"/>
    </row>
    <row r="2615" ht="13.8" customFormat="1" customHeight="1" s="70">
      <c r="M2615" s="27" t="n"/>
      <c r="N2615" s="27" t="n"/>
      <c r="O2615" s="27" t="n"/>
      <c r="P2615" s="27" t="n"/>
      <c r="Q2615" s="27" t="n"/>
      <c r="R2615" s="27" t="n"/>
      <c r="S2615" s="27" t="n"/>
      <c r="T2615" s="27" t="n"/>
    </row>
    <row r="2616" ht="13.8" customFormat="1" customHeight="1" s="70">
      <c r="M2616" s="27" t="n"/>
      <c r="N2616" s="27" t="n"/>
      <c r="O2616" s="27" t="n"/>
      <c r="P2616" s="27" t="n"/>
      <c r="Q2616" s="27" t="n"/>
      <c r="R2616" s="27" t="n"/>
      <c r="S2616" s="27" t="n"/>
      <c r="T2616" s="27" t="n"/>
    </row>
    <row r="2617" ht="13.8" customFormat="1" customHeight="1" s="70">
      <c r="M2617" s="27" t="n"/>
      <c r="N2617" s="27" t="n"/>
      <c r="O2617" s="27" t="n"/>
      <c r="P2617" s="27" t="n"/>
      <c r="Q2617" s="27" t="n"/>
      <c r="R2617" s="27" t="n"/>
      <c r="S2617" s="27" t="n"/>
      <c r="T2617" s="27" t="n"/>
    </row>
    <row r="2618" ht="13.8" customFormat="1" customHeight="1" s="70">
      <c r="M2618" s="27" t="n"/>
      <c r="N2618" s="27" t="n"/>
      <c r="O2618" s="27" t="n"/>
      <c r="P2618" s="27" t="n"/>
      <c r="Q2618" s="27" t="n"/>
      <c r="R2618" s="27" t="n"/>
      <c r="S2618" s="27" t="n"/>
      <c r="T2618" s="27" t="n"/>
    </row>
    <row r="2619" ht="13.8" customFormat="1" customHeight="1" s="70">
      <c r="M2619" s="27" t="n"/>
      <c r="N2619" s="27" t="n"/>
      <c r="O2619" s="27" t="n"/>
      <c r="P2619" s="27" t="n"/>
      <c r="Q2619" s="27" t="n"/>
      <c r="R2619" s="27" t="n"/>
      <c r="S2619" s="27" t="n"/>
      <c r="T2619" s="27" t="n"/>
    </row>
    <row r="2620" ht="13.8" customFormat="1" customHeight="1" s="70">
      <c r="M2620" s="27" t="n"/>
      <c r="N2620" s="27" t="n"/>
      <c r="O2620" s="27" t="n"/>
      <c r="P2620" s="27" t="n"/>
      <c r="Q2620" s="27" t="n"/>
      <c r="R2620" s="27" t="n"/>
      <c r="S2620" s="27" t="n"/>
      <c r="T2620" s="27" t="n"/>
    </row>
    <row r="2621" ht="13.8" customFormat="1" customHeight="1" s="70">
      <c r="M2621" s="27" t="n"/>
      <c r="N2621" s="27" t="n"/>
      <c r="O2621" s="27" t="n"/>
      <c r="P2621" s="27" t="n"/>
      <c r="Q2621" s="27" t="n"/>
      <c r="R2621" s="27" t="n"/>
      <c r="S2621" s="27" t="n"/>
      <c r="T2621" s="27" t="n"/>
    </row>
    <row r="2622" ht="13.8" customFormat="1" customHeight="1" s="70">
      <c r="M2622" s="27" t="n"/>
      <c r="N2622" s="27" t="n"/>
      <c r="O2622" s="27" t="n"/>
      <c r="P2622" s="27" t="n"/>
      <c r="Q2622" s="27" t="n"/>
      <c r="R2622" s="27" t="n"/>
      <c r="S2622" s="27" t="n"/>
      <c r="T2622" s="27" t="n"/>
    </row>
    <row r="2623" ht="13.8" customFormat="1" customHeight="1" s="70">
      <c r="M2623" s="27" t="n"/>
      <c r="N2623" s="27" t="n"/>
      <c r="O2623" s="27" t="n"/>
      <c r="P2623" s="27" t="n"/>
      <c r="Q2623" s="27" t="n"/>
      <c r="R2623" s="27" t="n"/>
      <c r="S2623" s="27" t="n"/>
      <c r="T2623" s="27" t="n"/>
    </row>
    <row r="2624" ht="13.8" customFormat="1" customHeight="1" s="70">
      <c r="M2624" s="27" t="n"/>
      <c r="N2624" s="27" t="n"/>
      <c r="O2624" s="27" t="n"/>
      <c r="P2624" s="27" t="n"/>
      <c r="Q2624" s="27" t="n"/>
      <c r="R2624" s="27" t="n"/>
      <c r="S2624" s="27" t="n"/>
      <c r="T2624" s="27" t="n"/>
    </row>
    <row r="2625" ht="13.8" customFormat="1" customHeight="1" s="70">
      <c r="M2625" s="27" t="n"/>
      <c r="N2625" s="27" t="n"/>
      <c r="O2625" s="27" t="n"/>
      <c r="P2625" s="27" t="n"/>
      <c r="Q2625" s="27" t="n"/>
      <c r="R2625" s="27" t="n"/>
      <c r="S2625" s="27" t="n"/>
      <c r="T2625" s="27" t="n"/>
    </row>
    <row r="2626" ht="13.8" customFormat="1" customHeight="1" s="70">
      <c r="M2626" s="27" t="n"/>
      <c r="N2626" s="27" t="n"/>
      <c r="O2626" s="27" t="n"/>
      <c r="P2626" s="27" t="n"/>
      <c r="Q2626" s="27" t="n"/>
      <c r="R2626" s="27" t="n"/>
      <c r="S2626" s="27" t="n"/>
      <c r="T2626" s="27" t="n"/>
    </row>
    <row r="2627" ht="13.8" customFormat="1" customHeight="1" s="70">
      <c r="M2627" s="27" t="n"/>
      <c r="N2627" s="27" t="n"/>
      <c r="O2627" s="27" t="n"/>
      <c r="P2627" s="27" t="n"/>
      <c r="Q2627" s="27" t="n"/>
      <c r="R2627" s="27" t="n"/>
      <c r="S2627" s="27" t="n"/>
      <c r="T2627" s="27" t="n"/>
    </row>
    <row r="2628" ht="13.8" customFormat="1" customHeight="1" s="70">
      <c r="M2628" s="27" t="n"/>
      <c r="N2628" s="27" t="n"/>
      <c r="O2628" s="27" t="n"/>
      <c r="P2628" s="27" t="n"/>
      <c r="Q2628" s="27" t="n"/>
      <c r="R2628" s="27" t="n"/>
      <c r="S2628" s="27" t="n"/>
      <c r="T2628" s="27" t="n"/>
    </row>
    <row r="2629" ht="13.8" customFormat="1" customHeight="1" s="70">
      <c r="M2629" s="27" t="n"/>
      <c r="N2629" s="27" t="n"/>
      <c r="O2629" s="27" t="n"/>
      <c r="P2629" s="27" t="n"/>
      <c r="Q2629" s="27" t="n"/>
      <c r="R2629" s="27" t="n"/>
      <c r="S2629" s="27" t="n"/>
      <c r="T2629" s="27" t="n"/>
    </row>
    <row r="2630" ht="13.8" customFormat="1" customHeight="1" s="70">
      <c r="M2630" s="27" t="n"/>
      <c r="N2630" s="27" t="n"/>
      <c r="O2630" s="27" t="n"/>
      <c r="P2630" s="27" t="n"/>
      <c r="Q2630" s="27" t="n"/>
      <c r="R2630" s="27" t="n"/>
      <c r="S2630" s="27" t="n"/>
      <c r="T2630" s="27" t="n"/>
    </row>
    <row r="2631" ht="13.8" customFormat="1" customHeight="1" s="70">
      <c r="M2631" s="27" t="n"/>
      <c r="N2631" s="27" t="n"/>
      <c r="O2631" s="27" t="n"/>
      <c r="P2631" s="27" t="n"/>
      <c r="Q2631" s="27" t="n"/>
      <c r="R2631" s="27" t="n"/>
      <c r="S2631" s="27" t="n"/>
      <c r="T2631" s="27" t="n"/>
    </row>
    <row r="2632" ht="13.8" customFormat="1" customHeight="1" s="70">
      <c r="M2632" s="27" t="n"/>
      <c r="N2632" s="27" t="n"/>
      <c r="O2632" s="27" t="n"/>
      <c r="P2632" s="27" t="n"/>
      <c r="Q2632" s="27" t="n"/>
      <c r="R2632" s="27" t="n"/>
      <c r="S2632" s="27" t="n"/>
      <c r="T2632" s="27" t="n"/>
    </row>
    <row r="2633" ht="13.8" customFormat="1" customHeight="1" s="70">
      <c r="M2633" s="27" t="n"/>
      <c r="N2633" s="27" t="n"/>
      <c r="O2633" s="27" t="n"/>
      <c r="P2633" s="27" t="n"/>
      <c r="Q2633" s="27" t="n"/>
      <c r="R2633" s="27" t="n"/>
      <c r="S2633" s="27" t="n"/>
      <c r="T2633" s="27" t="n"/>
    </row>
    <row r="2634" ht="13.8" customFormat="1" customHeight="1" s="70">
      <c r="M2634" s="27" t="n"/>
      <c r="N2634" s="27" t="n"/>
      <c r="O2634" s="27" t="n"/>
      <c r="P2634" s="27" t="n"/>
      <c r="Q2634" s="27" t="n"/>
      <c r="R2634" s="27" t="n"/>
      <c r="S2634" s="27" t="n"/>
      <c r="T2634" s="27" t="n"/>
    </row>
    <row r="2635" ht="13.8" customFormat="1" customHeight="1" s="70">
      <c r="M2635" s="27" t="n"/>
      <c r="N2635" s="27" t="n"/>
      <c r="O2635" s="27" t="n"/>
      <c r="P2635" s="27" t="n"/>
      <c r="Q2635" s="27" t="n"/>
      <c r="R2635" s="27" t="n"/>
      <c r="S2635" s="27" t="n"/>
      <c r="T2635" s="27" t="n"/>
    </row>
    <row r="2636" ht="13.8" customFormat="1" customHeight="1" s="70">
      <c r="M2636" s="27" t="n"/>
      <c r="N2636" s="27" t="n"/>
      <c r="O2636" s="27" t="n"/>
      <c r="P2636" s="27" t="n"/>
      <c r="Q2636" s="27" t="n"/>
      <c r="R2636" s="27" t="n"/>
      <c r="S2636" s="27" t="n"/>
      <c r="T2636" s="27" t="n"/>
    </row>
    <row r="2637" ht="13.8" customFormat="1" customHeight="1" s="70">
      <c r="M2637" s="27" t="n"/>
      <c r="N2637" s="27" t="n"/>
      <c r="O2637" s="27" t="n"/>
      <c r="P2637" s="27" t="n"/>
      <c r="Q2637" s="27" t="n"/>
      <c r="R2637" s="27" t="n"/>
      <c r="S2637" s="27" t="n"/>
      <c r="T2637" s="27" t="n"/>
    </row>
    <row r="2638" ht="13.8" customFormat="1" customHeight="1" s="70">
      <c r="M2638" s="27" t="n"/>
      <c r="N2638" s="27" t="n"/>
      <c r="O2638" s="27" t="n"/>
      <c r="P2638" s="27" t="n"/>
      <c r="Q2638" s="27" t="n"/>
      <c r="R2638" s="27" t="n"/>
      <c r="S2638" s="27" t="n"/>
      <c r="T2638" s="27" t="n"/>
    </row>
    <row r="2639" ht="13.8" customFormat="1" customHeight="1" s="70">
      <c r="M2639" s="27" t="n"/>
      <c r="N2639" s="27" t="n"/>
      <c r="O2639" s="27" t="n"/>
      <c r="P2639" s="27" t="n"/>
      <c r="Q2639" s="27" t="n"/>
      <c r="R2639" s="27" t="n"/>
      <c r="S2639" s="27" t="n"/>
      <c r="T2639" s="27" t="n"/>
    </row>
    <row r="2640" ht="13.8" customFormat="1" customHeight="1" s="70">
      <c r="M2640" s="27" t="n"/>
      <c r="N2640" s="27" t="n"/>
      <c r="O2640" s="27" t="n"/>
      <c r="P2640" s="27" t="n"/>
      <c r="Q2640" s="27" t="n"/>
      <c r="R2640" s="27" t="n"/>
      <c r="S2640" s="27" t="n"/>
      <c r="T2640" s="27" t="n"/>
    </row>
    <row r="2641" ht="13.8" customFormat="1" customHeight="1" s="70">
      <c r="M2641" s="27" t="n"/>
      <c r="N2641" s="27" t="n"/>
      <c r="O2641" s="27" t="n"/>
      <c r="P2641" s="27" t="n"/>
      <c r="Q2641" s="27" t="n"/>
      <c r="R2641" s="27" t="n"/>
      <c r="S2641" s="27" t="n"/>
      <c r="T2641" s="27" t="n"/>
    </row>
    <row r="2642" ht="13.8" customFormat="1" customHeight="1" s="70">
      <c r="M2642" s="27" t="n"/>
      <c r="N2642" s="27" t="n"/>
      <c r="O2642" s="27" t="n"/>
      <c r="P2642" s="27" t="n"/>
      <c r="Q2642" s="27" t="n"/>
      <c r="R2642" s="27" t="n"/>
      <c r="S2642" s="27" t="n"/>
      <c r="T2642" s="27" t="n"/>
    </row>
    <row r="2643" ht="13.8" customFormat="1" customHeight="1" s="70">
      <c r="M2643" s="27" t="n"/>
      <c r="N2643" s="27" t="n"/>
      <c r="O2643" s="27" t="n"/>
      <c r="P2643" s="27" t="n"/>
      <c r="Q2643" s="27" t="n"/>
      <c r="R2643" s="27" t="n"/>
      <c r="S2643" s="27" t="n"/>
      <c r="T2643" s="27" t="n"/>
    </row>
    <row r="2644" ht="13.8" customFormat="1" customHeight="1" s="70">
      <c r="M2644" s="27" t="n"/>
      <c r="N2644" s="27" t="n"/>
      <c r="O2644" s="27" t="n"/>
      <c r="P2644" s="27" t="n"/>
      <c r="Q2644" s="27" t="n"/>
      <c r="R2644" s="27" t="n"/>
      <c r="S2644" s="27" t="n"/>
      <c r="T2644" s="27" t="n"/>
    </row>
    <row r="2645" ht="13.8" customFormat="1" customHeight="1" s="70">
      <c r="M2645" s="27" t="n"/>
      <c r="N2645" s="27" t="n"/>
      <c r="O2645" s="27" t="n"/>
      <c r="P2645" s="27" t="n"/>
      <c r="Q2645" s="27" t="n"/>
      <c r="R2645" s="27" t="n"/>
      <c r="S2645" s="27" t="n"/>
      <c r="T2645" s="27" t="n"/>
    </row>
    <row r="2646" ht="13.8" customFormat="1" customHeight="1" s="70">
      <c r="M2646" s="27" t="n"/>
      <c r="N2646" s="27" t="n"/>
      <c r="O2646" s="27" t="n"/>
      <c r="P2646" s="27" t="n"/>
      <c r="Q2646" s="27" t="n"/>
      <c r="R2646" s="27" t="n"/>
      <c r="S2646" s="27" t="n"/>
      <c r="T2646" s="27" t="n"/>
    </row>
    <row r="2647" ht="13.8" customFormat="1" customHeight="1" s="70">
      <c r="M2647" s="27" t="n"/>
      <c r="N2647" s="27" t="n"/>
      <c r="O2647" s="27" t="n"/>
      <c r="P2647" s="27" t="n"/>
      <c r="Q2647" s="27" t="n"/>
      <c r="R2647" s="27" t="n"/>
      <c r="S2647" s="27" t="n"/>
      <c r="T2647" s="27" t="n"/>
    </row>
    <row r="2648" ht="13.8" customFormat="1" customHeight="1" s="70">
      <c r="M2648" s="27" t="n"/>
      <c r="N2648" s="27" t="n"/>
      <c r="O2648" s="27" t="n"/>
      <c r="P2648" s="27" t="n"/>
      <c r="Q2648" s="27" t="n"/>
      <c r="R2648" s="27" t="n"/>
      <c r="S2648" s="27" t="n"/>
      <c r="T2648" s="27" t="n"/>
    </row>
    <row r="2649" ht="13.8" customFormat="1" customHeight="1" s="70">
      <c r="M2649" s="27" t="n"/>
      <c r="N2649" s="27" t="n"/>
      <c r="O2649" s="27" t="n"/>
      <c r="P2649" s="27" t="n"/>
      <c r="Q2649" s="27" t="n"/>
      <c r="R2649" s="27" t="n"/>
      <c r="S2649" s="27" t="n"/>
      <c r="T2649" s="27" t="n"/>
    </row>
    <row r="2650" ht="13.8" customFormat="1" customHeight="1" s="70">
      <c r="M2650" s="27" t="n"/>
      <c r="N2650" s="27" t="n"/>
      <c r="O2650" s="27" t="n"/>
      <c r="P2650" s="27" t="n"/>
      <c r="Q2650" s="27" t="n"/>
      <c r="R2650" s="27" t="n"/>
      <c r="S2650" s="27" t="n"/>
      <c r="T2650" s="27" t="n"/>
    </row>
    <row r="2651" ht="13.8" customFormat="1" customHeight="1" s="70">
      <c r="M2651" s="27" t="n"/>
      <c r="N2651" s="27" t="n"/>
      <c r="O2651" s="27" t="n"/>
      <c r="P2651" s="27" t="n"/>
      <c r="Q2651" s="27" t="n"/>
      <c r="R2651" s="27" t="n"/>
      <c r="S2651" s="27" t="n"/>
      <c r="T2651" s="27" t="n"/>
    </row>
    <row r="2652" ht="13.8" customFormat="1" customHeight="1" s="70">
      <c r="M2652" s="27" t="n"/>
      <c r="N2652" s="27" t="n"/>
      <c r="O2652" s="27" t="n"/>
      <c r="P2652" s="27" t="n"/>
      <c r="Q2652" s="27" t="n"/>
      <c r="R2652" s="27" t="n"/>
      <c r="S2652" s="27" t="n"/>
      <c r="T2652" s="27" t="n"/>
    </row>
    <row r="2653" ht="13.8" customFormat="1" customHeight="1" s="70">
      <c r="M2653" s="27" t="n"/>
      <c r="N2653" s="27" t="n"/>
      <c r="O2653" s="27" t="n"/>
      <c r="P2653" s="27" t="n"/>
      <c r="Q2653" s="27" t="n"/>
      <c r="R2653" s="27" t="n"/>
      <c r="S2653" s="27" t="n"/>
      <c r="T2653" s="27" t="n"/>
    </row>
    <row r="2654" ht="13.8" customFormat="1" customHeight="1" s="70">
      <c r="M2654" s="27" t="n"/>
      <c r="N2654" s="27" t="n"/>
      <c r="O2654" s="27" t="n"/>
      <c r="P2654" s="27" t="n"/>
      <c r="Q2654" s="27" t="n"/>
      <c r="R2654" s="27" t="n"/>
      <c r="S2654" s="27" t="n"/>
      <c r="T2654" s="27" t="n"/>
    </row>
    <row r="2655" ht="13.8" customFormat="1" customHeight="1" s="70">
      <c r="M2655" s="27" t="n"/>
      <c r="N2655" s="27" t="n"/>
      <c r="O2655" s="27" t="n"/>
      <c r="P2655" s="27" t="n"/>
      <c r="Q2655" s="27" t="n"/>
      <c r="R2655" s="27" t="n"/>
      <c r="S2655" s="27" t="n"/>
      <c r="T2655" s="27" t="n"/>
    </row>
    <row r="2656" ht="13.8" customFormat="1" customHeight="1" s="70">
      <c r="M2656" s="27" t="n"/>
      <c r="N2656" s="27" t="n"/>
      <c r="O2656" s="27" t="n"/>
      <c r="P2656" s="27" t="n"/>
      <c r="Q2656" s="27" t="n"/>
      <c r="R2656" s="27" t="n"/>
      <c r="S2656" s="27" t="n"/>
      <c r="T2656" s="27" t="n"/>
    </row>
    <row r="2657" ht="13.8" customFormat="1" customHeight="1" s="70">
      <c r="M2657" s="27" t="n"/>
      <c r="N2657" s="27" t="n"/>
      <c r="O2657" s="27" t="n"/>
      <c r="P2657" s="27" t="n"/>
      <c r="Q2657" s="27" t="n"/>
      <c r="R2657" s="27" t="n"/>
      <c r="S2657" s="27" t="n"/>
      <c r="T2657" s="27" t="n"/>
    </row>
    <row r="2658" ht="13.8" customFormat="1" customHeight="1" s="70">
      <c r="M2658" s="27" t="n"/>
      <c r="N2658" s="27" t="n"/>
      <c r="O2658" s="27" t="n"/>
      <c r="P2658" s="27" t="n"/>
      <c r="Q2658" s="27" t="n"/>
      <c r="R2658" s="27" t="n"/>
      <c r="S2658" s="27" t="n"/>
      <c r="T2658" s="27" t="n"/>
    </row>
    <row r="2659" ht="13.8" customFormat="1" customHeight="1" s="70">
      <c r="M2659" s="27" t="n"/>
      <c r="N2659" s="27" t="n"/>
      <c r="O2659" s="27" t="n"/>
      <c r="P2659" s="27" t="n"/>
      <c r="Q2659" s="27" t="n"/>
      <c r="R2659" s="27" t="n"/>
      <c r="S2659" s="27" t="n"/>
      <c r="T2659" s="27" t="n"/>
    </row>
    <row r="2660" ht="13.8" customFormat="1" customHeight="1" s="70">
      <c r="M2660" s="27" t="n"/>
      <c r="N2660" s="27" t="n"/>
      <c r="O2660" s="27" t="n"/>
      <c r="P2660" s="27" t="n"/>
      <c r="Q2660" s="27" t="n"/>
      <c r="R2660" s="27" t="n"/>
      <c r="S2660" s="27" t="n"/>
      <c r="T2660" s="27" t="n"/>
    </row>
    <row r="2661" ht="13.8" customFormat="1" customHeight="1" s="70">
      <c r="M2661" s="27" t="n"/>
      <c r="N2661" s="27" t="n"/>
      <c r="O2661" s="27" t="n"/>
      <c r="P2661" s="27" t="n"/>
      <c r="Q2661" s="27" t="n"/>
      <c r="R2661" s="27" t="n"/>
      <c r="S2661" s="27" t="n"/>
      <c r="T2661" s="27" t="n"/>
    </row>
    <row r="2662" ht="13.8" customFormat="1" customHeight="1" s="70">
      <c r="M2662" s="27" t="n"/>
      <c r="N2662" s="27" t="n"/>
      <c r="O2662" s="27" t="n"/>
      <c r="P2662" s="27" t="n"/>
      <c r="Q2662" s="27" t="n"/>
      <c r="R2662" s="27" t="n"/>
      <c r="S2662" s="27" t="n"/>
      <c r="T2662" s="27" t="n"/>
    </row>
    <row r="2663" ht="13.8" customFormat="1" customHeight="1" s="70">
      <c r="M2663" s="27" t="n"/>
      <c r="N2663" s="27" t="n"/>
      <c r="O2663" s="27" t="n"/>
      <c r="P2663" s="27" t="n"/>
      <c r="Q2663" s="27" t="n"/>
      <c r="R2663" s="27" t="n"/>
      <c r="S2663" s="27" t="n"/>
      <c r="T2663" s="27" t="n"/>
    </row>
    <row r="2664" ht="13.8" customFormat="1" customHeight="1" s="70">
      <c r="M2664" s="27" t="n"/>
      <c r="N2664" s="27" t="n"/>
      <c r="O2664" s="27" t="n"/>
      <c r="P2664" s="27" t="n"/>
      <c r="Q2664" s="27" t="n"/>
      <c r="R2664" s="27" t="n"/>
      <c r="S2664" s="27" t="n"/>
      <c r="T2664" s="27" t="n"/>
    </row>
    <row r="2665" ht="13.8" customFormat="1" customHeight="1" s="70">
      <c r="M2665" s="27" t="n"/>
      <c r="N2665" s="27" t="n"/>
      <c r="O2665" s="27" t="n"/>
      <c r="P2665" s="27" t="n"/>
      <c r="Q2665" s="27" t="n"/>
      <c r="R2665" s="27" t="n"/>
      <c r="S2665" s="27" t="n"/>
      <c r="T2665" s="27" t="n"/>
    </row>
    <row r="2666" ht="13.8" customFormat="1" customHeight="1" s="70">
      <c r="M2666" s="27" t="n"/>
      <c r="N2666" s="27" t="n"/>
      <c r="O2666" s="27" t="n"/>
      <c r="P2666" s="27" t="n"/>
      <c r="Q2666" s="27" t="n"/>
      <c r="R2666" s="27" t="n"/>
      <c r="S2666" s="27" t="n"/>
      <c r="T2666" s="27" t="n"/>
    </row>
    <row r="2667" ht="13.8" customFormat="1" customHeight="1" s="70">
      <c r="M2667" s="27" t="n"/>
      <c r="N2667" s="27" t="n"/>
      <c r="O2667" s="27" t="n"/>
      <c r="P2667" s="27" t="n"/>
      <c r="Q2667" s="27" t="n"/>
      <c r="R2667" s="27" t="n"/>
      <c r="S2667" s="27" t="n"/>
      <c r="T2667" s="27" t="n"/>
    </row>
    <row r="2668" ht="13.8" customFormat="1" customHeight="1" s="70">
      <c r="M2668" s="27" t="n"/>
      <c r="N2668" s="27" t="n"/>
      <c r="O2668" s="27" t="n"/>
      <c r="P2668" s="27" t="n"/>
      <c r="Q2668" s="27" t="n"/>
      <c r="R2668" s="27" t="n"/>
      <c r="S2668" s="27" t="n"/>
      <c r="T2668" s="27" t="n"/>
    </row>
    <row r="2669" ht="13.8" customFormat="1" customHeight="1" s="70">
      <c r="M2669" s="27" t="n"/>
      <c r="N2669" s="27" t="n"/>
      <c r="O2669" s="27" t="n"/>
      <c r="P2669" s="27" t="n"/>
      <c r="Q2669" s="27" t="n"/>
      <c r="R2669" s="27" t="n"/>
      <c r="S2669" s="27" t="n"/>
      <c r="T2669" s="27" t="n"/>
    </row>
    <row r="2670" ht="13.8" customFormat="1" customHeight="1" s="70">
      <c r="M2670" s="27" t="n"/>
      <c r="N2670" s="27" t="n"/>
      <c r="O2670" s="27" t="n"/>
      <c r="P2670" s="27" t="n"/>
      <c r="Q2670" s="27" t="n"/>
      <c r="R2670" s="27" t="n"/>
      <c r="S2670" s="27" t="n"/>
      <c r="T2670" s="27" t="n"/>
    </row>
    <row r="2671" ht="13.8" customFormat="1" customHeight="1" s="70">
      <c r="M2671" s="27" t="n"/>
      <c r="N2671" s="27" t="n"/>
      <c r="O2671" s="27" t="n"/>
      <c r="P2671" s="27" t="n"/>
      <c r="Q2671" s="27" t="n"/>
      <c r="R2671" s="27" t="n"/>
      <c r="S2671" s="27" t="n"/>
      <c r="T2671" s="27" t="n"/>
    </row>
    <row r="2672" ht="13.8" customFormat="1" customHeight="1" s="70">
      <c r="M2672" s="27" t="n"/>
      <c r="N2672" s="27" t="n"/>
      <c r="O2672" s="27" t="n"/>
      <c r="P2672" s="27" t="n"/>
      <c r="Q2672" s="27" t="n"/>
      <c r="R2672" s="27" t="n"/>
      <c r="S2672" s="27" t="n"/>
      <c r="T2672" s="27" t="n"/>
    </row>
    <row r="2673" ht="13.8" customFormat="1" customHeight="1" s="70">
      <c r="M2673" s="27" t="n"/>
      <c r="N2673" s="27" t="n"/>
      <c r="O2673" s="27" t="n"/>
      <c r="P2673" s="27" t="n"/>
      <c r="Q2673" s="27" t="n"/>
      <c r="R2673" s="27" t="n"/>
      <c r="S2673" s="27" t="n"/>
      <c r="T2673" s="27" t="n"/>
    </row>
    <row r="2674" ht="13.8" customFormat="1" customHeight="1" s="70">
      <c r="M2674" s="27" t="n"/>
      <c r="N2674" s="27" t="n"/>
      <c r="O2674" s="27" t="n"/>
      <c r="P2674" s="27" t="n"/>
      <c r="Q2674" s="27" t="n"/>
      <c r="R2674" s="27" t="n"/>
      <c r="S2674" s="27" t="n"/>
      <c r="T2674" s="27" t="n"/>
    </row>
    <row r="2675" ht="13.8" customFormat="1" customHeight="1" s="70">
      <c r="M2675" s="27" t="n"/>
      <c r="N2675" s="27" t="n"/>
      <c r="O2675" s="27" t="n"/>
      <c r="P2675" s="27" t="n"/>
      <c r="Q2675" s="27" t="n"/>
      <c r="R2675" s="27" t="n"/>
      <c r="S2675" s="27" t="n"/>
      <c r="T2675" s="27" t="n"/>
    </row>
    <row r="2676" ht="13.8" customFormat="1" customHeight="1" s="70">
      <c r="M2676" s="27" t="n"/>
      <c r="N2676" s="27" t="n"/>
      <c r="O2676" s="27" t="n"/>
      <c r="P2676" s="27" t="n"/>
      <c r="Q2676" s="27" t="n"/>
      <c r="R2676" s="27" t="n"/>
      <c r="S2676" s="27" t="n"/>
      <c r="T2676" s="27" t="n"/>
    </row>
    <row r="2677" ht="13.8" customFormat="1" customHeight="1" s="70">
      <c r="M2677" s="27" t="n"/>
      <c r="N2677" s="27" t="n"/>
      <c r="O2677" s="27" t="n"/>
      <c r="P2677" s="27" t="n"/>
      <c r="Q2677" s="27" t="n"/>
      <c r="R2677" s="27" t="n"/>
      <c r="S2677" s="27" t="n"/>
      <c r="T2677" s="27" t="n"/>
    </row>
    <row r="2678" ht="13.8" customFormat="1" customHeight="1" s="70">
      <c r="M2678" s="27" t="n"/>
      <c r="N2678" s="27" t="n"/>
      <c r="O2678" s="27" t="n"/>
      <c r="P2678" s="27" t="n"/>
      <c r="Q2678" s="27" t="n"/>
      <c r="R2678" s="27" t="n"/>
      <c r="S2678" s="27" t="n"/>
      <c r="T2678" s="27" t="n"/>
    </row>
    <row r="2679" ht="13.8" customFormat="1" customHeight="1" s="70">
      <c r="M2679" s="27" t="n"/>
      <c r="N2679" s="27" t="n"/>
      <c r="O2679" s="27" t="n"/>
      <c r="P2679" s="27" t="n"/>
      <c r="Q2679" s="27" t="n"/>
      <c r="R2679" s="27" t="n"/>
      <c r="S2679" s="27" t="n"/>
      <c r="T2679" s="27" t="n"/>
    </row>
    <row r="2680" ht="13.8" customFormat="1" customHeight="1" s="70">
      <c r="M2680" s="27" t="n"/>
      <c r="N2680" s="27" t="n"/>
      <c r="O2680" s="27" t="n"/>
      <c r="P2680" s="27" t="n"/>
      <c r="Q2680" s="27" t="n"/>
      <c r="R2680" s="27" t="n"/>
      <c r="S2680" s="27" t="n"/>
      <c r="T2680" s="27" t="n"/>
    </row>
    <row r="2681" ht="13.8" customFormat="1" customHeight="1" s="70">
      <c r="M2681" s="27" t="n"/>
      <c r="N2681" s="27" t="n"/>
      <c r="O2681" s="27" t="n"/>
      <c r="P2681" s="27" t="n"/>
      <c r="Q2681" s="27" t="n"/>
      <c r="R2681" s="27" t="n"/>
      <c r="S2681" s="27" t="n"/>
      <c r="T2681" s="27" t="n"/>
    </row>
    <row r="2682" ht="13.8" customFormat="1" customHeight="1" s="70">
      <c r="M2682" s="27" t="n"/>
      <c r="N2682" s="27" t="n"/>
      <c r="O2682" s="27" t="n"/>
      <c r="P2682" s="27" t="n"/>
      <c r="Q2682" s="27" t="n"/>
      <c r="R2682" s="27" t="n"/>
      <c r="S2682" s="27" t="n"/>
      <c r="T2682" s="27" t="n"/>
    </row>
    <row r="2683" ht="13.8" customFormat="1" customHeight="1" s="70">
      <c r="M2683" s="27" t="n"/>
      <c r="N2683" s="27" t="n"/>
      <c r="O2683" s="27" t="n"/>
      <c r="P2683" s="27" t="n"/>
      <c r="Q2683" s="27" t="n"/>
      <c r="R2683" s="27" t="n"/>
      <c r="S2683" s="27" t="n"/>
      <c r="T2683" s="27" t="n"/>
    </row>
    <row r="2684" ht="13.8" customFormat="1" customHeight="1" s="70">
      <c r="M2684" s="27" t="n"/>
      <c r="N2684" s="27" t="n"/>
      <c r="O2684" s="27" t="n"/>
      <c r="P2684" s="27" t="n"/>
      <c r="Q2684" s="27" t="n"/>
      <c r="R2684" s="27" t="n"/>
      <c r="S2684" s="27" t="n"/>
      <c r="T2684" s="27" t="n"/>
    </row>
    <row r="2685" ht="13.8" customFormat="1" customHeight="1" s="70">
      <c r="M2685" s="27" t="n"/>
      <c r="N2685" s="27" t="n"/>
      <c r="O2685" s="27" t="n"/>
      <c r="P2685" s="27" t="n"/>
      <c r="Q2685" s="27" t="n"/>
      <c r="R2685" s="27" t="n"/>
      <c r="S2685" s="27" t="n"/>
      <c r="T2685" s="27" t="n"/>
    </row>
    <row r="2686" ht="13.8" customFormat="1" customHeight="1" s="70">
      <c r="M2686" s="27" t="n"/>
      <c r="N2686" s="27" t="n"/>
      <c r="O2686" s="27" t="n"/>
      <c r="P2686" s="27" t="n"/>
      <c r="Q2686" s="27" t="n"/>
      <c r="R2686" s="27" t="n"/>
      <c r="S2686" s="27" t="n"/>
      <c r="T2686" s="27" t="n"/>
    </row>
    <row r="2687" ht="13.8" customFormat="1" customHeight="1" s="70">
      <c r="M2687" s="27" t="n"/>
      <c r="N2687" s="27" t="n"/>
      <c r="O2687" s="27" t="n"/>
      <c r="P2687" s="27" t="n"/>
      <c r="Q2687" s="27" t="n"/>
      <c r="R2687" s="27" t="n"/>
      <c r="S2687" s="27" t="n"/>
      <c r="T2687" s="27" t="n"/>
    </row>
    <row r="2688" ht="13.8" customFormat="1" customHeight="1" s="70">
      <c r="M2688" s="27" t="n"/>
      <c r="N2688" s="27" t="n"/>
      <c r="O2688" s="27" t="n"/>
      <c r="P2688" s="27" t="n"/>
      <c r="Q2688" s="27" t="n"/>
      <c r="R2688" s="27" t="n"/>
      <c r="S2688" s="27" t="n"/>
      <c r="T2688" s="27" t="n"/>
    </row>
    <row r="2689" ht="13.8" customFormat="1" customHeight="1" s="70">
      <c r="M2689" s="27" t="n"/>
      <c r="N2689" s="27" t="n"/>
      <c r="O2689" s="27" t="n"/>
      <c r="P2689" s="27" t="n"/>
      <c r="Q2689" s="27" t="n"/>
      <c r="R2689" s="27" t="n"/>
      <c r="S2689" s="27" t="n"/>
      <c r="T2689" s="27" t="n"/>
    </row>
    <row r="2690" ht="13.8" customFormat="1" customHeight="1" s="70">
      <c r="M2690" s="27" t="n"/>
      <c r="N2690" s="27" t="n"/>
      <c r="O2690" s="27" t="n"/>
      <c r="P2690" s="27" t="n"/>
      <c r="Q2690" s="27" t="n"/>
      <c r="R2690" s="27" t="n"/>
      <c r="S2690" s="27" t="n"/>
      <c r="T2690" s="27" t="n"/>
    </row>
    <row r="2691" ht="13.8" customFormat="1" customHeight="1" s="70">
      <c r="M2691" s="27" t="n"/>
      <c r="N2691" s="27" t="n"/>
      <c r="O2691" s="27" t="n"/>
      <c r="P2691" s="27" t="n"/>
      <c r="Q2691" s="27" t="n"/>
      <c r="R2691" s="27" t="n"/>
      <c r="S2691" s="27" t="n"/>
      <c r="T2691" s="27" t="n"/>
    </row>
    <row r="2692" ht="13.8" customFormat="1" customHeight="1" s="70">
      <c r="M2692" s="27" t="n"/>
      <c r="N2692" s="27" t="n"/>
      <c r="O2692" s="27" t="n"/>
      <c r="P2692" s="27" t="n"/>
      <c r="Q2692" s="27" t="n"/>
      <c r="R2692" s="27" t="n"/>
      <c r="S2692" s="27" t="n"/>
      <c r="T2692" s="27" t="n"/>
    </row>
    <row r="2693" ht="13.8" customFormat="1" customHeight="1" s="70">
      <c r="M2693" s="27" t="n"/>
      <c r="N2693" s="27" t="n"/>
      <c r="O2693" s="27" t="n"/>
      <c r="P2693" s="27" t="n"/>
      <c r="Q2693" s="27" t="n"/>
      <c r="R2693" s="27" t="n"/>
      <c r="S2693" s="27" t="n"/>
      <c r="T2693" s="27" t="n"/>
    </row>
    <row r="2694" ht="13.8" customFormat="1" customHeight="1" s="70">
      <c r="M2694" s="27" t="n"/>
      <c r="N2694" s="27" t="n"/>
      <c r="O2694" s="27" t="n"/>
      <c r="P2694" s="27" t="n"/>
      <c r="Q2694" s="27" t="n"/>
      <c r="R2694" s="27" t="n"/>
      <c r="S2694" s="27" t="n"/>
      <c r="T2694" s="27" t="n"/>
    </row>
    <row r="2695" ht="13.8" customFormat="1" customHeight="1" s="70">
      <c r="M2695" s="27" t="n"/>
      <c r="N2695" s="27" t="n"/>
      <c r="O2695" s="27" t="n"/>
      <c r="P2695" s="27" t="n"/>
      <c r="Q2695" s="27" t="n"/>
      <c r="R2695" s="27" t="n"/>
      <c r="S2695" s="27" t="n"/>
      <c r="T2695" s="27" t="n"/>
    </row>
    <row r="2696" ht="13.8" customFormat="1" customHeight="1" s="70">
      <c r="M2696" s="27" t="n"/>
      <c r="N2696" s="27" t="n"/>
      <c r="O2696" s="27" t="n"/>
      <c r="P2696" s="27" t="n"/>
      <c r="Q2696" s="27" t="n"/>
      <c r="R2696" s="27" t="n"/>
      <c r="S2696" s="27" t="n"/>
      <c r="T2696" s="27" t="n"/>
    </row>
    <row r="2697" ht="13.8" customFormat="1" customHeight="1" s="70">
      <c r="M2697" s="27" t="n"/>
      <c r="N2697" s="27" t="n"/>
      <c r="O2697" s="27" t="n"/>
      <c r="P2697" s="27" t="n"/>
      <c r="Q2697" s="27" t="n"/>
      <c r="R2697" s="27" t="n"/>
      <c r="S2697" s="27" t="n"/>
      <c r="T2697" s="27" t="n"/>
    </row>
    <row r="2698" ht="13.8" customFormat="1" customHeight="1" s="70">
      <c r="M2698" s="27" t="n"/>
      <c r="N2698" s="27" t="n"/>
      <c r="O2698" s="27" t="n"/>
      <c r="P2698" s="27" t="n"/>
      <c r="Q2698" s="27" t="n"/>
      <c r="R2698" s="27" t="n"/>
      <c r="S2698" s="27" t="n"/>
      <c r="T2698" s="27" t="n"/>
    </row>
    <row r="2699" ht="13.8" customFormat="1" customHeight="1" s="70">
      <c r="M2699" s="27" t="n"/>
      <c r="N2699" s="27" t="n"/>
      <c r="O2699" s="27" t="n"/>
      <c r="P2699" s="27" t="n"/>
      <c r="Q2699" s="27" t="n"/>
      <c r="R2699" s="27" t="n"/>
      <c r="S2699" s="27" t="n"/>
      <c r="T2699" s="27" t="n"/>
    </row>
    <row r="2700" ht="13.8" customFormat="1" customHeight="1" s="70">
      <c r="M2700" s="27" t="n"/>
      <c r="N2700" s="27" t="n"/>
      <c r="O2700" s="27" t="n"/>
      <c r="P2700" s="27" t="n"/>
      <c r="Q2700" s="27" t="n"/>
      <c r="R2700" s="27" t="n"/>
      <c r="S2700" s="27" t="n"/>
      <c r="T2700" s="27" t="n"/>
    </row>
    <row r="2701" ht="13.8" customFormat="1" customHeight="1" s="70">
      <c r="M2701" s="27" t="n"/>
      <c r="N2701" s="27" t="n"/>
      <c r="O2701" s="27" t="n"/>
      <c r="P2701" s="27" t="n"/>
      <c r="Q2701" s="27" t="n"/>
      <c r="R2701" s="27" t="n"/>
      <c r="S2701" s="27" t="n"/>
      <c r="T2701" s="27" t="n"/>
    </row>
    <row r="2702" ht="13.8" customFormat="1" customHeight="1" s="70">
      <c r="M2702" s="27" t="n"/>
      <c r="N2702" s="27" t="n"/>
      <c r="O2702" s="27" t="n"/>
      <c r="P2702" s="27" t="n"/>
      <c r="Q2702" s="27" t="n"/>
      <c r="R2702" s="27" t="n"/>
      <c r="S2702" s="27" t="n"/>
      <c r="T2702" s="27" t="n"/>
    </row>
    <row r="2703" ht="13.8" customFormat="1" customHeight="1" s="70">
      <c r="M2703" s="27" t="n"/>
      <c r="N2703" s="27" t="n"/>
      <c r="O2703" s="27" t="n"/>
      <c r="P2703" s="27" t="n"/>
      <c r="Q2703" s="27" t="n"/>
      <c r="R2703" s="27" t="n"/>
      <c r="S2703" s="27" t="n"/>
      <c r="T2703" s="27" t="n"/>
    </row>
    <row r="2704" ht="13.8" customFormat="1" customHeight="1" s="70">
      <c r="M2704" s="27" t="n"/>
      <c r="N2704" s="27" t="n"/>
      <c r="O2704" s="27" t="n"/>
      <c r="P2704" s="27" t="n"/>
      <c r="Q2704" s="27" t="n"/>
      <c r="R2704" s="27" t="n"/>
      <c r="S2704" s="27" t="n"/>
      <c r="T2704" s="27" t="n"/>
    </row>
    <row r="2705" ht="13.8" customFormat="1" customHeight="1" s="70">
      <c r="M2705" s="27" t="n"/>
      <c r="N2705" s="27" t="n"/>
      <c r="O2705" s="27" t="n"/>
      <c r="P2705" s="27" t="n"/>
      <c r="Q2705" s="27" t="n"/>
      <c r="R2705" s="27" t="n"/>
      <c r="S2705" s="27" t="n"/>
      <c r="T2705" s="27" t="n"/>
    </row>
    <row r="2706" ht="13.8" customFormat="1" customHeight="1" s="70">
      <c r="M2706" s="27" t="n"/>
      <c r="N2706" s="27" t="n"/>
      <c r="O2706" s="27" t="n"/>
      <c r="P2706" s="27" t="n"/>
      <c r="Q2706" s="27" t="n"/>
      <c r="R2706" s="27" t="n"/>
      <c r="S2706" s="27" t="n"/>
      <c r="T2706" s="27" t="n"/>
    </row>
    <row r="2707" ht="13.8" customFormat="1" customHeight="1" s="70">
      <c r="M2707" s="27" t="n"/>
      <c r="N2707" s="27" t="n"/>
      <c r="O2707" s="27" t="n"/>
      <c r="P2707" s="27" t="n"/>
      <c r="Q2707" s="27" t="n"/>
      <c r="R2707" s="27" t="n"/>
      <c r="S2707" s="27" t="n"/>
      <c r="T2707" s="27" t="n"/>
    </row>
    <row r="2708" ht="13.8" customFormat="1" customHeight="1" s="70">
      <c r="M2708" s="27" t="n"/>
      <c r="N2708" s="27" t="n"/>
      <c r="O2708" s="27" t="n"/>
      <c r="P2708" s="27" t="n"/>
      <c r="Q2708" s="27" t="n"/>
      <c r="R2708" s="27" t="n"/>
      <c r="S2708" s="27" t="n"/>
      <c r="T2708" s="27" t="n"/>
    </row>
    <row r="2709" ht="13.8" customFormat="1" customHeight="1" s="70">
      <c r="M2709" s="27" t="n"/>
      <c r="N2709" s="27" t="n"/>
      <c r="O2709" s="27" t="n"/>
      <c r="P2709" s="27" t="n"/>
      <c r="Q2709" s="27" t="n"/>
      <c r="R2709" s="27" t="n"/>
      <c r="S2709" s="27" t="n"/>
      <c r="T2709" s="27" t="n"/>
    </row>
    <row r="2710" ht="13.8" customFormat="1" customHeight="1" s="70">
      <c r="M2710" s="27" t="n"/>
      <c r="N2710" s="27" t="n"/>
      <c r="O2710" s="27" t="n"/>
      <c r="P2710" s="27" t="n"/>
      <c r="Q2710" s="27" t="n"/>
      <c r="R2710" s="27" t="n"/>
      <c r="S2710" s="27" t="n"/>
      <c r="T2710" s="27" t="n"/>
    </row>
    <row r="2711" ht="13.8" customFormat="1" customHeight="1" s="70">
      <c r="M2711" s="27" t="n"/>
      <c r="N2711" s="27" t="n"/>
      <c r="O2711" s="27" t="n"/>
      <c r="P2711" s="27" t="n"/>
      <c r="Q2711" s="27" t="n"/>
      <c r="R2711" s="27" t="n"/>
      <c r="S2711" s="27" t="n"/>
      <c r="T2711" s="27" t="n"/>
    </row>
    <row r="2712" ht="13.8" customFormat="1" customHeight="1" s="70">
      <c r="M2712" s="27" t="n"/>
      <c r="N2712" s="27" t="n"/>
      <c r="O2712" s="27" t="n"/>
      <c r="P2712" s="27" t="n"/>
      <c r="Q2712" s="27" t="n"/>
      <c r="R2712" s="27" t="n"/>
      <c r="S2712" s="27" t="n"/>
      <c r="T2712" s="27" t="n"/>
    </row>
    <row r="2713" ht="13.8" customFormat="1" customHeight="1" s="70">
      <c r="M2713" s="27" t="n"/>
      <c r="N2713" s="27" t="n"/>
      <c r="O2713" s="27" t="n"/>
      <c r="P2713" s="27" t="n"/>
      <c r="Q2713" s="27" t="n"/>
      <c r="R2713" s="27" t="n"/>
      <c r="S2713" s="27" t="n"/>
      <c r="T2713" s="27" t="n"/>
    </row>
    <row r="2714" ht="13.8" customFormat="1" customHeight="1" s="70">
      <c r="M2714" s="27" t="n"/>
      <c r="N2714" s="27" t="n"/>
      <c r="O2714" s="27" t="n"/>
      <c r="P2714" s="27" t="n"/>
      <c r="Q2714" s="27" t="n"/>
      <c r="R2714" s="27" t="n"/>
      <c r="S2714" s="27" t="n"/>
      <c r="T2714" s="27" t="n"/>
    </row>
    <row r="2715" ht="13.8" customFormat="1" customHeight="1" s="70">
      <c r="M2715" s="27" t="n"/>
      <c r="N2715" s="27" t="n"/>
      <c r="O2715" s="27" t="n"/>
      <c r="P2715" s="27" t="n"/>
      <c r="Q2715" s="27" t="n"/>
      <c r="R2715" s="27" t="n"/>
      <c r="S2715" s="27" t="n"/>
      <c r="T2715" s="27" t="n"/>
    </row>
    <row r="2716" ht="13.8" customFormat="1" customHeight="1" s="70">
      <c r="M2716" s="27" t="n"/>
      <c r="N2716" s="27" t="n"/>
      <c r="O2716" s="27" t="n"/>
      <c r="P2716" s="27" t="n"/>
      <c r="Q2716" s="27" t="n"/>
      <c r="R2716" s="27" t="n"/>
      <c r="S2716" s="27" t="n"/>
      <c r="T2716" s="27" t="n"/>
    </row>
    <row r="2717" ht="13.8" customFormat="1" customHeight="1" s="70">
      <c r="M2717" s="27" t="n"/>
      <c r="N2717" s="27" t="n"/>
      <c r="O2717" s="27" t="n"/>
      <c r="P2717" s="27" t="n"/>
      <c r="Q2717" s="27" t="n"/>
      <c r="R2717" s="27" t="n"/>
      <c r="S2717" s="27" t="n"/>
      <c r="T2717" s="27" t="n"/>
    </row>
    <row r="2718" ht="13.8" customFormat="1" customHeight="1" s="70">
      <c r="M2718" s="27" t="n"/>
      <c r="N2718" s="27" t="n"/>
      <c r="O2718" s="27" t="n"/>
      <c r="P2718" s="27" t="n"/>
      <c r="Q2718" s="27" t="n"/>
      <c r="R2718" s="27" t="n"/>
      <c r="S2718" s="27" t="n"/>
      <c r="T2718" s="27" t="n"/>
    </row>
    <row r="2719" ht="13.8" customFormat="1" customHeight="1" s="70">
      <c r="M2719" s="27" t="n"/>
      <c r="N2719" s="27" t="n"/>
      <c r="O2719" s="27" t="n"/>
      <c r="P2719" s="27" t="n"/>
      <c r="Q2719" s="27" t="n"/>
      <c r="R2719" s="27" t="n"/>
      <c r="S2719" s="27" t="n"/>
      <c r="T2719" s="27" t="n"/>
    </row>
    <row r="2720" ht="13.8" customFormat="1" customHeight="1" s="70">
      <c r="M2720" s="27" t="n"/>
      <c r="N2720" s="27" t="n"/>
      <c r="O2720" s="27" t="n"/>
      <c r="P2720" s="27" t="n"/>
      <c r="Q2720" s="27" t="n"/>
      <c r="R2720" s="27" t="n"/>
      <c r="S2720" s="27" t="n"/>
      <c r="T2720" s="27" t="n"/>
    </row>
    <row r="2721" ht="13.8" customFormat="1" customHeight="1" s="70">
      <c r="M2721" s="27" t="n"/>
      <c r="N2721" s="27" t="n"/>
      <c r="O2721" s="27" t="n"/>
      <c r="P2721" s="27" t="n"/>
      <c r="Q2721" s="27" t="n"/>
      <c r="R2721" s="27" t="n"/>
      <c r="S2721" s="27" t="n"/>
      <c r="T2721" s="27" t="n"/>
    </row>
    <row r="2722" ht="13.8" customFormat="1" customHeight="1" s="70">
      <c r="M2722" s="27" t="n"/>
      <c r="N2722" s="27" t="n"/>
      <c r="O2722" s="27" t="n"/>
      <c r="P2722" s="27" t="n"/>
      <c r="Q2722" s="27" t="n"/>
      <c r="R2722" s="27" t="n"/>
      <c r="S2722" s="27" t="n"/>
      <c r="T2722" s="27" t="n"/>
    </row>
    <row r="2723" ht="13.8" customFormat="1" customHeight="1" s="70">
      <c r="M2723" s="27" t="n"/>
      <c r="N2723" s="27" t="n"/>
      <c r="O2723" s="27" t="n"/>
      <c r="P2723" s="27" t="n"/>
      <c r="Q2723" s="27" t="n"/>
      <c r="R2723" s="27" t="n"/>
      <c r="S2723" s="27" t="n"/>
      <c r="T2723" s="27" t="n"/>
    </row>
    <row r="2724" ht="13.8" customFormat="1" customHeight="1" s="70">
      <c r="M2724" s="27" t="n"/>
      <c r="N2724" s="27" t="n"/>
      <c r="O2724" s="27" t="n"/>
      <c r="P2724" s="27" t="n"/>
      <c r="Q2724" s="27" t="n"/>
      <c r="R2724" s="27" t="n"/>
      <c r="S2724" s="27" t="n"/>
      <c r="T2724" s="27" t="n"/>
    </row>
    <row r="2725" ht="13.8" customFormat="1" customHeight="1" s="70">
      <c r="M2725" s="27" t="n"/>
      <c r="N2725" s="27" t="n"/>
      <c r="O2725" s="27" t="n"/>
      <c r="P2725" s="27" t="n"/>
      <c r="Q2725" s="27" t="n"/>
      <c r="R2725" s="27" t="n"/>
      <c r="S2725" s="27" t="n"/>
      <c r="T2725" s="27" t="n"/>
    </row>
    <row r="2726" ht="13.8" customFormat="1" customHeight="1" s="70">
      <c r="M2726" s="27" t="n"/>
      <c r="N2726" s="27" t="n"/>
      <c r="O2726" s="27" t="n"/>
      <c r="P2726" s="27" t="n"/>
      <c r="Q2726" s="27" t="n"/>
      <c r="R2726" s="27" t="n"/>
      <c r="S2726" s="27" t="n"/>
      <c r="T2726" s="27" t="n"/>
    </row>
    <row r="2727" ht="13.8" customFormat="1" customHeight="1" s="70">
      <c r="M2727" s="27" t="n"/>
      <c r="N2727" s="27" t="n"/>
      <c r="O2727" s="27" t="n"/>
      <c r="P2727" s="27" t="n"/>
      <c r="Q2727" s="27" t="n"/>
      <c r="R2727" s="27" t="n"/>
      <c r="S2727" s="27" t="n"/>
      <c r="T2727" s="27" t="n"/>
    </row>
    <row r="2728" ht="13.8" customFormat="1" customHeight="1" s="70">
      <c r="M2728" s="27" t="n"/>
      <c r="N2728" s="27" t="n"/>
      <c r="O2728" s="27" t="n"/>
      <c r="P2728" s="27" t="n"/>
      <c r="Q2728" s="27" t="n"/>
      <c r="R2728" s="27" t="n"/>
      <c r="S2728" s="27" t="n"/>
      <c r="T2728" s="27" t="n"/>
    </row>
    <row r="2729" ht="13.8" customFormat="1" customHeight="1" s="70">
      <c r="M2729" s="27" t="n"/>
      <c r="N2729" s="27" t="n"/>
      <c r="O2729" s="27" t="n"/>
      <c r="P2729" s="27" t="n"/>
      <c r="Q2729" s="27" t="n"/>
      <c r="R2729" s="27" t="n"/>
      <c r="S2729" s="27" t="n"/>
      <c r="T2729" s="27" t="n"/>
    </row>
    <row r="2730" ht="13.8" customFormat="1" customHeight="1" s="70">
      <c r="M2730" s="27" t="n"/>
      <c r="N2730" s="27" t="n"/>
      <c r="O2730" s="27" t="n"/>
      <c r="P2730" s="27" t="n"/>
      <c r="Q2730" s="27" t="n"/>
      <c r="R2730" s="27" t="n"/>
      <c r="S2730" s="27" t="n"/>
      <c r="T2730" s="27" t="n"/>
    </row>
    <row r="2731" ht="13.8" customFormat="1" customHeight="1" s="70">
      <c r="M2731" s="27" t="n"/>
      <c r="N2731" s="27" t="n"/>
      <c r="O2731" s="27" t="n"/>
      <c r="P2731" s="27" t="n"/>
      <c r="Q2731" s="27" t="n"/>
      <c r="R2731" s="27" t="n"/>
      <c r="S2731" s="27" t="n"/>
      <c r="T2731" s="27" t="n"/>
    </row>
    <row r="2732" ht="13.8" customFormat="1" customHeight="1" s="70">
      <c r="M2732" s="27" t="n"/>
      <c r="N2732" s="27" t="n"/>
      <c r="O2732" s="27" t="n"/>
      <c r="P2732" s="27" t="n"/>
      <c r="Q2732" s="27" t="n"/>
      <c r="R2732" s="27" t="n"/>
      <c r="S2732" s="27" t="n"/>
      <c r="T2732" s="27" t="n"/>
    </row>
    <row r="2733" ht="13.8" customFormat="1" customHeight="1" s="70">
      <c r="M2733" s="27" t="n"/>
      <c r="N2733" s="27" t="n"/>
      <c r="O2733" s="27" t="n"/>
      <c r="P2733" s="27" t="n"/>
      <c r="Q2733" s="27" t="n"/>
      <c r="R2733" s="27" t="n"/>
      <c r="S2733" s="27" t="n"/>
      <c r="T2733" s="27" t="n"/>
    </row>
    <row r="2734" ht="13.8" customFormat="1" customHeight="1" s="70">
      <c r="M2734" s="27" t="n"/>
      <c r="N2734" s="27" t="n"/>
      <c r="O2734" s="27" t="n"/>
      <c r="P2734" s="27" t="n"/>
      <c r="Q2734" s="27" t="n"/>
      <c r="R2734" s="27" t="n"/>
      <c r="S2734" s="27" t="n"/>
      <c r="T2734" s="27" t="n"/>
    </row>
    <row r="2735" ht="13.8" customFormat="1" customHeight="1" s="70">
      <c r="M2735" s="27" t="n"/>
      <c r="N2735" s="27" t="n"/>
      <c r="O2735" s="27" t="n"/>
      <c r="P2735" s="27" t="n"/>
      <c r="Q2735" s="27" t="n"/>
      <c r="R2735" s="27" t="n"/>
      <c r="S2735" s="27" t="n"/>
      <c r="T2735" s="27" t="n"/>
    </row>
    <row r="2736" ht="13.8" customFormat="1" customHeight="1" s="70">
      <c r="M2736" s="27" t="n"/>
      <c r="N2736" s="27" t="n"/>
      <c r="O2736" s="27" t="n"/>
      <c r="P2736" s="27" t="n"/>
      <c r="Q2736" s="27" t="n"/>
      <c r="R2736" s="27" t="n"/>
      <c r="S2736" s="27" t="n"/>
      <c r="T2736" s="27" t="n"/>
    </row>
    <row r="2737" ht="13.8" customFormat="1" customHeight="1" s="70">
      <c r="M2737" s="27" t="n"/>
      <c r="N2737" s="27" t="n"/>
      <c r="O2737" s="27" t="n"/>
      <c r="P2737" s="27" t="n"/>
      <c r="Q2737" s="27" t="n"/>
      <c r="R2737" s="27" t="n"/>
      <c r="S2737" s="27" t="n"/>
      <c r="T2737" s="27" t="n"/>
    </row>
    <row r="2738" ht="13.8" customFormat="1" customHeight="1" s="70">
      <c r="M2738" s="27" t="n"/>
      <c r="N2738" s="27" t="n"/>
      <c r="O2738" s="27" t="n"/>
      <c r="P2738" s="27" t="n"/>
      <c r="Q2738" s="27" t="n"/>
      <c r="R2738" s="27" t="n"/>
      <c r="S2738" s="27" t="n"/>
      <c r="T2738" s="27" t="n"/>
    </row>
    <row r="2739" ht="13.8" customFormat="1" customHeight="1" s="70">
      <c r="M2739" s="27" t="n"/>
      <c r="N2739" s="27" t="n"/>
      <c r="O2739" s="27" t="n"/>
      <c r="P2739" s="27" t="n"/>
      <c r="Q2739" s="27" t="n"/>
      <c r="R2739" s="27" t="n"/>
      <c r="S2739" s="27" t="n"/>
      <c r="T2739" s="27" t="n"/>
    </row>
    <row r="2740" ht="13.8" customFormat="1" customHeight="1" s="70">
      <c r="M2740" s="27" t="n"/>
      <c r="N2740" s="27" t="n"/>
      <c r="O2740" s="27" t="n"/>
      <c r="P2740" s="27" t="n"/>
      <c r="Q2740" s="27" t="n"/>
      <c r="R2740" s="27" t="n"/>
      <c r="S2740" s="27" t="n"/>
      <c r="T2740" s="27" t="n"/>
    </row>
    <row r="2741" ht="13.8" customFormat="1" customHeight="1" s="70">
      <c r="M2741" s="27" t="n"/>
      <c r="N2741" s="27" t="n"/>
      <c r="O2741" s="27" t="n"/>
      <c r="P2741" s="27" t="n"/>
      <c r="Q2741" s="27" t="n"/>
      <c r="R2741" s="27" t="n"/>
      <c r="S2741" s="27" t="n"/>
      <c r="T2741" s="27" t="n"/>
    </row>
    <row r="2742" ht="13.8" customFormat="1" customHeight="1" s="70">
      <c r="M2742" s="27" t="n"/>
      <c r="N2742" s="27" t="n"/>
      <c r="O2742" s="27" t="n"/>
      <c r="P2742" s="27" t="n"/>
      <c r="Q2742" s="27" t="n"/>
      <c r="R2742" s="27" t="n"/>
      <c r="S2742" s="27" t="n"/>
      <c r="T2742" s="27" t="n"/>
    </row>
    <row r="2743" ht="13.8" customFormat="1" customHeight="1" s="70">
      <c r="M2743" s="27" t="n"/>
      <c r="N2743" s="27" t="n"/>
      <c r="O2743" s="27" t="n"/>
      <c r="P2743" s="27" t="n"/>
      <c r="Q2743" s="27" t="n"/>
      <c r="R2743" s="27" t="n"/>
      <c r="S2743" s="27" t="n"/>
      <c r="T2743" s="27" t="n"/>
    </row>
    <row r="2744" ht="13.8" customFormat="1" customHeight="1" s="70">
      <c r="M2744" s="27" t="n"/>
      <c r="N2744" s="27" t="n"/>
      <c r="O2744" s="27" t="n"/>
      <c r="P2744" s="27" t="n"/>
      <c r="Q2744" s="27" t="n"/>
      <c r="R2744" s="27" t="n"/>
      <c r="S2744" s="27" t="n"/>
      <c r="T2744" s="27" t="n"/>
    </row>
    <row r="2745" ht="13.8" customFormat="1" customHeight="1" s="70">
      <c r="M2745" s="27" t="n"/>
      <c r="N2745" s="27" t="n"/>
      <c r="O2745" s="27" t="n"/>
      <c r="P2745" s="27" t="n"/>
      <c r="Q2745" s="27" t="n"/>
      <c r="R2745" s="27" t="n"/>
      <c r="S2745" s="27" t="n"/>
      <c r="T2745" s="27" t="n"/>
    </row>
    <row r="2746" ht="13.8" customFormat="1" customHeight="1" s="70">
      <c r="M2746" s="27" t="n"/>
      <c r="N2746" s="27" t="n"/>
      <c r="O2746" s="27" t="n"/>
      <c r="P2746" s="27" t="n"/>
      <c r="Q2746" s="27" t="n"/>
      <c r="R2746" s="27" t="n"/>
      <c r="S2746" s="27" t="n"/>
      <c r="T2746" s="27" t="n"/>
    </row>
    <row r="2747" ht="13.8" customFormat="1" customHeight="1" s="70">
      <c r="M2747" s="27" t="n"/>
      <c r="N2747" s="27" t="n"/>
      <c r="O2747" s="27" t="n"/>
      <c r="P2747" s="27" t="n"/>
      <c r="Q2747" s="27" t="n"/>
      <c r="R2747" s="27" t="n"/>
      <c r="S2747" s="27" t="n"/>
      <c r="T2747" s="27" t="n"/>
    </row>
    <row r="2748" ht="13.8" customFormat="1" customHeight="1" s="70">
      <c r="M2748" s="27" t="n"/>
      <c r="N2748" s="27" t="n"/>
      <c r="O2748" s="27" t="n"/>
      <c r="P2748" s="27" t="n"/>
      <c r="Q2748" s="27" t="n"/>
      <c r="R2748" s="27" t="n"/>
      <c r="S2748" s="27" t="n"/>
      <c r="T2748" s="27" t="n"/>
    </row>
    <row r="2749" ht="13.8" customFormat="1" customHeight="1" s="70">
      <c r="M2749" s="27" t="n"/>
      <c r="N2749" s="27" t="n"/>
      <c r="O2749" s="27" t="n"/>
      <c r="P2749" s="27" t="n"/>
      <c r="Q2749" s="27" t="n"/>
      <c r="R2749" s="27" t="n"/>
      <c r="S2749" s="27" t="n"/>
      <c r="T2749" s="27" t="n"/>
    </row>
    <row r="2750" ht="13.8" customFormat="1" customHeight="1" s="70">
      <c r="M2750" s="27" t="n"/>
      <c r="N2750" s="27" t="n"/>
      <c r="O2750" s="27" t="n"/>
      <c r="P2750" s="27" t="n"/>
      <c r="Q2750" s="27" t="n"/>
      <c r="R2750" s="27" t="n"/>
      <c r="S2750" s="27" t="n"/>
      <c r="T2750" s="27" t="n"/>
    </row>
    <row r="2751" ht="13.8" customFormat="1" customHeight="1" s="70">
      <c r="M2751" s="27" t="n"/>
      <c r="N2751" s="27" t="n"/>
      <c r="O2751" s="27" t="n"/>
      <c r="P2751" s="27" t="n"/>
      <c r="Q2751" s="27" t="n"/>
      <c r="R2751" s="27" t="n"/>
      <c r="S2751" s="27" t="n"/>
      <c r="T2751" s="27" t="n"/>
    </row>
    <row r="2752" ht="13.8" customFormat="1" customHeight="1" s="70">
      <c r="M2752" s="27" t="n"/>
      <c r="N2752" s="27" t="n"/>
      <c r="O2752" s="27" t="n"/>
      <c r="P2752" s="27" t="n"/>
      <c r="Q2752" s="27" t="n"/>
      <c r="R2752" s="27" t="n"/>
      <c r="S2752" s="27" t="n"/>
      <c r="T2752" s="27" t="n"/>
    </row>
    <row r="2753" ht="13.8" customFormat="1" customHeight="1" s="70">
      <c r="M2753" s="27" t="n"/>
      <c r="N2753" s="27" t="n"/>
      <c r="O2753" s="27" t="n"/>
      <c r="P2753" s="27" t="n"/>
      <c r="Q2753" s="27" t="n"/>
      <c r="R2753" s="27" t="n"/>
      <c r="S2753" s="27" t="n"/>
      <c r="T2753" s="27" t="n"/>
    </row>
    <row r="2754" ht="13.8" customFormat="1" customHeight="1" s="70">
      <c r="M2754" s="27" t="n"/>
      <c r="N2754" s="27" t="n"/>
      <c r="O2754" s="27" t="n"/>
      <c r="P2754" s="27" t="n"/>
      <c r="Q2754" s="27" t="n"/>
      <c r="R2754" s="27" t="n"/>
      <c r="S2754" s="27" t="n"/>
      <c r="T2754" s="27" t="n"/>
    </row>
    <row r="2755" ht="13.8" customFormat="1" customHeight="1" s="70">
      <c r="M2755" s="27" t="n"/>
      <c r="N2755" s="27" t="n"/>
      <c r="O2755" s="27" t="n"/>
      <c r="P2755" s="27" t="n"/>
      <c r="Q2755" s="27" t="n"/>
      <c r="R2755" s="27" t="n"/>
      <c r="S2755" s="27" t="n"/>
      <c r="T2755" s="27" t="n"/>
    </row>
    <row r="2756" ht="13.8" customFormat="1" customHeight="1" s="70">
      <c r="M2756" s="27" t="n"/>
      <c r="N2756" s="27" t="n"/>
      <c r="O2756" s="27" t="n"/>
      <c r="P2756" s="27" t="n"/>
      <c r="Q2756" s="27" t="n"/>
      <c r="R2756" s="27" t="n"/>
      <c r="S2756" s="27" t="n"/>
      <c r="T2756" s="27" t="n"/>
    </row>
    <row r="2757" ht="13.8" customFormat="1" customHeight="1" s="70">
      <c r="M2757" s="27" t="n"/>
      <c r="N2757" s="27" t="n"/>
      <c r="O2757" s="27" t="n"/>
      <c r="P2757" s="27" t="n"/>
      <c r="Q2757" s="27" t="n"/>
      <c r="R2757" s="27" t="n"/>
      <c r="S2757" s="27" t="n"/>
      <c r="T2757" s="27" t="n"/>
    </row>
    <row r="2758" ht="13.8" customFormat="1" customHeight="1" s="70">
      <c r="M2758" s="27" t="n"/>
      <c r="N2758" s="27" t="n"/>
      <c r="O2758" s="27" t="n"/>
      <c r="P2758" s="27" t="n"/>
      <c r="Q2758" s="27" t="n"/>
      <c r="R2758" s="27" t="n"/>
      <c r="S2758" s="27" t="n"/>
      <c r="T2758" s="27" t="n"/>
    </row>
    <row r="2759" ht="13.8" customFormat="1" customHeight="1" s="70">
      <c r="M2759" s="27" t="n"/>
      <c r="N2759" s="27" t="n"/>
      <c r="O2759" s="27" t="n"/>
      <c r="P2759" s="27" t="n"/>
      <c r="Q2759" s="27" t="n"/>
      <c r="R2759" s="27" t="n"/>
      <c r="S2759" s="27" t="n"/>
      <c r="T2759" s="27" t="n"/>
    </row>
    <row r="2760" ht="13.8" customFormat="1" customHeight="1" s="70">
      <c r="M2760" s="27" t="n"/>
      <c r="N2760" s="27" t="n"/>
      <c r="O2760" s="27" t="n"/>
      <c r="P2760" s="27" t="n"/>
      <c r="Q2760" s="27" t="n"/>
      <c r="R2760" s="27" t="n"/>
      <c r="S2760" s="27" t="n"/>
      <c r="T2760" s="27" t="n"/>
    </row>
    <row r="2761" ht="13.8" customFormat="1" customHeight="1" s="70">
      <c r="M2761" s="27" t="n"/>
      <c r="N2761" s="27" t="n"/>
      <c r="O2761" s="27" t="n"/>
      <c r="P2761" s="27" t="n"/>
      <c r="Q2761" s="27" t="n"/>
      <c r="R2761" s="27" t="n"/>
      <c r="S2761" s="27" t="n"/>
      <c r="T2761" s="27" t="n"/>
    </row>
    <row r="2762" ht="13.8" customFormat="1" customHeight="1" s="70">
      <c r="M2762" s="27" t="n"/>
      <c r="N2762" s="27" t="n"/>
      <c r="O2762" s="27" t="n"/>
      <c r="P2762" s="27" t="n"/>
      <c r="Q2762" s="27" t="n"/>
      <c r="R2762" s="27" t="n"/>
      <c r="S2762" s="27" t="n"/>
      <c r="T2762" s="27" t="n"/>
    </row>
    <row r="2763" ht="13.8" customFormat="1" customHeight="1" s="70">
      <c r="M2763" s="27" t="n"/>
      <c r="N2763" s="27" t="n"/>
      <c r="O2763" s="27" t="n"/>
      <c r="P2763" s="27" t="n"/>
      <c r="Q2763" s="27" t="n"/>
      <c r="R2763" s="27" t="n"/>
      <c r="S2763" s="27" t="n"/>
      <c r="T2763" s="27" t="n"/>
    </row>
    <row r="2764" ht="13.8" customFormat="1" customHeight="1" s="70">
      <c r="M2764" s="27" t="n"/>
      <c r="N2764" s="27" t="n"/>
      <c r="O2764" s="27" t="n"/>
      <c r="P2764" s="27" t="n"/>
      <c r="Q2764" s="27" t="n"/>
      <c r="R2764" s="27" t="n"/>
      <c r="S2764" s="27" t="n"/>
      <c r="T2764" s="27" t="n"/>
    </row>
    <row r="2765" ht="13.8" customFormat="1" customHeight="1" s="70">
      <c r="M2765" s="27" t="n"/>
      <c r="N2765" s="27" t="n"/>
      <c r="O2765" s="27" t="n"/>
      <c r="P2765" s="27" t="n"/>
      <c r="Q2765" s="27" t="n"/>
      <c r="R2765" s="27" t="n"/>
      <c r="S2765" s="27" t="n"/>
      <c r="T2765" s="27" t="n"/>
    </row>
    <row r="2766" ht="13.8" customFormat="1" customHeight="1" s="70">
      <c r="M2766" s="27" t="n"/>
      <c r="N2766" s="27" t="n"/>
      <c r="O2766" s="27" t="n"/>
      <c r="P2766" s="27" t="n"/>
      <c r="Q2766" s="27" t="n"/>
      <c r="R2766" s="27" t="n"/>
      <c r="S2766" s="27" t="n"/>
      <c r="T2766" s="27" t="n"/>
    </row>
    <row r="2767" ht="13.8" customFormat="1" customHeight="1" s="70">
      <c r="M2767" s="27" t="n"/>
      <c r="N2767" s="27" t="n"/>
      <c r="O2767" s="27" t="n"/>
      <c r="P2767" s="27" t="n"/>
      <c r="Q2767" s="27" t="n"/>
      <c r="R2767" s="27" t="n"/>
      <c r="S2767" s="27" t="n"/>
      <c r="T2767" s="27" t="n"/>
    </row>
    <row r="2768" ht="13.8" customFormat="1" customHeight="1" s="70">
      <c r="M2768" s="27" t="n"/>
      <c r="N2768" s="27" t="n"/>
      <c r="O2768" s="27" t="n"/>
      <c r="P2768" s="27" t="n"/>
      <c r="Q2768" s="27" t="n"/>
      <c r="R2768" s="27" t="n"/>
      <c r="S2768" s="27" t="n"/>
      <c r="T2768" s="27" t="n"/>
    </row>
    <row r="2769" ht="13.8" customFormat="1" customHeight="1" s="70">
      <c r="M2769" s="27" t="n"/>
      <c r="N2769" s="27" t="n"/>
      <c r="O2769" s="27" t="n"/>
      <c r="P2769" s="27" t="n"/>
      <c r="Q2769" s="27" t="n"/>
      <c r="R2769" s="27" t="n"/>
      <c r="S2769" s="27" t="n"/>
      <c r="T2769" s="27" t="n"/>
    </row>
    <row r="2770" ht="13.8" customFormat="1" customHeight="1" s="70">
      <c r="M2770" s="27" t="n"/>
      <c r="N2770" s="27" t="n"/>
      <c r="O2770" s="27" t="n"/>
      <c r="P2770" s="27" t="n"/>
      <c r="Q2770" s="27" t="n"/>
      <c r="R2770" s="27" t="n"/>
      <c r="S2770" s="27" t="n"/>
      <c r="T2770" s="27" t="n"/>
    </row>
    <row r="2771" ht="13.8" customFormat="1" customHeight="1" s="70">
      <c r="M2771" s="27" t="n"/>
      <c r="N2771" s="27" t="n"/>
      <c r="O2771" s="27" t="n"/>
      <c r="P2771" s="27" t="n"/>
      <c r="Q2771" s="27" t="n"/>
      <c r="R2771" s="27" t="n"/>
      <c r="S2771" s="27" t="n"/>
      <c r="T2771" s="27" t="n"/>
    </row>
    <row r="2772" ht="13.8" customFormat="1" customHeight="1" s="70">
      <c r="M2772" s="27" t="n"/>
      <c r="N2772" s="27" t="n"/>
      <c r="O2772" s="27" t="n"/>
      <c r="P2772" s="27" t="n"/>
      <c r="Q2772" s="27" t="n"/>
      <c r="R2772" s="27" t="n"/>
      <c r="S2772" s="27" t="n"/>
      <c r="T2772" s="27" t="n"/>
    </row>
    <row r="2773" ht="13.8" customFormat="1" customHeight="1" s="70">
      <c r="M2773" s="27" t="n"/>
      <c r="N2773" s="27" t="n"/>
      <c r="O2773" s="27" t="n"/>
      <c r="P2773" s="27" t="n"/>
      <c r="Q2773" s="27" t="n"/>
      <c r="R2773" s="27" t="n"/>
      <c r="S2773" s="27" t="n"/>
      <c r="T2773" s="27" t="n"/>
    </row>
    <row r="2774" ht="13.8" customFormat="1" customHeight="1" s="70">
      <c r="M2774" s="27" t="n"/>
      <c r="N2774" s="27" t="n"/>
      <c r="O2774" s="27" t="n"/>
      <c r="P2774" s="27" t="n"/>
      <c r="Q2774" s="27" t="n"/>
      <c r="R2774" s="27" t="n"/>
      <c r="S2774" s="27" t="n"/>
      <c r="T2774" s="27" t="n"/>
    </row>
    <row r="2775" ht="13.8" customFormat="1" customHeight="1" s="70">
      <c r="M2775" s="27" t="n"/>
      <c r="N2775" s="27" t="n"/>
      <c r="O2775" s="27" t="n"/>
      <c r="P2775" s="27" t="n"/>
      <c r="Q2775" s="27" t="n"/>
      <c r="R2775" s="27" t="n"/>
      <c r="S2775" s="27" t="n"/>
      <c r="T2775" s="27" t="n"/>
    </row>
    <row r="2776" ht="13.8" customFormat="1" customHeight="1" s="70">
      <c r="M2776" s="27" t="n"/>
      <c r="N2776" s="27" t="n"/>
      <c r="O2776" s="27" t="n"/>
      <c r="P2776" s="27" t="n"/>
      <c r="Q2776" s="27" t="n"/>
      <c r="R2776" s="27" t="n"/>
      <c r="S2776" s="27" t="n"/>
      <c r="T2776" s="27" t="n"/>
    </row>
    <row r="2777" ht="13.8" customFormat="1" customHeight="1" s="70">
      <c r="M2777" s="27" t="n"/>
      <c r="N2777" s="27" t="n"/>
      <c r="O2777" s="27" t="n"/>
      <c r="P2777" s="27" t="n"/>
      <c r="Q2777" s="27" t="n"/>
      <c r="R2777" s="27" t="n"/>
      <c r="S2777" s="27" t="n"/>
      <c r="T2777" s="27" t="n"/>
    </row>
    <row r="2778" ht="13.8" customFormat="1" customHeight="1" s="70">
      <c r="M2778" s="27" t="n"/>
      <c r="N2778" s="27" t="n"/>
      <c r="O2778" s="27" t="n"/>
      <c r="P2778" s="27" t="n"/>
      <c r="Q2778" s="27" t="n"/>
      <c r="R2778" s="27" t="n"/>
      <c r="S2778" s="27" t="n"/>
      <c r="T2778" s="27" t="n"/>
    </row>
    <row r="2779" ht="13.8" customFormat="1" customHeight="1" s="70">
      <c r="M2779" s="27" t="n"/>
      <c r="N2779" s="27" t="n"/>
      <c r="O2779" s="27" t="n"/>
      <c r="P2779" s="27" t="n"/>
      <c r="Q2779" s="27" t="n"/>
      <c r="R2779" s="27" t="n"/>
      <c r="S2779" s="27" t="n"/>
      <c r="T2779" s="27" t="n"/>
    </row>
    <row r="2780" ht="13.8" customFormat="1" customHeight="1" s="70">
      <c r="M2780" s="27" t="n"/>
      <c r="N2780" s="27" t="n"/>
      <c r="O2780" s="27" t="n"/>
      <c r="P2780" s="27" t="n"/>
      <c r="Q2780" s="27" t="n"/>
      <c r="R2780" s="27" t="n"/>
      <c r="S2780" s="27" t="n"/>
      <c r="T2780" s="27" t="n"/>
    </row>
    <row r="2781" ht="13.8" customFormat="1" customHeight="1" s="70">
      <c r="M2781" s="27" t="n"/>
      <c r="N2781" s="27" t="n"/>
      <c r="O2781" s="27" t="n"/>
      <c r="P2781" s="27" t="n"/>
      <c r="Q2781" s="27" t="n"/>
      <c r="R2781" s="27" t="n"/>
      <c r="S2781" s="27" t="n"/>
      <c r="T2781" s="27" t="n"/>
    </row>
    <row r="2782" ht="13.8" customFormat="1" customHeight="1" s="70">
      <c r="M2782" s="27" t="n"/>
      <c r="N2782" s="27" t="n"/>
      <c r="O2782" s="27" t="n"/>
      <c r="P2782" s="27" t="n"/>
      <c r="Q2782" s="27" t="n"/>
      <c r="R2782" s="27" t="n"/>
      <c r="S2782" s="27" t="n"/>
      <c r="T2782" s="27" t="n"/>
    </row>
    <row r="2783" ht="13.8" customFormat="1" customHeight="1" s="70">
      <c r="M2783" s="27" t="n"/>
      <c r="N2783" s="27" t="n"/>
      <c r="O2783" s="27" t="n"/>
      <c r="P2783" s="27" t="n"/>
      <c r="Q2783" s="27" t="n"/>
      <c r="R2783" s="27" t="n"/>
      <c r="S2783" s="27" t="n"/>
      <c r="T2783" s="27" t="n"/>
    </row>
    <row r="2784" ht="13.8" customFormat="1" customHeight="1" s="70">
      <c r="M2784" s="27" t="n"/>
      <c r="N2784" s="27" t="n"/>
      <c r="O2784" s="27" t="n"/>
      <c r="P2784" s="27" t="n"/>
      <c r="Q2784" s="27" t="n"/>
      <c r="R2784" s="27" t="n"/>
      <c r="S2784" s="27" t="n"/>
      <c r="T2784" s="27" t="n"/>
    </row>
    <row r="2785" ht="13.8" customFormat="1" customHeight="1" s="70">
      <c r="M2785" s="27" t="n"/>
      <c r="N2785" s="27" t="n"/>
      <c r="O2785" s="27" t="n"/>
      <c r="P2785" s="27" t="n"/>
      <c r="Q2785" s="27" t="n"/>
      <c r="R2785" s="27" t="n"/>
      <c r="S2785" s="27" t="n"/>
      <c r="T2785" s="27" t="n"/>
    </row>
    <row r="2786" ht="13.8" customFormat="1" customHeight="1" s="70">
      <c r="M2786" s="27" t="n"/>
      <c r="N2786" s="27" t="n"/>
      <c r="O2786" s="27" t="n"/>
      <c r="P2786" s="27" t="n"/>
      <c r="Q2786" s="27" t="n"/>
      <c r="R2786" s="27" t="n"/>
      <c r="S2786" s="27" t="n"/>
      <c r="T2786" s="27" t="n"/>
    </row>
    <row r="2787" ht="13.8" customFormat="1" customHeight="1" s="70">
      <c r="M2787" s="27" t="n"/>
      <c r="N2787" s="27" t="n"/>
      <c r="O2787" s="27" t="n"/>
      <c r="P2787" s="27" t="n"/>
      <c r="Q2787" s="27" t="n"/>
      <c r="R2787" s="27" t="n"/>
      <c r="S2787" s="27" t="n"/>
      <c r="T2787" s="27" t="n"/>
    </row>
    <row r="2788" ht="13.8" customFormat="1" customHeight="1" s="70">
      <c r="M2788" s="27" t="n"/>
      <c r="N2788" s="27" t="n"/>
      <c r="O2788" s="27" t="n"/>
      <c r="P2788" s="27" t="n"/>
      <c r="Q2788" s="27" t="n"/>
      <c r="R2788" s="27" t="n"/>
      <c r="S2788" s="27" t="n"/>
      <c r="T2788" s="27" t="n"/>
    </row>
    <row r="2789" ht="13.8" customFormat="1" customHeight="1" s="70">
      <c r="M2789" s="27" t="n"/>
      <c r="N2789" s="27" t="n"/>
      <c r="O2789" s="27" t="n"/>
      <c r="P2789" s="27" t="n"/>
      <c r="Q2789" s="27" t="n"/>
      <c r="R2789" s="27" t="n"/>
      <c r="S2789" s="27" t="n"/>
      <c r="T2789" s="27" t="n"/>
    </row>
    <row r="2790" ht="13.8" customFormat="1" customHeight="1" s="70">
      <c r="M2790" s="27" t="n"/>
      <c r="N2790" s="27" t="n"/>
      <c r="O2790" s="27" t="n"/>
      <c r="P2790" s="27" t="n"/>
      <c r="Q2790" s="27" t="n"/>
      <c r="R2790" s="27" t="n"/>
      <c r="S2790" s="27" t="n"/>
      <c r="T2790" s="27" t="n"/>
    </row>
    <row r="2791" ht="13.8" customFormat="1" customHeight="1" s="70">
      <c r="M2791" s="27" t="n"/>
      <c r="N2791" s="27" t="n"/>
      <c r="O2791" s="27" t="n"/>
      <c r="P2791" s="27" t="n"/>
      <c r="Q2791" s="27" t="n"/>
      <c r="R2791" s="27" t="n"/>
      <c r="S2791" s="27" t="n"/>
      <c r="T2791" s="27" t="n"/>
    </row>
    <row r="2792" ht="13.8" customFormat="1" customHeight="1" s="70">
      <c r="M2792" s="27" t="n"/>
      <c r="N2792" s="27" t="n"/>
      <c r="O2792" s="27" t="n"/>
      <c r="P2792" s="27" t="n"/>
      <c r="Q2792" s="27" t="n"/>
      <c r="R2792" s="27" t="n"/>
      <c r="S2792" s="27" t="n"/>
      <c r="T2792" s="27" t="n"/>
    </row>
    <row r="2793" ht="13.8" customFormat="1" customHeight="1" s="70">
      <c r="M2793" s="27" t="n"/>
      <c r="N2793" s="27" t="n"/>
      <c r="O2793" s="27" t="n"/>
      <c r="P2793" s="27" t="n"/>
      <c r="Q2793" s="27" t="n"/>
      <c r="R2793" s="27" t="n"/>
      <c r="S2793" s="27" t="n"/>
      <c r="T2793" s="27" t="n"/>
    </row>
    <row r="2794" ht="13.8" customFormat="1" customHeight="1" s="70">
      <c r="M2794" s="27" t="n"/>
      <c r="N2794" s="27" t="n"/>
      <c r="O2794" s="27" t="n"/>
      <c r="P2794" s="27" t="n"/>
      <c r="Q2794" s="27" t="n"/>
      <c r="R2794" s="27" t="n"/>
      <c r="S2794" s="27" t="n"/>
      <c r="T2794" s="27" t="n"/>
    </row>
    <row r="2795" ht="13.8" customFormat="1" customHeight="1" s="70">
      <c r="M2795" s="27" t="n"/>
      <c r="N2795" s="27" t="n"/>
      <c r="O2795" s="27" t="n"/>
      <c r="P2795" s="27" t="n"/>
      <c r="Q2795" s="27" t="n"/>
      <c r="R2795" s="27" t="n"/>
      <c r="S2795" s="27" t="n"/>
      <c r="T2795" s="27" t="n"/>
    </row>
    <row r="2796" ht="13.8" customFormat="1" customHeight="1" s="70">
      <c r="M2796" s="27" t="n"/>
      <c r="N2796" s="27" t="n"/>
      <c r="O2796" s="27" t="n"/>
      <c r="P2796" s="27" t="n"/>
      <c r="Q2796" s="27" t="n"/>
      <c r="R2796" s="27" t="n"/>
      <c r="S2796" s="27" t="n"/>
      <c r="T2796" s="27" t="n"/>
    </row>
    <row r="2797" ht="13.8" customFormat="1" customHeight="1" s="70">
      <c r="M2797" s="27" t="n"/>
      <c r="N2797" s="27" t="n"/>
      <c r="O2797" s="27" t="n"/>
      <c r="P2797" s="27" t="n"/>
      <c r="Q2797" s="27" t="n"/>
      <c r="R2797" s="27" t="n"/>
      <c r="S2797" s="27" t="n"/>
      <c r="T2797" s="27" t="n"/>
    </row>
    <row r="2798" ht="13.8" customFormat="1" customHeight="1" s="70">
      <c r="M2798" s="27" t="n"/>
      <c r="N2798" s="27" t="n"/>
      <c r="O2798" s="27" t="n"/>
      <c r="P2798" s="27" t="n"/>
      <c r="Q2798" s="27" t="n"/>
      <c r="R2798" s="27" t="n"/>
      <c r="S2798" s="27" t="n"/>
      <c r="T2798" s="27" t="n"/>
    </row>
    <row r="2799" ht="13.8" customFormat="1" customHeight="1" s="70">
      <c r="M2799" s="27" t="n"/>
      <c r="N2799" s="27" t="n"/>
      <c r="O2799" s="27" t="n"/>
      <c r="P2799" s="27" t="n"/>
      <c r="Q2799" s="27" t="n"/>
      <c r="R2799" s="27" t="n"/>
      <c r="S2799" s="27" t="n"/>
      <c r="T2799" s="27" t="n"/>
    </row>
    <row r="2800" ht="13.8" customFormat="1" customHeight="1" s="70">
      <c r="M2800" s="27" t="n"/>
      <c r="N2800" s="27" t="n"/>
      <c r="O2800" s="27" t="n"/>
      <c r="P2800" s="27" t="n"/>
      <c r="Q2800" s="27" t="n"/>
      <c r="R2800" s="27" t="n"/>
      <c r="S2800" s="27" t="n"/>
      <c r="T2800" s="27" t="n"/>
    </row>
    <row r="2801" ht="13.8" customFormat="1" customHeight="1" s="70">
      <c r="M2801" s="27" t="n"/>
      <c r="N2801" s="27" t="n"/>
      <c r="O2801" s="27" t="n"/>
      <c r="P2801" s="27" t="n"/>
      <c r="Q2801" s="27" t="n"/>
      <c r="R2801" s="27" t="n"/>
      <c r="S2801" s="27" t="n"/>
      <c r="T2801" s="27" t="n"/>
    </row>
    <row r="2802" ht="13.8" customFormat="1" customHeight="1" s="70">
      <c r="M2802" s="27" t="n"/>
      <c r="N2802" s="27" t="n"/>
      <c r="O2802" s="27" t="n"/>
      <c r="P2802" s="27" t="n"/>
      <c r="Q2802" s="27" t="n"/>
      <c r="R2802" s="27" t="n"/>
      <c r="S2802" s="27" t="n"/>
      <c r="T2802" s="27" t="n"/>
    </row>
    <row r="2803" ht="13.8" customFormat="1" customHeight="1" s="70">
      <c r="M2803" s="27" t="n"/>
      <c r="N2803" s="27" t="n"/>
      <c r="O2803" s="27" t="n"/>
      <c r="P2803" s="27" t="n"/>
      <c r="Q2803" s="27" t="n"/>
      <c r="R2803" s="27" t="n"/>
      <c r="S2803" s="27" t="n"/>
      <c r="T2803" s="27" t="n"/>
    </row>
    <row r="2804" ht="13.8" customFormat="1" customHeight="1" s="70">
      <c r="M2804" s="27" t="n"/>
      <c r="N2804" s="27" t="n"/>
      <c r="O2804" s="27" t="n"/>
      <c r="P2804" s="27" t="n"/>
      <c r="Q2804" s="27" t="n"/>
      <c r="R2804" s="27" t="n"/>
      <c r="S2804" s="27" t="n"/>
      <c r="T2804" s="27" t="n"/>
    </row>
    <row r="2805" ht="13.8" customFormat="1" customHeight="1" s="70">
      <c r="M2805" s="27" t="n"/>
      <c r="N2805" s="27" t="n"/>
      <c r="O2805" s="27" t="n"/>
      <c r="P2805" s="27" t="n"/>
      <c r="Q2805" s="27" t="n"/>
      <c r="R2805" s="27" t="n"/>
      <c r="S2805" s="27" t="n"/>
      <c r="T2805" s="27" t="n"/>
    </row>
    <row r="2806" ht="13.8" customFormat="1" customHeight="1" s="70">
      <c r="M2806" s="27" t="n"/>
      <c r="N2806" s="27" t="n"/>
      <c r="O2806" s="27" t="n"/>
      <c r="P2806" s="27" t="n"/>
      <c r="Q2806" s="27" t="n"/>
      <c r="R2806" s="27" t="n"/>
      <c r="S2806" s="27" t="n"/>
      <c r="T2806" s="27" t="n"/>
    </row>
    <row r="2807" ht="13.8" customFormat="1" customHeight="1" s="70">
      <c r="M2807" s="27" t="n"/>
      <c r="N2807" s="27" t="n"/>
      <c r="O2807" s="27" t="n"/>
      <c r="P2807" s="27" t="n"/>
      <c r="Q2807" s="27" t="n"/>
      <c r="R2807" s="27" t="n"/>
      <c r="S2807" s="27" t="n"/>
      <c r="T2807" s="27" t="n"/>
    </row>
    <row r="2808" ht="13.8" customFormat="1" customHeight="1" s="70">
      <c r="M2808" s="27" t="n"/>
      <c r="N2808" s="27" t="n"/>
      <c r="O2808" s="27" t="n"/>
      <c r="P2808" s="27" t="n"/>
      <c r="Q2808" s="27" t="n"/>
      <c r="R2808" s="27" t="n"/>
      <c r="S2808" s="27" t="n"/>
      <c r="T2808" s="27" t="n"/>
    </row>
    <row r="2809" ht="13.8" customFormat="1" customHeight="1" s="70">
      <c r="M2809" s="27" t="n"/>
      <c r="N2809" s="27" t="n"/>
      <c r="O2809" s="27" t="n"/>
      <c r="P2809" s="27" t="n"/>
      <c r="Q2809" s="27" t="n"/>
      <c r="R2809" s="27" t="n"/>
      <c r="S2809" s="27" t="n"/>
      <c r="T2809" s="27" t="n"/>
    </row>
    <row r="2810" ht="13.8" customFormat="1" customHeight="1" s="70">
      <c r="M2810" s="27" t="n"/>
      <c r="N2810" s="27" t="n"/>
      <c r="O2810" s="27" t="n"/>
      <c r="P2810" s="27" t="n"/>
      <c r="Q2810" s="27" t="n"/>
      <c r="R2810" s="27" t="n"/>
      <c r="S2810" s="27" t="n"/>
      <c r="T2810" s="27" t="n"/>
    </row>
    <row r="2811" ht="13.8" customFormat="1" customHeight="1" s="70">
      <c r="M2811" s="27" t="n"/>
      <c r="N2811" s="27" t="n"/>
      <c r="O2811" s="27" t="n"/>
      <c r="P2811" s="27" t="n"/>
      <c r="Q2811" s="27" t="n"/>
      <c r="R2811" s="27" t="n"/>
      <c r="S2811" s="27" t="n"/>
      <c r="T2811" s="27" t="n"/>
    </row>
    <row r="2812" ht="13.8" customFormat="1" customHeight="1" s="70">
      <c r="M2812" s="27" t="n"/>
      <c r="N2812" s="27" t="n"/>
      <c r="O2812" s="27" t="n"/>
      <c r="P2812" s="27" t="n"/>
      <c r="Q2812" s="27" t="n"/>
      <c r="R2812" s="27" t="n"/>
      <c r="S2812" s="27" t="n"/>
      <c r="T2812" s="27" t="n"/>
    </row>
    <row r="2813" ht="13.8" customFormat="1" customHeight="1" s="70">
      <c r="M2813" s="27" t="n"/>
      <c r="N2813" s="27" t="n"/>
      <c r="O2813" s="27" t="n"/>
      <c r="P2813" s="27" t="n"/>
      <c r="Q2813" s="27" t="n"/>
      <c r="R2813" s="27" t="n"/>
      <c r="S2813" s="27" t="n"/>
      <c r="T2813" s="27" t="n"/>
    </row>
    <row r="2814" ht="13.8" customFormat="1" customHeight="1" s="70">
      <c r="M2814" s="27" t="n"/>
      <c r="N2814" s="27" t="n"/>
      <c r="O2814" s="27" t="n"/>
      <c r="P2814" s="27" t="n"/>
      <c r="Q2814" s="27" t="n"/>
      <c r="R2814" s="27" t="n"/>
      <c r="S2814" s="27" t="n"/>
      <c r="T2814" s="27" t="n"/>
    </row>
    <row r="2815" ht="13.8" customFormat="1" customHeight="1" s="70">
      <c r="M2815" s="27" t="n"/>
      <c r="N2815" s="27" t="n"/>
      <c r="O2815" s="27" t="n"/>
      <c r="P2815" s="27" t="n"/>
      <c r="Q2815" s="27" t="n"/>
      <c r="R2815" s="27" t="n"/>
      <c r="S2815" s="27" t="n"/>
      <c r="T2815" s="27" t="n"/>
    </row>
    <row r="2816" ht="13.8" customFormat="1" customHeight="1" s="70">
      <c r="M2816" s="27" t="n"/>
      <c r="N2816" s="27" t="n"/>
      <c r="O2816" s="27" t="n"/>
      <c r="P2816" s="27" t="n"/>
      <c r="Q2816" s="27" t="n"/>
      <c r="R2816" s="27" t="n"/>
      <c r="S2816" s="27" t="n"/>
      <c r="T2816" s="27" t="n"/>
    </row>
    <row r="2817" ht="13.8" customFormat="1" customHeight="1" s="70">
      <c r="M2817" s="27" t="n"/>
      <c r="N2817" s="27" t="n"/>
      <c r="O2817" s="27" t="n"/>
      <c r="P2817" s="27" t="n"/>
      <c r="Q2817" s="27" t="n"/>
      <c r="R2817" s="27" t="n"/>
      <c r="S2817" s="27" t="n"/>
      <c r="T2817" s="27" t="n"/>
    </row>
    <row r="2818" ht="13.8" customFormat="1" customHeight="1" s="70">
      <c r="M2818" s="27" t="n"/>
      <c r="N2818" s="27" t="n"/>
      <c r="O2818" s="27" t="n"/>
      <c r="P2818" s="27" t="n"/>
      <c r="Q2818" s="27" t="n"/>
      <c r="R2818" s="27" t="n"/>
      <c r="S2818" s="27" t="n"/>
      <c r="T2818" s="27" t="n"/>
    </row>
    <row r="2819" ht="13.8" customFormat="1" customHeight="1" s="70">
      <c r="M2819" s="27" t="n"/>
      <c r="N2819" s="27" t="n"/>
      <c r="O2819" s="27" t="n"/>
      <c r="P2819" s="27" t="n"/>
      <c r="Q2819" s="27" t="n"/>
      <c r="R2819" s="27" t="n"/>
      <c r="S2819" s="27" t="n"/>
      <c r="T2819" s="27" t="n"/>
    </row>
    <row r="2820" ht="13.8" customFormat="1" customHeight="1" s="70">
      <c r="M2820" s="27" t="n"/>
      <c r="N2820" s="27" t="n"/>
      <c r="O2820" s="27" t="n"/>
      <c r="P2820" s="27" t="n"/>
      <c r="Q2820" s="27" t="n"/>
      <c r="R2820" s="27" t="n"/>
      <c r="S2820" s="27" t="n"/>
      <c r="T2820" s="27" t="n"/>
    </row>
    <row r="2821" ht="13.8" customFormat="1" customHeight="1" s="70">
      <c r="M2821" s="27" t="n"/>
      <c r="N2821" s="27" t="n"/>
      <c r="O2821" s="27" t="n"/>
      <c r="P2821" s="27" t="n"/>
      <c r="Q2821" s="27" t="n"/>
      <c r="R2821" s="27" t="n"/>
      <c r="S2821" s="27" t="n"/>
      <c r="T2821" s="27" t="n"/>
    </row>
    <row r="2822" ht="13.8" customFormat="1" customHeight="1" s="70">
      <c r="M2822" s="27" t="n"/>
      <c r="N2822" s="27" t="n"/>
      <c r="O2822" s="27" t="n"/>
      <c r="P2822" s="27" t="n"/>
      <c r="Q2822" s="27" t="n"/>
      <c r="R2822" s="27" t="n"/>
      <c r="S2822" s="27" t="n"/>
      <c r="T2822" s="27" t="n"/>
    </row>
    <row r="2823" ht="13.8" customFormat="1" customHeight="1" s="70">
      <c r="M2823" s="27" t="n"/>
      <c r="N2823" s="27" t="n"/>
      <c r="O2823" s="27" t="n"/>
      <c r="P2823" s="27" t="n"/>
      <c r="Q2823" s="27" t="n"/>
      <c r="R2823" s="27" t="n"/>
      <c r="S2823" s="27" t="n"/>
      <c r="T2823" s="27" t="n"/>
    </row>
    <row r="2824" ht="13.8" customFormat="1" customHeight="1" s="70">
      <c r="M2824" s="27" t="n"/>
      <c r="N2824" s="27" t="n"/>
      <c r="O2824" s="27" t="n"/>
      <c r="P2824" s="27" t="n"/>
      <c r="Q2824" s="27" t="n"/>
      <c r="R2824" s="27" t="n"/>
      <c r="S2824" s="27" t="n"/>
      <c r="T2824" s="27" t="n"/>
    </row>
    <row r="2825" ht="13.8" customFormat="1" customHeight="1" s="70">
      <c r="M2825" s="27" t="n"/>
      <c r="N2825" s="27" t="n"/>
      <c r="O2825" s="27" t="n"/>
      <c r="P2825" s="27" t="n"/>
      <c r="Q2825" s="27" t="n"/>
      <c r="R2825" s="27" t="n"/>
      <c r="S2825" s="27" t="n"/>
      <c r="T2825" s="27" t="n"/>
    </row>
    <row r="2826" ht="13.8" customFormat="1" customHeight="1" s="70">
      <c r="M2826" s="27" t="n"/>
      <c r="N2826" s="27" t="n"/>
      <c r="O2826" s="27" t="n"/>
      <c r="P2826" s="27" t="n"/>
      <c r="Q2826" s="27" t="n"/>
      <c r="R2826" s="27" t="n"/>
      <c r="S2826" s="27" t="n"/>
      <c r="T2826" s="27" t="n"/>
    </row>
    <row r="2827" ht="13.8" customFormat="1" customHeight="1" s="70">
      <c r="M2827" s="27" t="n"/>
      <c r="N2827" s="27" t="n"/>
      <c r="O2827" s="27" t="n"/>
      <c r="P2827" s="27" t="n"/>
      <c r="Q2827" s="27" t="n"/>
      <c r="R2827" s="27" t="n"/>
      <c r="S2827" s="27" t="n"/>
      <c r="T2827" s="27" t="n"/>
    </row>
    <row r="2828" ht="13.8" customFormat="1" customHeight="1" s="70">
      <c r="M2828" s="27" t="n"/>
      <c r="N2828" s="27" t="n"/>
      <c r="O2828" s="27" t="n"/>
      <c r="P2828" s="27" t="n"/>
      <c r="Q2828" s="27" t="n"/>
      <c r="R2828" s="27" t="n"/>
      <c r="S2828" s="27" t="n"/>
      <c r="T2828" s="27" t="n"/>
    </row>
    <row r="2829" ht="13.8" customFormat="1" customHeight="1" s="70">
      <c r="M2829" s="27" t="n"/>
      <c r="N2829" s="27" t="n"/>
      <c r="O2829" s="27" t="n"/>
      <c r="P2829" s="27" t="n"/>
      <c r="Q2829" s="27" t="n"/>
      <c r="R2829" s="27" t="n"/>
      <c r="S2829" s="27" t="n"/>
      <c r="T2829" s="27" t="n"/>
    </row>
    <row r="2830" ht="13.8" customFormat="1" customHeight="1" s="70">
      <c r="M2830" s="27" t="n"/>
      <c r="N2830" s="27" t="n"/>
      <c r="O2830" s="27" t="n"/>
      <c r="P2830" s="27" t="n"/>
      <c r="Q2830" s="27" t="n"/>
      <c r="R2830" s="27" t="n"/>
      <c r="S2830" s="27" t="n"/>
      <c r="T2830" s="27" t="n"/>
    </row>
    <row r="2831" ht="13.8" customFormat="1" customHeight="1" s="70">
      <c r="M2831" s="27" t="n"/>
      <c r="N2831" s="27" t="n"/>
      <c r="O2831" s="27" t="n"/>
      <c r="P2831" s="27" t="n"/>
      <c r="Q2831" s="27" t="n"/>
      <c r="R2831" s="27" t="n"/>
      <c r="S2831" s="27" t="n"/>
      <c r="T2831" s="27" t="n"/>
    </row>
    <row r="2832" ht="13.8" customFormat="1" customHeight="1" s="70">
      <c r="M2832" s="27" t="n"/>
      <c r="N2832" s="27" t="n"/>
      <c r="O2832" s="27" t="n"/>
      <c r="P2832" s="27" t="n"/>
      <c r="Q2832" s="27" t="n"/>
      <c r="R2832" s="27" t="n"/>
      <c r="S2832" s="27" t="n"/>
      <c r="T2832" s="27" t="n"/>
    </row>
    <row r="2833" ht="13.8" customFormat="1" customHeight="1" s="70">
      <c r="M2833" s="27" t="n"/>
      <c r="N2833" s="27" t="n"/>
      <c r="O2833" s="27" t="n"/>
      <c r="P2833" s="27" t="n"/>
      <c r="Q2833" s="27" t="n"/>
      <c r="R2833" s="27" t="n"/>
      <c r="S2833" s="27" t="n"/>
      <c r="T2833" s="27" t="n"/>
    </row>
    <row r="2834" ht="13.8" customFormat="1" customHeight="1" s="70">
      <c r="M2834" s="27" t="n"/>
      <c r="N2834" s="27" t="n"/>
      <c r="O2834" s="27" t="n"/>
      <c r="P2834" s="27" t="n"/>
      <c r="Q2834" s="27" t="n"/>
      <c r="R2834" s="27" t="n"/>
      <c r="S2834" s="27" t="n"/>
      <c r="T2834" s="27" t="n"/>
    </row>
    <row r="2835" ht="13.8" customFormat="1" customHeight="1" s="70">
      <c r="M2835" s="27" t="n"/>
      <c r="N2835" s="27" t="n"/>
      <c r="O2835" s="27" t="n"/>
      <c r="P2835" s="27" t="n"/>
      <c r="Q2835" s="27" t="n"/>
      <c r="R2835" s="27" t="n"/>
      <c r="S2835" s="27" t="n"/>
      <c r="T2835" s="27" t="n"/>
    </row>
    <row r="2836" ht="13.8" customFormat="1" customHeight="1" s="70">
      <c r="M2836" s="27" t="n"/>
      <c r="N2836" s="27" t="n"/>
      <c r="O2836" s="27" t="n"/>
      <c r="P2836" s="27" t="n"/>
      <c r="Q2836" s="27" t="n"/>
      <c r="R2836" s="27" t="n"/>
      <c r="S2836" s="27" t="n"/>
      <c r="T2836" s="27" t="n"/>
    </row>
    <row r="2837" ht="13.8" customFormat="1" customHeight="1" s="70">
      <c r="M2837" s="27" t="n"/>
      <c r="N2837" s="27" t="n"/>
      <c r="O2837" s="27" t="n"/>
      <c r="P2837" s="27" t="n"/>
      <c r="Q2837" s="27" t="n"/>
      <c r="R2837" s="27" t="n"/>
      <c r="S2837" s="27" t="n"/>
      <c r="T2837" s="27" t="n"/>
    </row>
    <row r="2838" ht="13.8" customFormat="1" customHeight="1" s="70">
      <c r="M2838" s="27" t="n"/>
      <c r="N2838" s="27" t="n"/>
      <c r="O2838" s="27" t="n"/>
      <c r="P2838" s="27" t="n"/>
      <c r="Q2838" s="27" t="n"/>
      <c r="R2838" s="27" t="n"/>
      <c r="S2838" s="27" t="n"/>
      <c r="T2838" s="27" t="n"/>
    </row>
    <row r="2839" ht="13.8" customFormat="1" customHeight="1" s="70">
      <c r="M2839" s="27" t="n"/>
      <c r="N2839" s="27" t="n"/>
      <c r="O2839" s="27" t="n"/>
      <c r="P2839" s="27" t="n"/>
      <c r="Q2839" s="27" t="n"/>
      <c r="R2839" s="27" t="n"/>
      <c r="S2839" s="27" t="n"/>
      <c r="T2839" s="27" t="n"/>
    </row>
    <row r="2840" ht="13.8" customFormat="1" customHeight="1" s="70">
      <c r="M2840" s="27" t="n"/>
      <c r="N2840" s="27" t="n"/>
      <c r="O2840" s="27" t="n"/>
      <c r="P2840" s="27" t="n"/>
      <c r="Q2840" s="27" t="n"/>
      <c r="R2840" s="27" t="n"/>
      <c r="S2840" s="27" t="n"/>
      <c r="T2840" s="27" t="n"/>
    </row>
    <row r="2841" ht="13.8" customFormat="1" customHeight="1" s="70">
      <c r="M2841" s="27" t="n"/>
      <c r="N2841" s="27" t="n"/>
      <c r="O2841" s="27" t="n"/>
      <c r="P2841" s="27" t="n"/>
      <c r="Q2841" s="27" t="n"/>
      <c r="R2841" s="27" t="n"/>
      <c r="S2841" s="27" t="n"/>
      <c r="T2841" s="27" t="n"/>
    </row>
    <row r="2842" ht="13.8" customFormat="1" customHeight="1" s="70">
      <c r="M2842" s="27" t="n"/>
      <c r="N2842" s="27" t="n"/>
      <c r="O2842" s="27" t="n"/>
      <c r="P2842" s="27" t="n"/>
      <c r="Q2842" s="27" t="n"/>
      <c r="R2842" s="27" t="n"/>
      <c r="S2842" s="27" t="n"/>
      <c r="T2842" s="27" t="n"/>
    </row>
    <row r="2843" ht="13.8" customFormat="1" customHeight="1" s="70">
      <c r="M2843" s="27" t="n"/>
      <c r="N2843" s="27" t="n"/>
      <c r="O2843" s="27" t="n"/>
      <c r="P2843" s="27" t="n"/>
      <c r="Q2843" s="27" t="n"/>
      <c r="R2843" s="27" t="n"/>
      <c r="S2843" s="27" t="n"/>
      <c r="T2843" s="27" t="n"/>
    </row>
    <row r="2844" ht="13.8" customFormat="1" customHeight="1" s="70">
      <c r="M2844" s="27" t="n"/>
      <c r="N2844" s="27" t="n"/>
      <c r="O2844" s="27" t="n"/>
      <c r="P2844" s="27" t="n"/>
      <c r="Q2844" s="27" t="n"/>
      <c r="R2844" s="27" t="n"/>
      <c r="S2844" s="27" t="n"/>
      <c r="T2844" s="27" t="n"/>
    </row>
    <row r="2845" ht="13.8" customFormat="1" customHeight="1" s="70">
      <c r="M2845" s="27" t="n"/>
      <c r="N2845" s="27" t="n"/>
      <c r="O2845" s="27" t="n"/>
      <c r="P2845" s="27" t="n"/>
      <c r="Q2845" s="27" t="n"/>
      <c r="R2845" s="27" t="n"/>
      <c r="S2845" s="27" t="n"/>
      <c r="T2845" s="27" t="n"/>
    </row>
    <row r="2846" ht="13.8" customFormat="1" customHeight="1" s="70">
      <c r="M2846" s="27" t="n"/>
      <c r="N2846" s="27" t="n"/>
      <c r="O2846" s="27" t="n"/>
      <c r="P2846" s="27" t="n"/>
      <c r="Q2846" s="27" t="n"/>
      <c r="R2846" s="27" t="n"/>
      <c r="S2846" s="27" t="n"/>
      <c r="T2846" s="27" t="n"/>
    </row>
    <row r="2847" ht="13.8" customFormat="1" customHeight="1" s="70">
      <c r="M2847" s="27" t="n"/>
      <c r="N2847" s="27" t="n"/>
      <c r="O2847" s="27" t="n"/>
      <c r="P2847" s="27" t="n"/>
      <c r="Q2847" s="27" t="n"/>
      <c r="R2847" s="27" t="n"/>
      <c r="S2847" s="27" t="n"/>
      <c r="T2847" s="27" t="n"/>
    </row>
    <row r="2848" ht="13.8" customFormat="1" customHeight="1" s="70">
      <c r="M2848" s="27" t="n"/>
      <c r="N2848" s="27" t="n"/>
      <c r="O2848" s="27" t="n"/>
      <c r="P2848" s="27" t="n"/>
      <c r="Q2848" s="27" t="n"/>
      <c r="R2848" s="27" t="n"/>
      <c r="S2848" s="27" t="n"/>
      <c r="T2848" s="27" t="n"/>
    </row>
    <row r="2849" ht="13.8" customFormat="1" customHeight="1" s="70">
      <c r="M2849" s="27" t="n"/>
      <c r="N2849" s="27" t="n"/>
      <c r="O2849" s="27" t="n"/>
      <c r="P2849" s="27" t="n"/>
      <c r="Q2849" s="27" t="n"/>
      <c r="R2849" s="27" t="n"/>
      <c r="S2849" s="27" t="n"/>
      <c r="T2849" s="27" t="n"/>
    </row>
    <row r="2850" ht="13.8" customFormat="1" customHeight="1" s="70">
      <c r="M2850" s="27" t="n"/>
      <c r="N2850" s="27" t="n"/>
      <c r="O2850" s="27" t="n"/>
      <c r="P2850" s="27" t="n"/>
      <c r="Q2850" s="27" t="n"/>
      <c r="R2850" s="27" t="n"/>
      <c r="S2850" s="27" t="n"/>
      <c r="T2850" s="27" t="n"/>
    </row>
    <row r="2851" ht="13.8" customFormat="1" customHeight="1" s="70">
      <c r="M2851" s="27" t="n"/>
      <c r="N2851" s="27" t="n"/>
      <c r="O2851" s="27" t="n"/>
      <c r="P2851" s="27" t="n"/>
      <c r="Q2851" s="27" t="n"/>
      <c r="R2851" s="27" t="n"/>
      <c r="S2851" s="27" t="n"/>
      <c r="T2851" s="27" t="n"/>
    </row>
    <row r="2852" ht="13.8" customFormat="1" customHeight="1" s="70">
      <c r="M2852" s="27" t="n"/>
      <c r="N2852" s="27" t="n"/>
      <c r="O2852" s="27" t="n"/>
      <c r="P2852" s="27" t="n"/>
      <c r="Q2852" s="27" t="n"/>
      <c r="R2852" s="27" t="n"/>
      <c r="S2852" s="27" t="n"/>
      <c r="T2852" s="27" t="n"/>
    </row>
    <row r="2853" ht="13.8" customFormat="1" customHeight="1" s="70">
      <c r="M2853" s="27" t="n"/>
      <c r="N2853" s="27" t="n"/>
      <c r="O2853" s="27" t="n"/>
      <c r="P2853" s="27" t="n"/>
      <c r="Q2853" s="27" t="n"/>
      <c r="R2853" s="27" t="n"/>
      <c r="S2853" s="27" t="n"/>
      <c r="T2853" s="27" t="n"/>
    </row>
    <row r="2854" ht="13.8" customFormat="1" customHeight="1" s="70">
      <c r="M2854" s="27" t="n"/>
      <c r="N2854" s="27" t="n"/>
      <c r="O2854" s="27" t="n"/>
      <c r="P2854" s="27" t="n"/>
      <c r="Q2854" s="27" t="n"/>
      <c r="R2854" s="27" t="n"/>
      <c r="S2854" s="27" t="n"/>
      <c r="T2854" s="27" t="n"/>
    </row>
    <row r="2855" ht="13.8" customFormat="1" customHeight="1" s="70">
      <c r="M2855" s="27" t="n"/>
      <c r="N2855" s="27" t="n"/>
      <c r="O2855" s="27" t="n"/>
      <c r="P2855" s="27" t="n"/>
      <c r="Q2855" s="27" t="n"/>
      <c r="R2855" s="27" t="n"/>
      <c r="S2855" s="27" t="n"/>
      <c r="T2855" s="27" t="n"/>
    </row>
    <row r="2856" ht="13.8" customFormat="1" customHeight="1" s="70">
      <c r="M2856" s="27" t="n"/>
      <c r="N2856" s="27" t="n"/>
      <c r="O2856" s="27" t="n"/>
      <c r="P2856" s="27" t="n"/>
      <c r="Q2856" s="27" t="n"/>
      <c r="R2856" s="27" t="n"/>
      <c r="S2856" s="27" t="n"/>
      <c r="T2856" s="27" t="n"/>
    </row>
    <row r="2857" ht="13.8" customFormat="1" customHeight="1" s="70">
      <c r="M2857" s="27" t="n"/>
      <c r="N2857" s="27" t="n"/>
      <c r="O2857" s="27" t="n"/>
      <c r="P2857" s="27" t="n"/>
      <c r="Q2857" s="27" t="n"/>
      <c r="R2857" s="27" t="n"/>
      <c r="S2857" s="27" t="n"/>
      <c r="T2857" s="27" t="n"/>
    </row>
    <row r="2858" ht="13.8" customFormat="1" customHeight="1" s="70">
      <c r="M2858" s="27" t="n"/>
      <c r="N2858" s="27" t="n"/>
      <c r="O2858" s="27" t="n"/>
      <c r="P2858" s="27" t="n"/>
      <c r="Q2858" s="27" t="n"/>
      <c r="R2858" s="27" t="n"/>
      <c r="S2858" s="27" t="n"/>
      <c r="T2858" s="27" t="n"/>
    </row>
    <row r="2859" ht="13.8" customFormat="1" customHeight="1" s="70">
      <c r="M2859" s="27" t="n"/>
      <c r="N2859" s="27" t="n"/>
      <c r="O2859" s="27" t="n"/>
      <c r="P2859" s="27" t="n"/>
      <c r="Q2859" s="27" t="n"/>
      <c r="R2859" s="27" t="n"/>
      <c r="S2859" s="27" t="n"/>
      <c r="T2859" s="27" t="n"/>
    </row>
    <row r="2860" ht="13.8" customFormat="1" customHeight="1" s="70">
      <c r="M2860" s="27" t="n"/>
      <c r="N2860" s="27" t="n"/>
      <c r="O2860" s="27" t="n"/>
      <c r="P2860" s="27" t="n"/>
      <c r="Q2860" s="27" t="n"/>
      <c r="R2860" s="27" t="n"/>
      <c r="S2860" s="27" t="n"/>
      <c r="T2860" s="27" t="n"/>
    </row>
    <row r="2861" ht="13.8" customFormat="1" customHeight="1" s="70">
      <c r="M2861" s="27" t="n"/>
      <c r="N2861" s="27" t="n"/>
      <c r="O2861" s="27" t="n"/>
      <c r="P2861" s="27" t="n"/>
      <c r="Q2861" s="27" t="n"/>
      <c r="R2861" s="27" t="n"/>
      <c r="S2861" s="27" t="n"/>
      <c r="T2861" s="27" t="n"/>
    </row>
    <row r="2862" ht="13.8" customFormat="1" customHeight="1" s="70">
      <c r="M2862" s="27" t="n"/>
      <c r="N2862" s="27" t="n"/>
      <c r="O2862" s="27" t="n"/>
      <c r="P2862" s="27" t="n"/>
      <c r="Q2862" s="27" t="n"/>
      <c r="R2862" s="27" t="n"/>
      <c r="S2862" s="27" t="n"/>
      <c r="T2862" s="27" t="n"/>
    </row>
    <row r="2863" ht="13.8" customFormat="1" customHeight="1" s="70">
      <c r="M2863" s="27" t="n"/>
      <c r="N2863" s="27" t="n"/>
      <c r="O2863" s="27" t="n"/>
      <c r="P2863" s="27" t="n"/>
      <c r="Q2863" s="27" t="n"/>
      <c r="R2863" s="27" t="n"/>
      <c r="S2863" s="27" t="n"/>
      <c r="T2863" s="27" t="n"/>
    </row>
    <row r="2864" ht="13.8" customFormat="1" customHeight="1" s="70">
      <c r="M2864" s="27" t="n"/>
      <c r="N2864" s="27" t="n"/>
      <c r="O2864" s="27" t="n"/>
      <c r="P2864" s="27" t="n"/>
      <c r="Q2864" s="27" t="n"/>
      <c r="R2864" s="27" t="n"/>
      <c r="S2864" s="27" t="n"/>
      <c r="T2864" s="27" t="n"/>
    </row>
    <row r="2865" ht="13.8" customFormat="1" customHeight="1" s="70">
      <c r="M2865" s="27" t="n"/>
      <c r="N2865" s="27" t="n"/>
      <c r="O2865" s="27" t="n"/>
      <c r="P2865" s="27" t="n"/>
      <c r="Q2865" s="27" t="n"/>
      <c r="R2865" s="27" t="n"/>
      <c r="S2865" s="27" t="n"/>
      <c r="T2865" s="27" t="n"/>
    </row>
    <row r="2866" ht="13.8" customFormat="1" customHeight="1" s="70">
      <c r="M2866" s="27" t="n"/>
      <c r="N2866" s="27" t="n"/>
      <c r="O2866" s="27" t="n"/>
      <c r="P2866" s="27" t="n"/>
      <c r="Q2866" s="27" t="n"/>
      <c r="R2866" s="27" t="n"/>
      <c r="S2866" s="27" t="n"/>
      <c r="T2866" s="27" t="n"/>
    </row>
    <row r="2867" ht="13.8" customFormat="1" customHeight="1" s="70">
      <c r="M2867" s="27" t="n"/>
      <c r="N2867" s="27" t="n"/>
      <c r="O2867" s="27" t="n"/>
      <c r="P2867" s="27" t="n"/>
      <c r="Q2867" s="27" t="n"/>
      <c r="R2867" s="27" t="n"/>
      <c r="S2867" s="27" t="n"/>
      <c r="T2867" s="27" t="n"/>
    </row>
    <row r="2868" ht="13.8" customFormat="1" customHeight="1" s="70">
      <c r="M2868" s="27" t="n"/>
      <c r="N2868" s="27" t="n"/>
      <c r="O2868" s="27" t="n"/>
      <c r="P2868" s="27" t="n"/>
      <c r="Q2868" s="27" t="n"/>
      <c r="R2868" s="27" t="n"/>
      <c r="S2868" s="27" t="n"/>
      <c r="T2868" s="27" t="n"/>
    </row>
    <row r="2869" ht="13.8" customFormat="1" customHeight="1" s="70">
      <c r="M2869" s="27" t="n"/>
      <c r="N2869" s="27" t="n"/>
      <c r="O2869" s="27" t="n"/>
      <c r="P2869" s="27" t="n"/>
      <c r="Q2869" s="27" t="n"/>
      <c r="R2869" s="27" t="n"/>
      <c r="S2869" s="27" t="n"/>
      <c r="T2869" s="27" t="n"/>
    </row>
    <row r="2870" ht="13.8" customFormat="1" customHeight="1" s="70">
      <c r="M2870" s="27" t="n"/>
      <c r="N2870" s="27" t="n"/>
      <c r="O2870" s="27" t="n"/>
      <c r="P2870" s="27" t="n"/>
      <c r="Q2870" s="27" t="n"/>
      <c r="R2870" s="27" t="n"/>
      <c r="S2870" s="27" t="n"/>
      <c r="T2870" s="27" t="n"/>
    </row>
    <row r="2871" ht="13.8" customFormat="1" customHeight="1" s="70">
      <c r="M2871" s="27" t="n"/>
      <c r="N2871" s="27" t="n"/>
      <c r="O2871" s="27" t="n"/>
      <c r="P2871" s="27" t="n"/>
      <c r="Q2871" s="27" t="n"/>
      <c r="R2871" s="27" t="n"/>
      <c r="S2871" s="27" t="n"/>
      <c r="T2871" s="27" t="n"/>
    </row>
    <row r="2872" ht="13.8" customFormat="1" customHeight="1" s="70">
      <c r="M2872" s="27" t="n"/>
      <c r="N2872" s="27" t="n"/>
      <c r="O2872" s="27" t="n"/>
      <c r="P2872" s="27" t="n"/>
      <c r="Q2872" s="27" t="n"/>
      <c r="R2872" s="27" t="n"/>
      <c r="S2872" s="27" t="n"/>
      <c r="T2872" s="27" t="n"/>
    </row>
    <row r="2873" ht="13.8" customFormat="1" customHeight="1" s="70">
      <c r="M2873" s="27" t="n"/>
      <c r="N2873" s="27" t="n"/>
      <c r="O2873" s="27" t="n"/>
      <c r="P2873" s="27" t="n"/>
      <c r="Q2873" s="27" t="n"/>
      <c r="R2873" s="27" t="n"/>
      <c r="S2873" s="27" t="n"/>
      <c r="T2873" s="27" t="n"/>
    </row>
    <row r="2874" ht="13.8" customFormat="1" customHeight="1" s="70">
      <c r="M2874" s="27" t="n"/>
      <c r="N2874" s="27" t="n"/>
      <c r="O2874" s="27" t="n"/>
      <c r="P2874" s="27" t="n"/>
      <c r="Q2874" s="27" t="n"/>
      <c r="R2874" s="27" t="n"/>
      <c r="S2874" s="27" t="n"/>
      <c r="T2874" s="27" t="n"/>
    </row>
    <row r="2875" ht="13.8" customFormat="1" customHeight="1" s="70">
      <c r="M2875" s="27" t="n"/>
      <c r="N2875" s="27" t="n"/>
      <c r="O2875" s="27" t="n"/>
      <c r="P2875" s="27" t="n"/>
      <c r="Q2875" s="27" t="n"/>
      <c r="R2875" s="27" t="n"/>
      <c r="S2875" s="27" t="n"/>
      <c r="T2875" s="27" t="n"/>
    </row>
    <row r="2876" ht="13.8" customFormat="1" customHeight="1" s="70">
      <c r="M2876" s="27" t="n"/>
      <c r="N2876" s="27" t="n"/>
      <c r="O2876" s="27" t="n"/>
      <c r="P2876" s="27" t="n"/>
      <c r="Q2876" s="27" t="n"/>
      <c r="R2876" s="27" t="n"/>
      <c r="S2876" s="27" t="n"/>
      <c r="T2876" s="27" t="n"/>
    </row>
    <row r="2877" ht="13.8" customFormat="1" customHeight="1" s="70">
      <c r="M2877" s="27" t="n"/>
      <c r="N2877" s="27" t="n"/>
      <c r="O2877" s="27" t="n"/>
      <c r="P2877" s="27" t="n"/>
      <c r="Q2877" s="27" t="n"/>
      <c r="R2877" s="27" t="n"/>
      <c r="S2877" s="27" t="n"/>
      <c r="T2877" s="27" t="n"/>
    </row>
    <row r="2878" ht="13.8" customFormat="1" customHeight="1" s="70">
      <c r="M2878" s="27" t="n"/>
      <c r="N2878" s="27" t="n"/>
      <c r="O2878" s="27" t="n"/>
      <c r="P2878" s="27" t="n"/>
      <c r="Q2878" s="27" t="n"/>
      <c r="R2878" s="27" t="n"/>
      <c r="S2878" s="27" t="n"/>
      <c r="T2878" s="27" t="n"/>
    </row>
    <row r="2879" ht="13.8" customFormat="1" customHeight="1" s="70">
      <c r="M2879" s="27" t="n"/>
      <c r="N2879" s="27" t="n"/>
      <c r="O2879" s="27" t="n"/>
      <c r="P2879" s="27" t="n"/>
      <c r="Q2879" s="27" t="n"/>
      <c r="R2879" s="27" t="n"/>
      <c r="S2879" s="27" t="n"/>
      <c r="T2879" s="27" t="n"/>
    </row>
    <row r="2880" ht="13.8" customFormat="1" customHeight="1" s="70">
      <c r="M2880" s="27" t="n"/>
      <c r="N2880" s="27" t="n"/>
      <c r="O2880" s="27" t="n"/>
      <c r="P2880" s="27" t="n"/>
      <c r="Q2880" s="27" t="n"/>
      <c r="R2880" s="27" t="n"/>
      <c r="S2880" s="27" t="n"/>
      <c r="T2880" s="27" t="n"/>
    </row>
    <row r="2881" ht="13.8" customFormat="1" customHeight="1" s="70">
      <c r="M2881" s="27" t="n"/>
      <c r="N2881" s="27" t="n"/>
      <c r="O2881" s="27" t="n"/>
      <c r="P2881" s="27" t="n"/>
      <c r="Q2881" s="27" t="n"/>
      <c r="R2881" s="27" t="n"/>
      <c r="S2881" s="27" t="n"/>
      <c r="T2881" s="27" t="n"/>
    </row>
    <row r="2882" ht="13.8" customFormat="1" customHeight="1" s="70">
      <c r="M2882" s="27" t="n"/>
      <c r="N2882" s="27" t="n"/>
      <c r="O2882" s="27" t="n"/>
      <c r="P2882" s="27" t="n"/>
      <c r="Q2882" s="27" t="n"/>
      <c r="R2882" s="27" t="n"/>
      <c r="S2882" s="27" t="n"/>
      <c r="T2882" s="27" t="n"/>
    </row>
    <row r="2883" ht="13.8" customFormat="1" customHeight="1" s="70">
      <c r="M2883" s="27" t="n"/>
      <c r="N2883" s="27" t="n"/>
      <c r="O2883" s="27" t="n"/>
      <c r="P2883" s="27" t="n"/>
      <c r="Q2883" s="27" t="n"/>
      <c r="R2883" s="27" t="n"/>
      <c r="S2883" s="27" t="n"/>
      <c r="T2883" s="27" t="n"/>
    </row>
    <row r="2884" ht="13.8" customFormat="1" customHeight="1" s="70">
      <c r="M2884" s="27" t="n"/>
      <c r="N2884" s="27" t="n"/>
      <c r="O2884" s="27" t="n"/>
      <c r="P2884" s="27" t="n"/>
      <c r="Q2884" s="27" t="n"/>
      <c r="R2884" s="27" t="n"/>
      <c r="S2884" s="27" t="n"/>
      <c r="T2884" s="27" t="n"/>
    </row>
    <row r="2885" ht="13.8" customFormat="1" customHeight="1" s="70">
      <c r="M2885" s="27" t="n"/>
      <c r="N2885" s="27" t="n"/>
      <c r="O2885" s="27" t="n"/>
      <c r="P2885" s="27" t="n"/>
      <c r="Q2885" s="27" t="n"/>
      <c r="R2885" s="27" t="n"/>
      <c r="S2885" s="27" t="n"/>
      <c r="T2885" s="27" t="n"/>
    </row>
    <row r="2886" ht="13.8" customFormat="1" customHeight="1" s="70">
      <c r="M2886" s="27" t="n"/>
      <c r="N2886" s="27" t="n"/>
      <c r="O2886" s="27" t="n"/>
      <c r="P2886" s="27" t="n"/>
      <c r="Q2886" s="27" t="n"/>
      <c r="R2886" s="27" t="n"/>
      <c r="S2886" s="27" t="n"/>
      <c r="T2886" s="27" t="n"/>
    </row>
    <row r="2887" ht="13.8" customFormat="1" customHeight="1" s="70">
      <c r="M2887" s="27" t="n"/>
      <c r="N2887" s="27" t="n"/>
      <c r="O2887" s="27" t="n"/>
      <c r="P2887" s="27" t="n"/>
      <c r="Q2887" s="27" t="n"/>
      <c r="R2887" s="27" t="n"/>
      <c r="S2887" s="27" t="n"/>
      <c r="T2887" s="27" t="n"/>
    </row>
    <row r="2888" ht="13.8" customFormat="1" customHeight="1" s="70">
      <c r="M2888" s="27" t="n"/>
      <c r="N2888" s="27" t="n"/>
      <c r="O2888" s="27" t="n"/>
      <c r="P2888" s="27" t="n"/>
      <c r="Q2888" s="27" t="n"/>
      <c r="R2888" s="27" t="n"/>
      <c r="S2888" s="27" t="n"/>
      <c r="T2888" s="27" t="n"/>
    </row>
    <row r="2889" ht="13.8" customFormat="1" customHeight="1" s="70">
      <c r="M2889" s="27" t="n"/>
      <c r="N2889" s="27" t="n"/>
      <c r="O2889" s="27" t="n"/>
      <c r="P2889" s="27" t="n"/>
      <c r="Q2889" s="27" t="n"/>
      <c r="R2889" s="27" t="n"/>
      <c r="S2889" s="27" t="n"/>
      <c r="T2889" s="27" t="n"/>
    </row>
    <row r="2890" ht="13.8" customFormat="1" customHeight="1" s="70">
      <c r="M2890" s="27" t="n"/>
      <c r="N2890" s="27" t="n"/>
      <c r="O2890" s="27" t="n"/>
      <c r="P2890" s="27" t="n"/>
      <c r="Q2890" s="27" t="n"/>
      <c r="R2890" s="27" t="n"/>
      <c r="S2890" s="27" t="n"/>
      <c r="T2890" s="27" t="n"/>
    </row>
    <row r="2891" ht="13.8" customFormat="1" customHeight="1" s="70">
      <c r="M2891" s="27" t="n"/>
      <c r="N2891" s="27" t="n"/>
      <c r="O2891" s="27" t="n"/>
      <c r="P2891" s="27" t="n"/>
      <c r="Q2891" s="27" t="n"/>
      <c r="R2891" s="27" t="n"/>
      <c r="S2891" s="27" t="n"/>
      <c r="T2891" s="27" t="n"/>
    </row>
    <row r="2892" ht="13.8" customFormat="1" customHeight="1" s="70">
      <c r="M2892" s="27" t="n"/>
      <c r="N2892" s="27" t="n"/>
      <c r="O2892" s="27" t="n"/>
      <c r="P2892" s="27" t="n"/>
      <c r="Q2892" s="27" t="n"/>
      <c r="R2892" s="27" t="n"/>
      <c r="S2892" s="27" t="n"/>
      <c r="T2892" s="27" t="n"/>
    </row>
    <row r="2893" ht="13.8" customFormat="1" customHeight="1" s="70">
      <c r="M2893" s="27" t="n"/>
      <c r="N2893" s="27" t="n"/>
      <c r="O2893" s="27" t="n"/>
      <c r="P2893" s="27" t="n"/>
      <c r="Q2893" s="27" t="n"/>
      <c r="R2893" s="27" t="n"/>
      <c r="S2893" s="27" t="n"/>
      <c r="T2893" s="27" t="n"/>
    </row>
    <row r="2894" ht="13.8" customFormat="1" customHeight="1" s="70">
      <c r="M2894" s="27" t="n"/>
      <c r="N2894" s="27" t="n"/>
      <c r="O2894" s="27" t="n"/>
      <c r="P2894" s="27" t="n"/>
      <c r="Q2894" s="27" t="n"/>
      <c r="R2894" s="27" t="n"/>
      <c r="S2894" s="27" t="n"/>
      <c r="T2894" s="27" t="n"/>
    </row>
    <row r="2895" ht="13.8" customFormat="1" customHeight="1" s="70">
      <c r="M2895" s="27" t="n"/>
      <c r="N2895" s="27" t="n"/>
      <c r="O2895" s="27" t="n"/>
      <c r="P2895" s="27" t="n"/>
      <c r="Q2895" s="27" t="n"/>
      <c r="R2895" s="27" t="n"/>
      <c r="S2895" s="27" t="n"/>
      <c r="T2895" s="27" t="n"/>
    </row>
    <row r="2896" ht="13.8" customFormat="1" customHeight="1" s="70">
      <c r="M2896" s="27" t="n"/>
      <c r="N2896" s="27" t="n"/>
      <c r="O2896" s="27" t="n"/>
      <c r="P2896" s="27" t="n"/>
      <c r="Q2896" s="27" t="n"/>
      <c r="R2896" s="27" t="n"/>
      <c r="S2896" s="27" t="n"/>
      <c r="T2896" s="27" t="n"/>
    </row>
    <row r="2897" ht="13.8" customFormat="1" customHeight="1" s="70">
      <c r="M2897" s="27" t="n"/>
      <c r="N2897" s="27" t="n"/>
      <c r="O2897" s="27" t="n"/>
      <c r="P2897" s="27" t="n"/>
      <c r="Q2897" s="27" t="n"/>
      <c r="R2897" s="27" t="n"/>
      <c r="S2897" s="27" t="n"/>
      <c r="T2897" s="27" t="n"/>
    </row>
    <row r="2898" ht="13.8" customFormat="1" customHeight="1" s="70">
      <c r="M2898" s="27" t="n"/>
      <c r="N2898" s="27" t="n"/>
      <c r="O2898" s="27" t="n"/>
      <c r="P2898" s="27" t="n"/>
      <c r="Q2898" s="27" t="n"/>
      <c r="R2898" s="27" t="n"/>
      <c r="S2898" s="27" t="n"/>
      <c r="T2898" s="27" t="n"/>
    </row>
    <row r="2899" ht="13.8" customFormat="1" customHeight="1" s="70">
      <c r="M2899" s="27" t="n"/>
      <c r="N2899" s="27" t="n"/>
      <c r="O2899" s="27" t="n"/>
      <c r="P2899" s="27" t="n"/>
      <c r="Q2899" s="27" t="n"/>
      <c r="R2899" s="27" t="n"/>
      <c r="S2899" s="27" t="n"/>
      <c r="T2899" s="27" t="n"/>
    </row>
    <row r="2900" ht="13.8" customFormat="1" customHeight="1" s="70">
      <c r="M2900" s="27" t="n"/>
      <c r="N2900" s="27" t="n"/>
      <c r="O2900" s="27" t="n"/>
      <c r="P2900" s="27" t="n"/>
      <c r="Q2900" s="27" t="n"/>
      <c r="R2900" s="27" t="n"/>
      <c r="S2900" s="27" t="n"/>
      <c r="T2900" s="27" t="n"/>
    </row>
    <row r="2901" ht="13.8" customFormat="1" customHeight="1" s="70">
      <c r="M2901" s="27" t="n"/>
      <c r="N2901" s="27" t="n"/>
      <c r="O2901" s="27" t="n"/>
      <c r="P2901" s="27" t="n"/>
      <c r="Q2901" s="27" t="n"/>
      <c r="R2901" s="27" t="n"/>
      <c r="S2901" s="27" t="n"/>
      <c r="T2901" s="27" t="n"/>
    </row>
    <row r="2902" ht="13.8" customFormat="1" customHeight="1" s="70">
      <c r="M2902" s="27" t="n"/>
      <c r="N2902" s="27" t="n"/>
      <c r="O2902" s="27" t="n"/>
      <c r="P2902" s="27" t="n"/>
      <c r="Q2902" s="27" t="n"/>
      <c r="R2902" s="27" t="n"/>
      <c r="S2902" s="27" t="n"/>
      <c r="T2902" s="27" t="n"/>
    </row>
    <row r="2903" ht="13.8" customFormat="1" customHeight="1" s="70">
      <c r="M2903" s="27" t="n"/>
      <c r="N2903" s="27" t="n"/>
      <c r="O2903" s="27" t="n"/>
      <c r="P2903" s="27" t="n"/>
      <c r="Q2903" s="27" t="n"/>
      <c r="R2903" s="27" t="n"/>
      <c r="S2903" s="27" t="n"/>
      <c r="T2903" s="27" t="n"/>
    </row>
    <row r="2904" ht="13.8" customFormat="1" customHeight="1" s="70">
      <c r="M2904" s="27" t="n"/>
      <c r="N2904" s="27" t="n"/>
      <c r="O2904" s="27" t="n"/>
      <c r="P2904" s="27" t="n"/>
      <c r="Q2904" s="27" t="n"/>
      <c r="R2904" s="27" t="n"/>
      <c r="S2904" s="27" t="n"/>
      <c r="T2904" s="27" t="n"/>
    </row>
    <row r="2905" ht="13.8" customFormat="1" customHeight="1" s="70">
      <c r="M2905" s="27" t="n"/>
      <c r="N2905" s="27" t="n"/>
      <c r="O2905" s="27" t="n"/>
      <c r="P2905" s="27" t="n"/>
      <c r="Q2905" s="27" t="n"/>
      <c r="R2905" s="27" t="n"/>
      <c r="S2905" s="27" t="n"/>
      <c r="T2905" s="27" t="n"/>
    </row>
    <row r="2906" ht="13.8" customFormat="1" customHeight="1" s="70">
      <c r="M2906" s="27" t="n"/>
      <c r="N2906" s="27" t="n"/>
      <c r="O2906" s="27" t="n"/>
      <c r="P2906" s="27" t="n"/>
      <c r="Q2906" s="27" t="n"/>
      <c r="R2906" s="27" t="n"/>
      <c r="S2906" s="27" t="n"/>
      <c r="T2906" s="27" t="n"/>
    </row>
    <row r="2907" ht="13.8" customFormat="1" customHeight="1" s="70">
      <c r="M2907" s="27" t="n"/>
      <c r="N2907" s="27" t="n"/>
      <c r="O2907" s="27" t="n"/>
      <c r="P2907" s="27" t="n"/>
      <c r="Q2907" s="27" t="n"/>
      <c r="R2907" s="27" t="n"/>
      <c r="S2907" s="27" t="n"/>
      <c r="T2907" s="27" t="n"/>
    </row>
    <row r="2908" ht="13.8" customFormat="1" customHeight="1" s="70">
      <c r="M2908" s="27" t="n"/>
      <c r="N2908" s="27" t="n"/>
      <c r="O2908" s="27" t="n"/>
      <c r="P2908" s="27" t="n"/>
      <c r="Q2908" s="27" t="n"/>
      <c r="R2908" s="27" t="n"/>
      <c r="S2908" s="27" t="n"/>
      <c r="T2908" s="27" t="n"/>
    </row>
    <row r="2909" ht="13.8" customFormat="1" customHeight="1" s="70">
      <c r="M2909" s="27" t="n"/>
      <c r="N2909" s="27" t="n"/>
      <c r="O2909" s="27" t="n"/>
      <c r="P2909" s="27" t="n"/>
      <c r="Q2909" s="27" t="n"/>
      <c r="R2909" s="27" t="n"/>
      <c r="S2909" s="27" t="n"/>
      <c r="T2909" s="27" t="n"/>
    </row>
    <row r="2910" ht="13.8" customFormat="1" customHeight="1" s="70">
      <c r="M2910" s="27" t="n"/>
      <c r="N2910" s="27" t="n"/>
      <c r="O2910" s="27" t="n"/>
      <c r="P2910" s="27" t="n"/>
      <c r="Q2910" s="27" t="n"/>
      <c r="R2910" s="27" t="n"/>
      <c r="S2910" s="27" t="n"/>
      <c r="T2910" s="27" t="n"/>
    </row>
    <row r="2911" ht="13.8" customFormat="1" customHeight="1" s="70">
      <c r="M2911" s="27" t="n"/>
      <c r="N2911" s="27" t="n"/>
      <c r="O2911" s="27" t="n"/>
      <c r="P2911" s="27" t="n"/>
      <c r="Q2911" s="27" t="n"/>
      <c r="R2911" s="27" t="n"/>
      <c r="S2911" s="27" t="n"/>
      <c r="T2911" s="27" t="n"/>
    </row>
    <row r="2912" ht="13.8" customFormat="1" customHeight="1" s="70">
      <c r="M2912" s="27" t="n"/>
      <c r="N2912" s="27" t="n"/>
      <c r="O2912" s="27" t="n"/>
      <c r="P2912" s="27" t="n"/>
      <c r="Q2912" s="27" t="n"/>
      <c r="R2912" s="27" t="n"/>
      <c r="S2912" s="27" t="n"/>
      <c r="T2912" s="27" t="n"/>
    </row>
    <row r="2913" ht="13.8" customFormat="1" customHeight="1" s="70">
      <c r="M2913" s="27" t="n"/>
      <c r="N2913" s="27" t="n"/>
      <c r="O2913" s="27" t="n"/>
      <c r="P2913" s="27" t="n"/>
      <c r="Q2913" s="27" t="n"/>
      <c r="R2913" s="27" t="n"/>
      <c r="S2913" s="27" t="n"/>
      <c r="T2913" s="27" t="n"/>
    </row>
    <row r="2914" ht="13.8" customFormat="1" customHeight="1" s="70">
      <c r="M2914" s="27" t="n"/>
      <c r="N2914" s="27" t="n"/>
      <c r="O2914" s="27" t="n"/>
      <c r="P2914" s="27" t="n"/>
      <c r="Q2914" s="27" t="n"/>
      <c r="R2914" s="27" t="n"/>
      <c r="S2914" s="27" t="n"/>
      <c r="T2914" s="27" t="n"/>
    </row>
    <row r="2915" ht="13.8" customFormat="1" customHeight="1" s="70">
      <c r="M2915" s="27" t="n"/>
      <c r="N2915" s="27" t="n"/>
      <c r="O2915" s="27" t="n"/>
      <c r="P2915" s="27" t="n"/>
      <c r="Q2915" s="27" t="n"/>
      <c r="R2915" s="27" t="n"/>
      <c r="S2915" s="27" t="n"/>
      <c r="T2915" s="27" t="n"/>
    </row>
    <row r="2916" ht="13.8" customFormat="1" customHeight="1" s="70">
      <c r="M2916" s="27" t="n"/>
      <c r="N2916" s="27" t="n"/>
      <c r="O2916" s="27" t="n"/>
      <c r="P2916" s="27" t="n"/>
      <c r="Q2916" s="27" t="n"/>
      <c r="R2916" s="27" t="n"/>
      <c r="S2916" s="27" t="n"/>
      <c r="T2916" s="27" t="n"/>
    </row>
    <row r="2917" ht="13.8" customFormat="1" customHeight="1" s="70">
      <c r="M2917" s="27" t="n"/>
      <c r="N2917" s="27" t="n"/>
      <c r="O2917" s="27" t="n"/>
      <c r="P2917" s="27" t="n"/>
      <c r="Q2917" s="27" t="n"/>
      <c r="R2917" s="27" t="n"/>
      <c r="S2917" s="27" t="n"/>
      <c r="T2917" s="27" t="n"/>
    </row>
    <row r="2918" ht="13.8" customFormat="1" customHeight="1" s="70">
      <c r="M2918" s="27" t="n"/>
      <c r="N2918" s="27" t="n"/>
      <c r="O2918" s="27" t="n"/>
      <c r="P2918" s="27" t="n"/>
      <c r="Q2918" s="27" t="n"/>
      <c r="R2918" s="27" t="n"/>
      <c r="S2918" s="27" t="n"/>
      <c r="T2918" s="27" t="n"/>
    </row>
    <row r="2919" ht="13.8" customFormat="1" customHeight="1" s="70">
      <c r="M2919" s="27" t="n"/>
      <c r="N2919" s="27" t="n"/>
      <c r="O2919" s="27" t="n"/>
      <c r="P2919" s="27" t="n"/>
      <c r="Q2919" s="27" t="n"/>
      <c r="R2919" s="27" t="n"/>
      <c r="S2919" s="27" t="n"/>
      <c r="T2919" s="27" t="n"/>
    </row>
    <row r="2920" ht="13.8" customFormat="1" customHeight="1" s="70">
      <c r="M2920" s="27" t="n"/>
      <c r="N2920" s="27" t="n"/>
      <c r="O2920" s="27" t="n"/>
      <c r="P2920" s="27" t="n"/>
      <c r="Q2920" s="27" t="n"/>
      <c r="R2920" s="27" t="n"/>
      <c r="S2920" s="27" t="n"/>
      <c r="T2920" s="27" t="n"/>
    </row>
    <row r="2921" ht="13.8" customFormat="1" customHeight="1" s="70">
      <c r="M2921" s="27" t="n"/>
      <c r="N2921" s="27" t="n"/>
      <c r="O2921" s="27" t="n"/>
      <c r="P2921" s="27" t="n"/>
      <c r="Q2921" s="27" t="n"/>
      <c r="R2921" s="27" t="n"/>
      <c r="S2921" s="27" t="n"/>
      <c r="T2921" s="27" t="n"/>
    </row>
    <row r="2922" ht="13.8" customFormat="1" customHeight="1" s="70">
      <c r="M2922" s="27" t="n"/>
      <c r="N2922" s="27" t="n"/>
      <c r="O2922" s="27" t="n"/>
      <c r="P2922" s="27" t="n"/>
      <c r="Q2922" s="27" t="n"/>
      <c r="R2922" s="27" t="n"/>
      <c r="S2922" s="27" t="n"/>
      <c r="T2922" s="27" t="n"/>
    </row>
    <row r="2923" ht="13.8" customFormat="1" customHeight="1" s="70">
      <c r="M2923" s="27" t="n"/>
      <c r="N2923" s="27" t="n"/>
      <c r="O2923" s="27" t="n"/>
      <c r="P2923" s="27" t="n"/>
      <c r="Q2923" s="27" t="n"/>
      <c r="R2923" s="27" t="n"/>
      <c r="S2923" s="27" t="n"/>
      <c r="T2923" s="27" t="n"/>
    </row>
    <row r="2924" ht="13.8" customFormat="1" customHeight="1" s="70">
      <c r="M2924" s="27" t="n"/>
      <c r="N2924" s="27" t="n"/>
      <c r="O2924" s="27" t="n"/>
      <c r="P2924" s="27" t="n"/>
      <c r="Q2924" s="27" t="n"/>
      <c r="R2924" s="27" t="n"/>
      <c r="S2924" s="27" t="n"/>
      <c r="T2924" s="27" t="n"/>
    </row>
    <row r="2925" ht="13.8" customFormat="1" customHeight="1" s="70">
      <c r="M2925" s="27" t="n"/>
      <c r="N2925" s="27" t="n"/>
      <c r="O2925" s="27" t="n"/>
      <c r="P2925" s="27" t="n"/>
      <c r="Q2925" s="27" t="n"/>
      <c r="R2925" s="27" t="n"/>
      <c r="S2925" s="27" t="n"/>
      <c r="T2925" s="27" t="n"/>
    </row>
    <row r="2926" ht="13.8" customFormat="1" customHeight="1" s="70">
      <c r="M2926" s="27" t="n"/>
      <c r="N2926" s="27" t="n"/>
      <c r="O2926" s="27" t="n"/>
      <c r="P2926" s="27" t="n"/>
      <c r="Q2926" s="27" t="n"/>
      <c r="R2926" s="27" t="n"/>
      <c r="S2926" s="27" t="n"/>
      <c r="T2926" s="27" t="n"/>
    </row>
    <row r="2927" ht="13.8" customFormat="1" customHeight="1" s="70">
      <c r="M2927" s="27" t="n"/>
      <c r="N2927" s="27" t="n"/>
      <c r="O2927" s="27" t="n"/>
      <c r="P2927" s="27" t="n"/>
      <c r="Q2927" s="27" t="n"/>
      <c r="R2927" s="27" t="n"/>
      <c r="S2927" s="27" t="n"/>
      <c r="T2927" s="27" t="n"/>
    </row>
    <row r="2928" ht="13.8" customFormat="1" customHeight="1" s="70">
      <c r="M2928" s="27" t="n"/>
      <c r="N2928" s="27" t="n"/>
      <c r="O2928" s="27" t="n"/>
      <c r="P2928" s="27" t="n"/>
      <c r="Q2928" s="27" t="n"/>
      <c r="R2928" s="27" t="n"/>
      <c r="S2928" s="27" t="n"/>
      <c r="T2928" s="27" t="n"/>
    </row>
    <row r="2929" ht="13.8" customFormat="1" customHeight="1" s="70">
      <c r="M2929" s="27" t="n"/>
      <c r="N2929" s="27" t="n"/>
      <c r="O2929" s="27" t="n"/>
      <c r="P2929" s="27" t="n"/>
      <c r="Q2929" s="27" t="n"/>
      <c r="R2929" s="27" t="n"/>
      <c r="S2929" s="27" t="n"/>
      <c r="T2929" s="27" t="n"/>
    </row>
    <row r="2930" ht="13.8" customFormat="1" customHeight="1" s="70">
      <c r="M2930" s="27" t="n"/>
      <c r="N2930" s="27" t="n"/>
      <c r="O2930" s="27" t="n"/>
      <c r="P2930" s="27" t="n"/>
      <c r="Q2930" s="27" t="n"/>
      <c r="R2930" s="27" t="n"/>
      <c r="S2930" s="27" t="n"/>
      <c r="T2930" s="27" t="n"/>
    </row>
    <row r="2931" ht="13.8" customFormat="1" customHeight="1" s="70">
      <c r="M2931" s="27" t="n"/>
      <c r="N2931" s="27" t="n"/>
      <c r="O2931" s="27" t="n"/>
      <c r="P2931" s="27" t="n"/>
      <c r="Q2931" s="27" t="n"/>
      <c r="R2931" s="27" t="n"/>
      <c r="S2931" s="27" t="n"/>
      <c r="T2931" s="27" t="n"/>
    </row>
    <row r="2932" ht="13.8" customFormat="1" customHeight="1" s="70">
      <c r="M2932" s="27" t="n"/>
      <c r="N2932" s="27" t="n"/>
      <c r="O2932" s="27" t="n"/>
      <c r="P2932" s="27" t="n"/>
      <c r="Q2932" s="27" t="n"/>
      <c r="R2932" s="27" t="n"/>
      <c r="S2932" s="27" t="n"/>
      <c r="T2932" s="27" t="n"/>
    </row>
    <row r="2933" ht="13.8" customFormat="1" customHeight="1" s="70">
      <c r="M2933" s="27" t="n"/>
      <c r="N2933" s="27" t="n"/>
      <c r="O2933" s="27" t="n"/>
      <c r="P2933" s="27" t="n"/>
      <c r="Q2933" s="27" t="n"/>
      <c r="R2933" s="27" t="n"/>
      <c r="S2933" s="27" t="n"/>
      <c r="T2933" s="27" t="n"/>
    </row>
    <row r="2934" ht="13.8" customFormat="1" customHeight="1" s="70">
      <c r="M2934" s="27" t="n"/>
      <c r="N2934" s="27" t="n"/>
      <c r="O2934" s="27" t="n"/>
      <c r="P2934" s="27" t="n"/>
      <c r="Q2934" s="27" t="n"/>
      <c r="R2934" s="27" t="n"/>
      <c r="S2934" s="27" t="n"/>
      <c r="T2934" s="27" t="n"/>
    </row>
    <row r="2935" ht="13.8" customFormat="1" customHeight="1" s="70">
      <c r="M2935" s="27" t="n"/>
      <c r="N2935" s="27" t="n"/>
      <c r="O2935" s="27" t="n"/>
      <c r="P2935" s="27" t="n"/>
      <c r="Q2935" s="27" t="n"/>
      <c r="R2935" s="27" t="n"/>
      <c r="S2935" s="27" t="n"/>
      <c r="T2935" s="27" t="n"/>
    </row>
    <row r="2936" ht="13.8" customFormat="1" customHeight="1" s="70">
      <c r="M2936" s="27" t="n"/>
      <c r="N2936" s="27" t="n"/>
      <c r="O2936" s="27" t="n"/>
      <c r="P2936" s="27" t="n"/>
      <c r="Q2936" s="27" t="n"/>
      <c r="R2936" s="27" t="n"/>
      <c r="S2936" s="27" t="n"/>
      <c r="T2936" s="27" t="n"/>
    </row>
    <row r="2937" ht="13.8" customFormat="1" customHeight="1" s="70">
      <c r="M2937" s="27" t="n"/>
      <c r="N2937" s="27" t="n"/>
      <c r="O2937" s="27" t="n"/>
      <c r="P2937" s="27" t="n"/>
      <c r="Q2937" s="27" t="n"/>
      <c r="R2937" s="27" t="n"/>
      <c r="S2937" s="27" t="n"/>
      <c r="T2937" s="27" t="n"/>
    </row>
    <row r="2938" ht="13.8" customFormat="1" customHeight="1" s="70">
      <c r="M2938" s="27" t="n"/>
      <c r="N2938" s="27" t="n"/>
      <c r="O2938" s="27" t="n"/>
      <c r="P2938" s="27" t="n"/>
      <c r="Q2938" s="27" t="n"/>
      <c r="R2938" s="27" t="n"/>
      <c r="S2938" s="27" t="n"/>
      <c r="T2938" s="27" t="n"/>
    </row>
    <row r="2939" ht="13.8" customFormat="1" customHeight="1" s="70">
      <c r="M2939" s="27" t="n"/>
      <c r="N2939" s="27" t="n"/>
      <c r="O2939" s="27" t="n"/>
      <c r="P2939" s="27" t="n"/>
      <c r="Q2939" s="27" t="n"/>
      <c r="R2939" s="27" t="n"/>
      <c r="S2939" s="27" t="n"/>
      <c r="T2939" s="27" t="n"/>
    </row>
    <row r="2940" ht="13.8" customFormat="1" customHeight="1" s="70">
      <c r="M2940" s="27" t="n"/>
      <c r="N2940" s="27" t="n"/>
      <c r="O2940" s="27" t="n"/>
      <c r="P2940" s="27" t="n"/>
      <c r="Q2940" s="27" t="n"/>
      <c r="R2940" s="27" t="n"/>
      <c r="S2940" s="27" t="n"/>
      <c r="T2940" s="27" t="n"/>
    </row>
    <row r="2941" ht="13.8" customFormat="1" customHeight="1" s="70">
      <c r="M2941" s="27" t="n"/>
      <c r="N2941" s="27" t="n"/>
      <c r="O2941" s="27" t="n"/>
      <c r="P2941" s="27" t="n"/>
      <c r="Q2941" s="27" t="n"/>
      <c r="R2941" s="27" t="n"/>
      <c r="S2941" s="27" t="n"/>
      <c r="T2941" s="27" t="n"/>
    </row>
    <row r="2942" ht="13.8" customFormat="1" customHeight="1" s="70">
      <c r="M2942" s="27" t="n"/>
      <c r="N2942" s="27" t="n"/>
      <c r="O2942" s="27" t="n"/>
      <c r="P2942" s="27" t="n"/>
      <c r="Q2942" s="27" t="n"/>
      <c r="R2942" s="27" t="n"/>
      <c r="S2942" s="27" t="n"/>
      <c r="T2942" s="27" t="n"/>
    </row>
    <row r="2943" ht="13.8" customFormat="1" customHeight="1" s="70">
      <c r="M2943" s="27" t="n"/>
      <c r="N2943" s="27" t="n"/>
      <c r="O2943" s="27" t="n"/>
      <c r="P2943" s="27" t="n"/>
      <c r="Q2943" s="27" t="n"/>
      <c r="R2943" s="27" t="n"/>
      <c r="S2943" s="27" t="n"/>
      <c r="T2943" s="27" t="n"/>
    </row>
    <row r="2944" ht="13.8" customFormat="1" customHeight="1" s="70">
      <c r="M2944" s="27" t="n"/>
      <c r="N2944" s="27" t="n"/>
      <c r="O2944" s="27" t="n"/>
      <c r="P2944" s="27" t="n"/>
      <c r="Q2944" s="27" t="n"/>
      <c r="R2944" s="27" t="n"/>
      <c r="S2944" s="27" t="n"/>
      <c r="T2944" s="27" t="n"/>
    </row>
    <row r="2945" ht="13.8" customFormat="1" customHeight="1" s="70">
      <c r="M2945" s="27" t="n"/>
      <c r="N2945" s="27" t="n"/>
      <c r="O2945" s="27" t="n"/>
      <c r="P2945" s="27" t="n"/>
      <c r="Q2945" s="27" t="n"/>
      <c r="R2945" s="27" t="n"/>
      <c r="S2945" s="27" t="n"/>
      <c r="T2945" s="27" t="n"/>
    </row>
    <row r="2946" ht="13.8" customFormat="1" customHeight="1" s="70">
      <c r="M2946" s="27" t="n"/>
      <c r="N2946" s="27" t="n"/>
      <c r="O2946" s="27" t="n"/>
      <c r="P2946" s="27" t="n"/>
      <c r="Q2946" s="27" t="n"/>
      <c r="R2946" s="27" t="n"/>
      <c r="S2946" s="27" t="n"/>
      <c r="T2946" s="27" t="n"/>
    </row>
    <row r="2947" ht="13.8" customFormat="1" customHeight="1" s="70">
      <c r="M2947" s="27" t="n"/>
      <c r="N2947" s="27" t="n"/>
      <c r="O2947" s="27" t="n"/>
      <c r="P2947" s="27" t="n"/>
      <c r="Q2947" s="27" t="n"/>
      <c r="R2947" s="27" t="n"/>
      <c r="S2947" s="27" t="n"/>
      <c r="T2947" s="27" t="n"/>
    </row>
    <row r="2948" ht="13.8" customFormat="1" customHeight="1" s="70">
      <c r="M2948" s="27" t="n"/>
      <c r="N2948" s="27" t="n"/>
      <c r="O2948" s="27" t="n"/>
      <c r="P2948" s="27" t="n"/>
      <c r="Q2948" s="27" t="n"/>
      <c r="R2948" s="27" t="n"/>
      <c r="S2948" s="27" t="n"/>
      <c r="T2948" s="27" t="n"/>
    </row>
    <row r="2949" ht="13.8" customFormat="1" customHeight="1" s="70">
      <c r="M2949" s="27" t="n"/>
      <c r="N2949" s="27" t="n"/>
      <c r="O2949" s="27" t="n"/>
      <c r="P2949" s="27" t="n"/>
      <c r="Q2949" s="27" t="n"/>
      <c r="R2949" s="27" t="n"/>
      <c r="S2949" s="27" t="n"/>
      <c r="T2949" s="27" t="n"/>
    </row>
    <row r="2950" ht="13.8" customFormat="1" customHeight="1" s="70">
      <c r="M2950" s="27" t="n"/>
      <c r="N2950" s="27" t="n"/>
      <c r="O2950" s="27" t="n"/>
      <c r="P2950" s="27" t="n"/>
      <c r="Q2950" s="27" t="n"/>
      <c r="R2950" s="27" t="n"/>
      <c r="S2950" s="27" t="n"/>
      <c r="T2950" s="27" t="n"/>
    </row>
    <row r="2951" ht="13.8" customFormat="1" customHeight="1" s="70">
      <c r="M2951" s="27" t="n"/>
      <c r="N2951" s="27" t="n"/>
      <c r="O2951" s="27" t="n"/>
      <c r="P2951" s="27" t="n"/>
      <c r="Q2951" s="27" t="n"/>
      <c r="R2951" s="27" t="n"/>
      <c r="S2951" s="27" t="n"/>
      <c r="T2951" s="27" t="n"/>
    </row>
    <row r="2952" ht="13.8" customFormat="1" customHeight="1" s="70">
      <c r="M2952" s="27" t="n"/>
      <c r="N2952" s="27" t="n"/>
      <c r="O2952" s="27" t="n"/>
      <c r="P2952" s="27" t="n"/>
      <c r="Q2952" s="27" t="n"/>
      <c r="R2952" s="27" t="n"/>
      <c r="S2952" s="27" t="n"/>
      <c r="T2952" s="27" t="n"/>
    </row>
    <row r="2953" ht="13.8" customFormat="1" customHeight="1" s="70">
      <c r="M2953" s="27" t="n"/>
      <c r="N2953" s="27" t="n"/>
      <c r="O2953" s="27" t="n"/>
      <c r="P2953" s="27" t="n"/>
      <c r="Q2953" s="27" t="n"/>
      <c r="R2953" s="27" t="n"/>
      <c r="S2953" s="27" t="n"/>
      <c r="T2953" s="27" t="n"/>
    </row>
    <row r="2954" ht="13.8" customFormat="1" customHeight="1" s="70">
      <c r="M2954" s="27" t="n"/>
      <c r="N2954" s="27" t="n"/>
      <c r="O2954" s="27" t="n"/>
      <c r="P2954" s="27" t="n"/>
      <c r="Q2954" s="27" t="n"/>
      <c r="R2954" s="27" t="n"/>
      <c r="S2954" s="27" t="n"/>
      <c r="T2954" s="27" t="n"/>
    </row>
    <row r="2955" ht="13.8" customFormat="1" customHeight="1" s="70">
      <c r="M2955" s="27" t="n"/>
      <c r="N2955" s="27" t="n"/>
      <c r="O2955" s="27" t="n"/>
      <c r="P2955" s="27" t="n"/>
      <c r="Q2955" s="27" t="n"/>
      <c r="R2955" s="27" t="n"/>
      <c r="S2955" s="27" t="n"/>
      <c r="T2955" s="27" t="n"/>
    </row>
    <row r="2956" ht="13.8" customFormat="1" customHeight="1" s="70">
      <c r="M2956" s="27" t="n"/>
      <c r="N2956" s="27" t="n"/>
      <c r="O2956" s="27" t="n"/>
      <c r="P2956" s="27" t="n"/>
      <c r="Q2956" s="27" t="n"/>
      <c r="R2956" s="27" t="n"/>
      <c r="S2956" s="27" t="n"/>
      <c r="T2956" s="27" t="n"/>
    </row>
    <row r="2957" ht="13.8" customFormat="1" customHeight="1" s="70">
      <c r="M2957" s="27" t="n"/>
      <c r="N2957" s="27" t="n"/>
      <c r="O2957" s="27" t="n"/>
      <c r="P2957" s="27" t="n"/>
      <c r="Q2957" s="27" t="n"/>
      <c r="R2957" s="27" t="n"/>
      <c r="S2957" s="27" t="n"/>
      <c r="T2957" s="27" t="n"/>
    </row>
    <row r="2958" ht="13.8" customFormat="1" customHeight="1" s="70">
      <c r="M2958" s="27" t="n"/>
      <c r="N2958" s="27" t="n"/>
      <c r="O2958" s="27" t="n"/>
      <c r="P2958" s="27" t="n"/>
      <c r="Q2958" s="27" t="n"/>
      <c r="R2958" s="27" t="n"/>
      <c r="S2958" s="27" t="n"/>
      <c r="T2958" s="27" t="n"/>
    </row>
    <row r="2959" ht="13.8" customFormat="1" customHeight="1" s="70">
      <c r="M2959" s="27" t="n"/>
      <c r="N2959" s="27" t="n"/>
      <c r="O2959" s="27" t="n"/>
      <c r="P2959" s="27" t="n"/>
      <c r="Q2959" s="27" t="n"/>
      <c r="R2959" s="27" t="n"/>
      <c r="S2959" s="27" t="n"/>
      <c r="T2959" s="27" t="n"/>
    </row>
    <row r="2960" ht="13.8" customFormat="1" customHeight="1" s="70">
      <c r="M2960" s="27" t="n"/>
      <c r="N2960" s="27" t="n"/>
      <c r="O2960" s="27" t="n"/>
      <c r="P2960" s="27" t="n"/>
      <c r="Q2960" s="27" t="n"/>
      <c r="R2960" s="27" t="n"/>
      <c r="S2960" s="27" t="n"/>
      <c r="T2960" s="27" t="n"/>
    </row>
    <row r="2961" ht="13.8" customFormat="1" customHeight="1" s="70">
      <c r="M2961" s="27" t="n"/>
      <c r="N2961" s="27" t="n"/>
      <c r="O2961" s="27" t="n"/>
      <c r="P2961" s="27" t="n"/>
      <c r="Q2961" s="27" t="n"/>
      <c r="R2961" s="27" t="n"/>
      <c r="S2961" s="27" t="n"/>
      <c r="T2961" s="27" t="n"/>
    </row>
    <row r="2962" ht="13.8" customFormat="1" customHeight="1" s="70">
      <c r="M2962" s="27" t="n"/>
      <c r="N2962" s="27" t="n"/>
      <c r="O2962" s="27" t="n"/>
      <c r="P2962" s="27" t="n"/>
      <c r="Q2962" s="27" t="n"/>
      <c r="R2962" s="27" t="n"/>
      <c r="S2962" s="27" t="n"/>
      <c r="T2962" s="27" t="n"/>
    </row>
    <row r="2963" ht="13.8" customFormat="1" customHeight="1" s="70">
      <c r="M2963" s="27" t="n"/>
      <c r="N2963" s="27" t="n"/>
      <c r="O2963" s="27" t="n"/>
      <c r="P2963" s="27" t="n"/>
      <c r="Q2963" s="27" t="n"/>
      <c r="R2963" s="27" t="n"/>
      <c r="S2963" s="27" t="n"/>
      <c r="T2963" s="27" t="n"/>
    </row>
    <row r="2964" ht="13.8" customFormat="1" customHeight="1" s="70">
      <c r="M2964" s="27" t="n"/>
      <c r="N2964" s="27" t="n"/>
      <c r="O2964" s="27" t="n"/>
      <c r="P2964" s="27" t="n"/>
      <c r="Q2964" s="27" t="n"/>
      <c r="R2964" s="27" t="n"/>
      <c r="S2964" s="27" t="n"/>
      <c r="T2964" s="27" t="n"/>
    </row>
    <row r="2965" ht="13.8" customFormat="1" customHeight="1" s="70">
      <c r="M2965" s="27" t="n"/>
      <c r="N2965" s="27" t="n"/>
      <c r="O2965" s="27" t="n"/>
      <c r="P2965" s="27" t="n"/>
      <c r="Q2965" s="27" t="n"/>
      <c r="R2965" s="27" t="n"/>
      <c r="S2965" s="27" t="n"/>
      <c r="T2965" s="27" t="n"/>
    </row>
    <row r="2966" ht="13.8" customFormat="1" customHeight="1" s="70">
      <c r="M2966" s="27" t="n"/>
      <c r="N2966" s="27" t="n"/>
      <c r="O2966" s="27" t="n"/>
      <c r="P2966" s="27" t="n"/>
      <c r="Q2966" s="27" t="n"/>
      <c r="R2966" s="27" t="n"/>
      <c r="S2966" s="27" t="n"/>
      <c r="T2966" s="27" t="n"/>
    </row>
    <row r="2967" ht="13.8" customFormat="1" customHeight="1" s="70">
      <c r="M2967" s="27" t="n"/>
      <c r="N2967" s="27" t="n"/>
      <c r="O2967" s="27" t="n"/>
      <c r="P2967" s="27" t="n"/>
      <c r="Q2967" s="27" t="n"/>
      <c r="R2967" s="27" t="n"/>
      <c r="S2967" s="27" t="n"/>
      <c r="T2967" s="27" t="n"/>
    </row>
    <row r="2968" ht="13.8" customFormat="1" customHeight="1" s="70">
      <c r="M2968" s="27" t="n"/>
      <c r="N2968" s="27" t="n"/>
      <c r="O2968" s="27" t="n"/>
      <c r="P2968" s="27" t="n"/>
      <c r="Q2968" s="27" t="n"/>
      <c r="R2968" s="27" t="n"/>
      <c r="S2968" s="27" t="n"/>
      <c r="T2968" s="27" t="n"/>
    </row>
    <row r="2969" ht="13.8" customFormat="1" customHeight="1" s="70">
      <c r="M2969" s="27" t="n"/>
      <c r="N2969" s="27" t="n"/>
      <c r="O2969" s="27" t="n"/>
      <c r="P2969" s="27" t="n"/>
      <c r="Q2969" s="27" t="n"/>
      <c r="R2969" s="27" t="n"/>
      <c r="S2969" s="27" t="n"/>
      <c r="T2969" s="27" t="n"/>
    </row>
    <row r="2970" ht="13.8" customFormat="1" customHeight="1" s="70">
      <c r="M2970" s="27" t="n"/>
      <c r="N2970" s="27" t="n"/>
      <c r="O2970" s="27" t="n"/>
      <c r="P2970" s="27" t="n"/>
      <c r="Q2970" s="27" t="n"/>
      <c r="R2970" s="27" t="n"/>
      <c r="S2970" s="27" t="n"/>
      <c r="T2970" s="27" t="n"/>
    </row>
    <row r="2971" ht="13.8" customFormat="1" customHeight="1" s="70">
      <c r="M2971" s="27" t="n"/>
      <c r="N2971" s="27" t="n"/>
      <c r="O2971" s="27" t="n"/>
      <c r="P2971" s="27" t="n"/>
      <c r="Q2971" s="27" t="n"/>
      <c r="R2971" s="27" t="n"/>
      <c r="S2971" s="27" t="n"/>
      <c r="T2971" s="27" t="n"/>
    </row>
    <row r="2972" ht="13.8" customFormat="1" customHeight="1" s="70">
      <c r="M2972" s="27" t="n"/>
      <c r="N2972" s="27" t="n"/>
      <c r="O2972" s="27" t="n"/>
      <c r="P2972" s="27" t="n"/>
      <c r="Q2972" s="27" t="n"/>
      <c r="R2972" s="27" t="n"/>
      <c r="S2972" s="27" t="n"/>
      <c r="T2972" s="27" t="n"/>
    </row>
    <row r="2973" ht="13.8" customFormat="1" customHeight="1" s="70">
      <c r="M2973" s="27" t="n"/>
      <c r="N2973" s="27" t="n"/>
      <c r="O2973" s="27" t="n"/>
      <c r="P2973" s="27" t="n"/>
      <c r="Q2973" s="27" t="n"/>
      <c r="R2973" s="27" t="n"/>
      <c r="S2973" s="27" t="n"/>
      <c r="T2973" s="27" t="n"/>
    </row>
    <row r="2974" ht="13.8" customFormat="1" customHeight="1" s="70">
      <c r="M2974" s="27" t="n"/>
      <c r="N2974" s="27" t="n"/>
      <c r="O2974" s="27" t="n"/>
      <c r="P2974" s="27" t="n"/>
      <c r="Q2974" s="27" t="n"/>
      <c r="R2974" s="27" t="n"/>
      <c r="S2974" s="27" t="n"/>
      <c r="T2974" s="27" t="n"/>
    </row>
    <row r="2975" ht="13.8" customFormat="1" customHeight="1" s="70">
      <c r="M2975" s="27" t="n"/>
      <c r="N2975" s="27" t="n"/>
      <c r="O2975" s="27" t="n"/>
      <c r="P2975" s="27" t="n"/>
      <c r="Q2975" s="27" t="n"/>
      <c r="R2975" s="27" t="n"/>
      <c r="S2975" s="27" t="n"/>
      <c r="T2975" s="27" t="n"/>
    </row>
    <row r="2976" ht="13.8" customFormat="1" customHeight="1" s="70">
      <c r="M2976" s="27" t="n"/>
      <c r="N2976" s="27" t="n"/>
      <c r="O2976" s="27" t="n"/>
      <c r="P2976" s="27" t="n"/>
      <c r="Q2976" s="27" t="n"/>
      <c r="R2976" s="27" t="n"/>
      <c r="S2976" s="27" t="n"/>
      <c r="T2976" s="27" t="n"/>
    </row>
    <row r="2977" ht="13.8" customFormat="1" customHeight="1" s="70">
      <c r="M2977" s="27" t="n"/>
      <c r="N2977" s="27" t="n"/>
      <c r="O2977" s="27" t="n"/>
      <c r="P2977" s="27" t="n"/>
      <c r="Q2977" s="27" t="n"/>
      <c r="R2977" s="27" t="n"/>
      <c r="S2977" s="27" t="n"/>
      <c r="T2977" s="27" t="n"/>
    </row>
    <row r="2978" ht="13.8" customFormat="1" customHeight="1" s="70">
      <c r="M2978" s="27" t="n"/>
      <c r="N2978" s="27" t="n"/>
      <c r="O2978" s="27" t="n"/>
      <c r="P2978" s="27" t="n"/>
      <c r="Q2978" s="27" t="n"/>
      <c r="R2978" s="27" t="n"/>
      <c r="S2978" s="27" t="n"/>
      <c r="T2978" s="27" t="n"/>
    </row>
    <row r="2979" ht="13.8" customFormat="1" customHeight="1" s="70">
      <c r="M2979" s="27" t="n"/>
      <c r="N2979" s="27" t="n"/>
      <c r="O2979" s="27" t="n"/>
      <c r="P2979" s="27" t="n"/>
      <c r="Q2979" s="27" t="n"/>
      <c r="R2979" s="27" t="n"/>
      <c r="S2979" s="27" t="n"/>
      <c r="T2979" s="27" t="n"/>
    </row>
    <row r="2980" ht="13.8" customFormat="1" customHeight="1" s="70">
      <c r="M2980" s="27" t="n"/>
      <c r="N2980" s="27" t="n"/>
      <c r="O2980" s="27" t="n"/>
      <c r="P2980" s="27" t="n"/>
      <c r="Q2980" s="27" t="n"/>
      <c r="R2980" s="27" t="n"/>
      <c r="S2980" s="27" t="n"/>
      <c r="T2980" s="27" t="n"/>
    </row>
    <row r="2981" ht="13.8" customFormat="1" customHeight="1" s="70">
      <c r="M2981" s="27" t="n"/>
      <c r="N2981" s="27" t="n"/>
      <c r="O2981" s="27" t="n"/>
      <c r="P2981" s="27" t="n"/>
      <c r="Q2981" s="27" t="n"/>
      <c r="R2981" s="27" t="n"/>
      <c r="S2981" s="27" t="n"/>
      <c r="T2981" s="27" t="n"/>
    </row>
    <row r="2982" ht="13.8" customFormat="1" customHeight="1" s="70">
      <c r="M2982" s="27" t="n"/>
      <c r="N2982" s="27" t="n"/>
      <c r="O2982" s="27" t="n"/>
      <c r="P2982" s="27" t="n"/>
      <c r="Q2982" s="27" t="n"/>
      <c r="R2982" s="27" t="n"/>
      <c r="S2982" s="27" t="n"/>
      <c r="T2982" s="27" t="n"/>
    </row>
    <row r="2983" ht="13.8" customFormat="1" customHeight="1" s="70">
      <c r="M2983" s="27" t="n"/>
      <c r="N2983" s="27" t="n"/>
      <c r="O2983" s="27" t="n"/>
      <c r="P2983" s="27" t="n"/>
      <c r="Q2983" s="27" t="n"/>
      <c r="R2983" s="27" t="n"/>
      <c r="S2983" s="27" t="n"/>
      <c r="T2983" s="27" t="n"/>
    </row>
    <row r="2984" ht="13.8" customFormat="1" customHeight="1" s="70">
      <c r="M2984" s="27" t="n"/>
      <c r="N2984" s="27" t="n"/>
      <c r="O2984" s="27" t="n"/>
      <c r="P2984" s="27" t="n"/>
      <c r="Q2984" s="27" t="n"/>
      <c r="R2984" s="27" t="n"/>
      <c r="S2984" s="27" t="n"/>
      <c r="T2984" s="27" t="n"/>
    </row>
    <row r="2985" ht="13.8" customFormat="1" customHeight="1" s="70">
      <c r="M2985" s="27" t="n"/>
      <c r="N2985" s="27" t="n"/>
      <c r="O2985" s="27" t="n"/>
      <c r="P2985" s="27" t="n"/>
      <c r="Q2985" s="27" t="n"/>
      <c r="R2985" s="27" t="n"/>
      <c r="S2985" s="27" t="n"/>
      <c r="T2985" s="27" t="n"/>
    </row>
    <row r="2986" ht="13.8" customFormat="1" customHeight="1" s="70">
      <c r="M2986" s="27" t="n"/>
      <c r="N2986" s="27" t="n"/>
      <c r="O2986" s="27" t="n"/>
      <c r="P2986" s="27" t="n"/>
      <c r="Q2986" s="27" t="n"/>
      <c r="R2986" s="27" t="n"/>
      <c r="S2986" s="27" t="n"/>
      <c r="T2986" s="27" t="n"/>
    </row>
    <row r="2987" ht="13.8" customFormat="1" customHeight="1" s="70">
      <c r="M2987" s="27" t="n"/>
      <c r="N2987" s="27" t="n"/>
      <c r="O2987" s="27" t="n"/>
      <c r="P2987" s="27" t="n"/>
      <c r="Q2987" s="27" t="n"/>
      <c r="R2987" s="27" t="n"/>
      <c r="S2987" s="27" t="n"/>
      <c r="T2987" s="27" t="n"/>
    </row>
    <row r="2988" ht="13.8" customFormat="1" customHeight="1" s="70">
      <c r="M2988" s="27" t="n"/>
      <c r="N2988" s="27" t="n"/>
      <c r="O2988" s="27" t="n"/>
      <c r="P2988" s="27" t="n"/>
      <c r="Q2988" s="27" t="n"/>
      <c r="R2988" s="27" t="n"/>
      <c r="S2988" s="27" t="n"/>
      <c r="T2988" s="27" t="n"/>
    </row>
    <row r="2989" ht="13.8" customFormat="1" customHeight="1" s="70">
      <c r="M2989" s="27" t="n"/>
      <c r="N2989" s="27" t="n"/>
      <c r="O2989" s="27" t="n"/>
      <c r="P2989" s="27" t="n"/>
      <c r="Q2989" s="27" t="n"/>
      <c r="R2989" s="27" t="n"/>
      <c r="S2989" s="27" t="n"/>
      <c r="T2989" s="27" t="n"/>
    </row>
    <row r="2990" ht="13.8" customFormat="1" customHeight="1" s="70">
      <c r="M2990" s="27" t="n"/>
      <c r="N2990" s="27" t="n"/>
      <c r="O2990" s="27" t="n"/>
      <c r="P2990" s="27" t="n"/>
      <c r="Q2990" s="27" t="n"/>
      <c r="R2990" s="27" t="n"/>
      <c r="S2990" s="27" t="n"/>
      <c r="T2990" s="27" t="n"/>
    </row>
    <row r="2991" ht="13.8" customFormat="1" customHeight="1" s="70">
      <c r="M2991" s="27" t="n"/>
      <c r="N2991" s="27" t="n"/>
      <c r="O2991" s="27" t="n"/>
      <c r="P2991" s="27" t="n"/>
      <c r="Q2991" s="27" t="n"/>
      <c r="R2991" s="27" t="n"/>
      <c r="S2991" s="27" t="n"/>
      <c r="T2991" s="27" t="n"/>
    </row>
    <row r="2992" ht="13.8" customFormat="1" customHeight="1" s="70">
      <c r="M2992" s="27" t="n"/>
      <c r="N2992" s="27" t="n"/>
      <c r="O2992" s="27" t="n"/>
      <c r="P2992" s="27" t="n"/>
      <c r="Q2992" s="27" t="n"/>
      <c r="R2992" s="27" t="n"/>
      <c r="S2992" s="27" t="n"/>
      <c r="T2992" s="27" t="n"/>
    </row>
    <row r="2993" ht="13.8" customFormat="1" customHeight="1" s="70">
      <c r="M2993" s="27" t="n"/>
      <c r="N2993" s="27" t="n"/>
      <c r="O2993" s="27" t="n"/>
      <c r="P2993" s="27" t="n"/>
      <c r="Q2993" s="27" t="n"/>
      <c r="R2993" s="27" t="n"/>
      <c r="S2993" s="27" t="n"/>
      <c r="T2993" s="27" t="n"/>
    </row>
    <row r="2994" ht="13.8" customFormat="1" customHeight="1" s="70">
      <c r="M2994" s="27" t="n"/>
      <c r="N2994" s="27" t="n"/>
      <c r="O2994" s="27" t="n"/>
      <c r="P2994" s="27" t="n"/>
      <c r="Q2994" s="27" t="n"/>
      <c r="R2994" s="27" t="n"/>
      <c r="S2994" s="27" t="n"/>
      <c r="T2994" s="27" t="n"/>
    </row>
    <row r="2995" ht="13.8" customFormat="1" customHeight="1" s="70">
      <c r="M2995" s="27" t="n"/>
      <c r="N2995" s="27" t="n"/>
      <c r="O2995" s="27" t="n"/>
      <c r="P2995" s="27" t="n"/>
      <c r="Q2995" s="27" t="n"/>
      <c r="R2995" s="27" t="n"/>
      <c r="S2995" s="27" t="n"/>
      <c r="T2995" s="27" t="n"/>
    </row>
    <row r="2996" ht="13.8" customFormat="1" customHeight="1" s="70">
      <c r="M2996" s="27" t="n"/>
      <c r="N2996" s="27" t="n"/>
      <c r="O2996" s="27" t="n"/>
      <c r="P2996" s="27" t="n"/>
      <c r="Q2996" s="27" t="n"/>
      <c r="R2996" s="27" t="n"/>
      <c r="S2996" s="27" t="n"/>
      <c r="T2996" s="27" t="n"/>
    </row>
    <row r="2997" ht="13.8" customFormat="1" customHeight="1" s="70">
      <c r="M2997" s="27" t="n"/>
      <c r="N2997" s="27" t="n"/>
      <c r="O2997" s="27" t="n"/>
      <c r="P2997" s="27" t="n"/>
      <c r="Q2997" s="27" t="n"/>
      <c r="R2997" s="27" t="n"/>
      <c r="S2997" s="27" t="n"/>
      <c r="T2997" s="27" t="n"/>
    </row>
    <row r="2998" ht="13.8" customFormat="1" customHeight="1" s="70">
      <c r="M2998" s="27" t="n"/>
      <c r="N2998" s="27" t="n"/>
      <c r="O2998" s="27" t="n"/>
      <c r="P2998" s="27" t="n"/>
      <c r="Q2998" s="27" t="n"/>
      <c r="R2998" s="27" t="n"/>
      <c r="S2998" s="27" t="n"/>
      <c r="T2998" s="27" t="n"/>
    </row>
    <row r="2999" ht="13.8" customFormat="1" customHeight="1" s="70">
      <c r="M2999" s="27" t="n"/>
      <c r="N2999" s="27" t="n"/>
      <c r="O2999" s="27" t="n"/>
      <c r="P2999" s="27" t="n"/>
      <c r="Q2999" s="27" t="n"/>
      <c r="R2999" s="27" t="n"/>
      <c r="S2999" s="27" t="n"/>
      <c r="T2999" s="27" t="n"/>
    </row>
    <row r="3000" ht="13.8" customFormat="1" customHeight="1" s="70">
      <c r="M3000" s="27" t="n"/>
      <c r="N3000" s="27" t="n"/>
      <c r="O3000" s="27" t="n"/>
      <c r="P3000" s="27" t="n"/>
      <c r="Q3000" s="27" t="n"/>
      <c r="R3000" s="27" t="n"/>
      <c r="S3000" s="27" t="n"/>
      <c r="T3000" s="27" t="n"/>
    </row>
    <row r="3001" ht="13.8" customFormat="1" customHeight="1" s="70">
      <c r="M3001" s="27" t="n"/>
      <c r="N3001" s="27" t="n"/>
      <c r="O3001" s="27" t="n"/>
      <c r="P3001" s="27" t="n"/>
      <c r="Q3001" s="27" t="n"/>
      <c r="R3001" s="27" t="n"/>
      <c r="S3001" s="27" t="n"/>
      <c r="T3001" s="27" t="n"/>
    </row>
    <row r="3002" ht="13.8" customFormat="1" customHeight="1" s="70">
      <c r="M3002" s="27" t="n"/>
      <c r="N3002" s="27" t="n"/>
      <c r="O3002" s="27" t="n"/>
      <c r="P3002" s="27" t="n"/>
      <c r="Q3002" s="27" t="n"/>
      <c r="R3002" s="27" t="n"/>
      <c r="S3002" s="27" t="n"/>
      <c r="T3002" s="27" t="n"/>
    </row>
    <row r="3003" ht="13.8" customFormat="1" customHeight="1" s="70">
      <c r="M3003" s="27" t="n"/>
      <c r="N3003" s="27" t="n"/>
      <c r="O3003" s="27" t="n"/>
      <c r="P3003" s="27" t="n"/>
      <c r="Q3003" s="27" t="n"/>
      <c r="R3003" s="27" t="n"/>
      <c r="S3003" s="27" t="n"/>
      <c r="T3003" s="27" t="n"/>
    </row>
    <row r="3004" ht="13.8" customFormat="1" customHeight="1" s="70">
      <c r="M3004" s="27" t="n"/>
      <c r="N3004" s="27" t="n"/>
      <c r="O3004" s="27" t="n"/>
      <c r="P3004" s="27" t="n"/>
      <c r="Q3004" s="27" t="n"/>
      <c r="R3004" s="27" t="n"/>
      <c r="S3004" s="27" t="n"/>
      <c r="T3004" s="27" t="n"/>
    </row>
    <row r="3005" ht="13.8" customFormat="1" customHeight="1" s="70">
      <c r="M3005" s="27" t="n"/>
      <c r="N3005" s="27" t="n"/>
      <c r="O3005" s="27" t="n"/>
      <c r="P3005" s="27" t="n"/>
      <c r="Q3005" s="27" t="n"/>
      <c r="R3005" s="27" t="n"/>
      <c r="S3005" s="27" t="n"/>
      <c r="T3005" s="27" t="n"/>
    </row>
    <row r="3006" ht="13.8" customFormat="1" customHeight="1" s="70">
      <c r="M3006" s="27" t="n"/>
      <c r="N3006" s="27" t="n"/>
      <c r="O3006" s="27" t="n"/>
      <c r="P3006" s="27" t="n"/>
      <c r="Q3006" s="27" t="n"/>
      <c r="R3006" s="27" t="n"/>
      <c r="S3006" s="27" t="n"/>
      <c r="T3006" s="27" t="n"/>
    </row>
    <row r="3007" ht="13.8" customFormat="1" customHeight="1" s="70">
      <c r="M3007" s="27" t="n"/>
      <c r="N3007" s="27" t="n"/>
      <c r="O3007" s="27" t="n"/>
      <c r="P3007" s="27" t="n"/>
      <c r="Q3007" s="27" t="n"/>
      <c r="R3007" s="27" t="n"/>
      <c r="S3007" s="27" t="n"/>
      <c r="T3007" s="27" t="n"/>
    </row>
    <row r="3008" ht="13.8" customFormat="1" customHeight="1" s="70">
      <c r="M3008" s="27" t="n"/>
      <c r="N3008" s="27" t="n"/>
      <c r="O3008" s="27" t="n"/>
      <c r="P3008" s="27" t="n"/>
      <c r="Q3008" s="27" t="n"/>
      <c r="R3008" s="27" t="n"/>
      <c r="S3008" s="27" t="n"/>
      <c r="T3008" s="27" t="n"/>
    </row>
    <row r="3009" ht="13.8" customFormat="1" customHeight="1" s="70">
      <c r="M3009" s="27" t="n"/>
      <c r="N3009" s="27" t="n"/>
      <c r="O3009" s="27" t="n"/>
      <c r="P3009" s="27" t="n"/>
      <c r="Q3009" s="27" t="n"/>
      <c r="R3009" s="27" t="n"/>
      <c r="S3009" s="27" t="n"/>
      <c r="T3009" s="27" t="n"/>
    </row>
    <row r="3010" ht="13.8" customFormat="1" customHeight="1" s="70">
      <c r="M3010" s="27" t="n"/>
      <c r="N3010" s="27" t="n"/>
      <c r="O3010" s="27" t="n"/>
      <c r="P3010" s="27" t="n"/>
      <c r="Q3010" s="27" t="n"/>
      <c r="R3010" s="27" t="n"/>
      <c r="S3010" s="27" t="n"/>
      <c r="T3010" s="27" t="n"/>
    </row>
    <row r="3011" ht="13.8" customFormat="1" customHeight="1" s="70">
      <c r="M3011" s="27" t="n"/>
      <c r="N3011" s="27" t="n"/>
      <c r="O3011" s="27" t="n"/>
      <c r="P3011" s="27" t="n"/>
      <c r="Q3011" s="27" t="n"/>
      <c r="R3011" s="27" t="n"/>
      <c r="S3011" s="27" t="n"/>
      <c r="T3011" s="27" t="n"/>
    </row>
    <row r="3012" ht="13.8" customFormat="1" customHeight="1" s="70">
      <c r="M3012" s="27" t="n"/>
      <c r="N3012" s="27" t="n"/>
      <c r="O3012" s="27" t="n"/>
      <c r="P3012" s="27" t="n"/>
      <c r="Q3012" s="27" t="n"/>
      <c r="R3012" s="27" t="n"/>
      <c r="S3012" s="27" t="n"/>
      <c r="T3012" s="27" t="n"/>
    </row>
    <row r="3013" ht="13.8" customFormat="1" customHeight="1" s="70">
      <c r="M3013" s="27" t="n"/>
      <c r="N3013" s="27" t="n"/>
      <c r="O3013" s="27" t="n"/>
      <c r="P3013" s="27" t="n"/>
      <c r="Q3013" s="27" t="n"/>
      <c r="R3013" s="27" t="n"/>
      <c r="S3013" s="27" t="n"/>
      <c r="T3013" s="27" t="n"/>
    </row>
    <row r="3014" ht="13.8" customFormat="1" customHeight="1" s="70">
      <c r="M3014" s="27" t="n"/>
      <c r="N3014" s="27" t="n"/>
      <c r="O3014" s="27" t="n"/>
      <c r="P3014" s="27" t="n"/>
      <c r="Q3014" s="27" t="n"/>
      <c r="R3014" s="27" t="n"/>
      <c r="S3014" s="27" t="n"/>
      <c r="T3014" s="27" t="n"/>
    </row>
    <row r="3015" ht="13.8" customFormat="1" customHeight="1" s="70">
      <c r="M3015" s="27" t="n"/>
      <c r="N3015" s="27" t="n"/>
      <c r="O3015" s="27" t="n"/>
      <c r="P3015" s="27" t="n"/>
      <c r="Q3015" s="27" t="n"/>
      <c r="R3015" s="27" t="n"/>
      <c r="S3015" s="27" t="n"/>
      <c r="T3015" s="27" t="n"/>
    </row>
    <row r="3016" ht="13.8" customFormat="1" customHeight="1" s="70">
      <c r="M3016" s="27" t="n"/>
      <c r="N3016" s="27" t="n"/>
      <c r="O3016" s="27" t="n"/>
      <c r="P3016" s="27" t="n"/>
      <c r="Q3016" s="27" t="n"/>
      <c r="R3016" s="27" t="n"/>
      <c r="S3016" s="27" t="n"/>
      <c r="T3016" s="27" t="n"/>
    </row>
    <row r="3017" ht="13.8" customFormat="1" customHeight="1" s="70">
      <c r="M3017" s="27" t="n"/>
      <c r="N3017" s="27" t="n"/>
      <c r="O3017" s="27" t="n"/>
      <c r="P3017" s="27" t="n"/>
      <c r="Q3017" s="27" t="n"/>
      <c r="R3017" s="27" t="n"/>
      <c r="S3017" s="27" t="n"/>
      <c r="T3017" s="27" t="n"/>
    </row>
    <row r="3018" ht="13.8" customFormat="1" customHeight="1" s="70">
      <c r="M3018" s="27" t="n"/>
      <c r="N3018" s="27" t="n"/>
      <c r="O3018" s="27" t="n"/>
      <c r="P3018" s="27" t="n"/>
      <c r="Q3018" s="27" t="n"/>
      <c r="R3018" s="27" t="n"/>
      <c r="S3018" s="27" t="n"/>
      <c r="T3018" s="27" t="n"/>
    </row>
    <row r="3019" ht="13.8" customFormat="1" customHeight="1" s="70">
      <c r="M3019" s="27" t="n"/>
      <c r="N3019" s="27" t="n"/>
      <c r="O3019" s="27" t="n"/>
      <c r="P3019" s="27" t="n"/>
      <c r="Q3019" s="27" t="n"/>
      <c r="R3019" s="27" t="n"/>
      <c r="S3019" s="27" t="n"/>
      <c r="T3019" s="27" t="n"/>
    </row>
    <row r="3020" ht="13.8" customFormat="1" customHeight="1" s="70">
      <c r="M3020" s="27" t="n"/>
      <c r="N3020" s="27" t="n"/>
      <c r="O3020" s="27" t="n"/>
      <c r="P3020" s="27" t="n"/>
      <c r="Q3020" s="27" t="n"/>
      <c r="R3020" s="27" t="n"/>
      <c r="S3020" s="27" t="n"/>
      <c r="T3020" s="27" t="n"/>
    </row>
    <row r="3021" ht="13.8" customFormat="1" customHeight="1" s="70">
      <c r="M3021" s="27" t="n"/>
      <c r="N3021" s="27" t="n"/>
      <c r="O3021" s="27" t="n"/>
      <c r="P3021" s="27" t="n"/>
      <c r="Q3021" s="27" t="n"/>
      <c r="R3021" s="27" t="n"/>
      <c r="S3021" s="27" t="n"/>
      <c r="T3021" s="27" t="n"/>
    </row>
    <row r="3022" ht="13.8" customFormat="1" customHeight="1" s="70">
      <c r="M3022" s="27" t="n"/>
      <c r="N3022" s="27" t="n"/>
      <c r="O3022" s="27" t="n"/>
      <c r="P3022" s="27" t="n"/>
      <c r="Q3022" s="27" t="n"/>
      <c r="R3022" s="27" t="n"/>
      <c r="S3022" s="27" t="n"/>
      <c r="T3022" s="27" t="n"/>
    </row>
    <row r="3023" ht="13.8" customFormat="1" customHeight="1" s="70">
      <c r="M3023" s="27" t="n"/>
      <c r="N3023" s="27" t="n"/>
      <c r="O3023" s="27" t="n"/>
      <c r="P3023" s="27" t="n"/>
      <c r="Q3023" s="27" t="n"/>
      <c r="R3023" s="27" t="n"/>
      <c r="S3023" s="27" t="n"/>
      <c r="T3023" s="27" t="n"/>
    </row>
    <row r="3024" ht="13.8" customFormat="1" customHeight="1" s="70">
      <c r="M3024" s="27" t="n"/>
      <c r="N3024" s="27" t="n"/>
      <c r="O3024" s="27" t="n"/>
      <c r="P3024" s="27" t="n"/>
      <c r="Q3024" s="27" t="n"/>
      <c r="R3024" s="27" t="n"/>
      <c r="S3024" s="27" t="n"/>
      <c r="T3024" s="27" t="n"/>
    </row>
    <row r="3025" ht="13.8" customFormat="1" customHeight="1" s="70">
      <c r="M3025" s="27" t="n"/>
      <c r="N3025" s="27" t="n"/>
      <c r="O3025" s="27" t="n"/>
      <c r="P3025" s="27" t="n"/>
      <c r="Q3025" s="27" t="n"/>
      <c r="R3025" s="27" t="n"/>
      <c r="S3025" s="27" t="n"/>
      <c r="T3025" s="27" t="n"/>
    </row>
    <row r="3026" ht="13.8" customFormat="1" customHeight="1" s="70">
      <c r="M3026" s="27" t="n"/>
      <c r="N3026" s="27" t="n"/>
      <c r="O3026" s="27" t="n"/>
      <c r="P3026" s="27" t="n"/>
      <c r="Q3026" s="27" t="n"/>
      <c r="R3026" s="27" t="n"/>
      <c r="S3026" s="27" t="n"/>
      <c r="T3026" s="27" t="n"/>
    </row>
    <row r="3027" ht="13.8" customFormat="1" customHeight="1" s="70">
      <c r="M3027" s="27" t="n"/>
      <c r="N3027" s="27" t="n"/>
      <c r="O3027" s="27" t="n"/>
      <c r="P3027" s="27" t="n"/>
      <c r="Q3027" s="27" t="n"/>
      <c r="R3027" s="27" t="n"/>
      <c r="S3027" s="27" t="n"/>
      <c r="T3027" s="27" t="n"/>
    </row>
    <row r="3028" ht="13.8" customFormat="1" customHeight="1" s="70">
      <c r="M3028" s="27" t="n"/>
      <c r="N3028" s="27" t="n"/>
      <c r="O3028" s="27" t="n"/>
      <c r="P3028" s="27" t="n"/>
      <c r="Q3028" s="27" t="n"/>
      <c r="R3028" s="27" t="n"/>
      <c r="S3028" s="27" t="n"/>
      <c r="T3028" s="27" t="n"/>
    </row>
    <row r="3029" ht="13.8" customFormat="1" customHeight="1" s="70">
      <c r="M3029" s="27" t="n"/>
      <c r="N3029" s="27" t="n"/>
      <c r="O3029" s="27" t="n"/>
      <c r="P3029" s="27" t="n"/>
      <c r="Q3029" s="27" t="n"/>
      <c r="R3029" s="27" t="n"/>
      <c r="S3029" s="27" t="n"/>
      <c r="T3029" s="27" t="n"/>
    </row>
    <row r="3030" ht="13.8" customFormat="1" customHeight="1" s="70">
      <c r="M3030" s="27" t="n"/>
      <c r="N3030" s="27" t="n"/>
      <c r="O3030" s="27" t="n"/>
      <c r="P3030" s="27" t="n"/>
      <c r="Q3030" s="27" t="n"/>
      <c r="R3030" s="27" t="n"/>
      <c r="S3030" s="27" t="n"/>
      <c r="T3030" s="27" t="n"/>
    </row>
    <row r="3031" ht="13.8" customFormat="1" customHeight="1" s="70">
      <c r="M3031" s="27" t="n"/>
      <c r="N3031" s="27" t="n"/>
      <c r="O3031" s="27" t="n"/>
      <c r="P3031" s="27" t="n"/>
      <c r="Q3031" s="27" t="n"/>
      <c r="R3031" s="27" t="n"/>
      <c r="S3031" s="27" t="n"/>
      <c r="T3031" s="27" t="n"/>
    </row>
    <row r="3032" ht="13.8" customFormat="1" customHeight="1" s="70">
      <c r="M3032" s="27" t="n"/>
      <c r="N3032" s="27" t="n"/>
      <c r="O3032" s="27" t="n"/>
      <c r="P3032" s="27" t="n"/>
      <c r="Q3032" s="27" t="n"/>
      <c r="R3032" s="27" t="n"/>
      <c r="S3032" s="27" t="n"/>
      <c r="T3032" s="27" t="n"/>
    </row>
    <row r="3033" ht="13.8" customFormat="1" customHeight="1" s="70">
      <c r="M3033" s="27" t="n"/>
      <c r="N3033" s="27" t="n"/>
      <c r="O3033" s="27" t="n"/>
      <c r="P3033" s="27" t="n"/>
      <c r="Q3033" s="27" t="n"/>
      <c r="R3033" s="27" t="n"/>
      <c r="S3033" s="27" t="n"/>
      <c r="T3033" s="27" t="n"/>
    </row>
    <row r="3034" ht="13.8" customFormat="1" customHeight="1" s="70">
      <c r="M3034" s="27" t="n"/>
      <c r="N3034" s="27" t="n"/>
      <c r="O3034" s="27" t="n"/>
      <c r="P3034" s="27" t="n"/>
      <c r="Q3034" s="27" t="n"/>
      <c r="R3034" s="27" t="n"/>
      <c r="S3034" s="27" t="n"/>
      <c r="T3034" s="27" t="n"/>
    </row>
    <row r="3035" ht="13.8" customFormat="1" customHeight="1" s="70">
      <c r="M3035" s="27" t="n"/>
      <c r="N3035" s="27" t="n"/>
      <c r="O3035" s="27" t="n"/>
      <c r="P3035" s="27" t="n"/>
      <c r="Q3035" s="27" t="n"/>
      <c r="R3035" s="27" t="n"/>
      <c r="S3035" s="27" t="n"/>
      <c r="T3035" s="27" t="n"/>
    </row>
    <row r="3036" ht="13.8" customFormat="1" customHeight="1" s="70">
      <c r="M3036" s="27" t="n"/>
      <c r="N3036" s="27" t="n"/>
      <c r="O3036" s="27" t="n"/>
      <c r="P3036" s="27" t="n"/>
      <c r="Q3036" s="27" t="n"/>
      <c r="R3036" s="27" t="n"/>
      <c r="S3036" s="27" t="n"/>
      <c r="T3036" s="27" t="n"/>
    </row>
    <row r="3037" ht="13.8" customFormat="1" customHeight="1" s="70">
      <c r="M3037" s="27" t="n"/>
      <c r="N3037" s="27" t="n"/>
      <c r="O3037" s="27" t="n"/>
      <c r="P3037" s="27" t="n"/>
      <c r="Q3037" s="27" t="n"/>
      <c r="R3037" s="27" t="n"/>
      <c r="S3037" s="27" t="n"/>
      <c r="T3037" s="27" t="n"/>
    </row>
    <row r="3038" ht="13.8" customFormat="1" customHeight="1" s="70">
      <c r="M3038" s="27" t="n"/>
      <c r="N3038" s="27" t="n"/>
      <c r="O3038" s="27" t="n"/>
      <c r="P3038" s="27" t="n"/>
      <c r="Q3038" s="27" t="n"/>
      <c r="R3038" s="27" t="n"/>
      <c r="S3038" s="27" t="n"/>
      <c r="T3038" s="27" t="n"/>
    </row>
    <row r="3039" ht="13.8" customFormat="1" customHeight="1" s="70">
      <c r="M3039" s="27" t="n"/>
      <c r="N3039" s="27" t="n"/>
      <c r="O3039" s="27" t="n"/>
      <c r="P3039" s="27" t="n"/>
      <c r="Q3039" s="27" t="n"/>
      <c r="R3039" s="27" t="n"/>
      <c r="S3039" s="27" t="n"/>
      <c r="T3039" s="27" t="n"/>
    </row>
    <row r="3040" ht="13.8" customFormat="1" customHeight="1" s="70">
      <c r="M3040" s="27" t="n"/>
      <c r="N3040" s="27" t="n"/>
      <c r="O3040" s="27" t="n"/>
      <c r="P3040" s="27" t="n"/>
      <c r="Q3040" s="27" t="n"/>
      <c r="R3040" s="27" t="n"/>
      <c r="S3040" s="27" t="n"/>
      <c r="T3040" s="27" t="n"/>
    </row>
    <row r="3041" ht="13.8" customFormat="1" customHeight="1" s="70">
      <c r="M3041" s="27" t="n"/>
      <c r="N3041" s="27" t="n"/>
      <c r="O3041" s="27" t="n"/>
      <c r="P3041" s="27" t="n"/>
      <c r="Q3041" s="27" t="n"/>
      <c r="R3041" s="27" t="n"/>
      <c r="S3041" s="27" t="n"/>
      <c r="T3041" s="27" t="n"/>
    </row>
    <row r="3042" ht="13.8" customFormat="1" customHeight="1" s="70">
      <c r="M3042" s="27" t="n"/>
      <c r="N3042" s="27" t="n"/>
      <c r="O3042" s="27" t="n"/>
      <c r="P3042" s="27" t="n"/>
      <c r="Q3042" s="27" t="n"/>
      <c r="R3042" s="27" t="n"/>
      <c r="S3042" s="27" t="n"/>
      <c r="T3042" s="27" t="n"/>
    </row>
    <row r="3043" ht="13.8" customFormat="1" customHeight="1" s="70">
      <c r="M3043" s="27" t="n"/>
      <c r="N3043" s="27" t="n"/>
      <c r="O3043" s="27" t="n"/>
      <c r="P3043" s="27" t="n"/>
      <c r="Q3043" s="27" t="n"/>
      <c r="R3043" s="27" t="n"/>
      <c r="S3043" s="27" t="n"/>
      <c r="T3043" s="27" t="n"/>
    </row>
    <row r="3044" ht="13.8" customFormat="1" customHeight="1" s="70">
      <c r="M3044" s="27" t="n"/>
      <c r="N3044" s="27" t="n"/>
      <c r="O3044" s="27" t="n"/>
      <c r="P3044" s="27" t="n"/>
      <c r="Q3044" s="27" t="n"/>
      <c r="R3044" s="27" t="n"/>
      <c r="S3044" s="27" t="n"/>
      <c r="T3044" s="27" t="n"/>
    </row>
    <row r="3045" ht="13.8" customFormat="1" customHeight="1" s="70">
      <c r="M3045" s="27" t="n"/>
      <c r="N3045" s="27" t="n"/>
      <c r="O3045" s="27" t="n"/>
      <c r="P3045" s="27" t="n"/>
      <c r="Q3045" s="27" t="n"/>
      <c r="R3045" s="27" t="n"/>
      <c r="S3045" s="27" t="n"/>
      <c r="T3045" s="27" t="n"/>
    </row>
    <row r="3046" ht="13.8" customFormat="1" customHeight="1" s="70">
      <c r="M3046" s="27" t="n"/>
      <c r="N3046" s="27" t="n"/>
      <c r="O3046" s="27" t="n"/>
      <c r="P3046" s="27" t="n"/>
      <c r="Q3046" s="27" t="n"/>
      <c r="R3046" s="27" t="n"/>
      <c r="S3046" s="27" t="n"/>
      <c r="T3046" s="27" t="n"/>
    </row>
    <row r="3047" ht="13.8" customFormat="1" customHeight="1" s="70">
      <c r="M3047" s="27" t="n"/>
      <c r="N3047" s="27" t="n"/>
      <c r="O3047" s="27" t="n"/>
      <c r="P3047" s="27" t="n"/>
      <c r="Q3047" s="27" t="n"/>
      <c r="R3047" s="27" t="n"/>
      <c r="S3047" s="27" t="n"/>
      <c r="T3047" s="27" t="n"/>
    </row>
    <row r="3048" ht="13.8" customFormat="1" customHeight="1" s="70">
      <c r="M3048" s="27" t="n"/>
      <c r="N3048" s="27" t="n"/>
      <c r="O3048" s="27" t="n"/>
      <c r="P3048" s="27" t="n"/>
      <c r="Q3048" s="27" t="n"/>
      <c r="R3048" s="27" t="n"/>
      <c r="S3048" s="27" t="n"/>
      <c r="T3048" s="27" t="n"/>
    </row>
    <row r="3049" ht="13.8" customFormat="1" customHeight="1" s="70">
      <c r="M3049" s="27" t="n"/>
      <c r="N3049" s="27" t="n"/>
      <c r="O3049" s="27" t="n"/>
      <c r="P3049" s="27" t="n"/>
      <c r="Q3049" s="27" t="n"/>
      <c r="R3049" s="27" t="n"/>
      <c r="S3049" s="27" t="n"/>
      <c r="T3049" s="27" t="n"/>
    </row>
    <row r="3050" ht="13.8" customFormat="1" customHeight="1" s="70">
      <c r="M3050" s="27" t="n"/>
      <c r="N3050" s="27" t="n"/>
      <c r="O3050" s="27" t="n"/>
      <c r="P3050" s="27" t="n"/>
      <c r="Q3050" s="27" t="n"/>
      <c r="R3050" s="27" t="n"/>
      <c r="S3050" s="27" t="n"/>
      <c r="T3050" s="27" t="n"/>
    </row>
    <row r="3051" ht="13.8" customFormat="1" customHeight="1" s="70">
      <c r="M3051" s="27" t="n"/>
      <c r="N3051" s="27" t="n"/>
      <c r="O3051" s="27" t="n"/>
      <c r="P3051" s="27" t="n"/>
      <c r="Q3051" s="27" t="n"/>
      <c r="R3051" s="27" t="n"/>
      <c r="S3051" s="27" t="n"/>
      <c r="T3051" s="27" t="n"/>
    </row>
    <row r="3052" ht="13.8" customFormat="1" customHeight="1" s="70">
      <c r="M3052" s="27" t="n"/>
      <c r="N3052" s="27" t="n"/>
      <c r="O3052" s="27" t="n"/>
      <c r="P3052" s="27" t="n"/>
      <c r="Q3052" s="27" t="n"/>
      <c r="R3052" s="27" t="n"/>
      <c r="S3052" s="27" t="n"/>
      <c r="T3052" s="27" t="n"/>
    </row>
    <row r="3053" ht="13.8" customFormat="1" customHeight="1" s="70">
      <c r="M3053" s="27" t="n"/>
      <c r="N3053" s="27" t="n"/>
      <c r="O3053" s="27" t="n"/>
      <c r="P3053" s="27" t="n"/>
      <c r="Q3053" s="27" t="n"/>
      <c r="R3053" s="27" t="n"/>
      <c r="S3053" s="27" t="n"/>
      <c r="T3053" s="27" t="n"/>
    </row>
    <row r="3054" ht="13.8" customFormat="1" customHeight="1" s="70">
      <c r="M3054" s="27" t="n"/>
      <c r="N3054" s="27" t="n"/>
      <c r="O3054" s="27" t="n"/>
      <c r="P3054" s="27" t="n"/>
      <c r="Q3054" s="27" t="n"/>
      <c r="R3054" s="27" t="n"/>
      <c r="S3054" s="27" t="n"/>
      <c r="T3054" s="27" t="n"/>
    </row>
    <row r="3055" ht="13.8" customFormat="1" customHeight="1" s="70">
      <c r="M3055" s="27" t="n"/>
      <c r="N3055" s="27" t="n"/>
      <c r="O3055" s="27" t="n"/>
      <c r="P3055" s="27" t="n"/>
      <c r="Q3055" s="27" t="n"/>
      <c r="R3055" s="27" t="n"/>
      <c r="S3055" s="27" t="n"/>
      <c r="T3055" s="27" t="n"/>
    </row>
    <row r="3056" ht="13.8" customFormat="1" customHeight="1" s="70">
      <c r="M3056" s="27" t="n"/>
      <c r="N3056" s="27" t="n"/>
      <c r="O3056" s="27" t="n"/>
      <c r="P3056" s="27" t="n"/>
      <c r="Q3056" s="27" t="n"/>
      <c r="R3056" s="27" t="n"/>
      <c r="S3056" s="27" t="n"/>
      <c r="T3056" s="27" t="n"/>
    </row>
    <row r="3057" ht="13.8" customFormat="1" customHeight="1" s="70">
      <c r="M3057" s="27" t="n"/>
      <c r="N3057" s="27" t="n"/>
      <c r="O3057" s="27" t="n"/>
      <c r="P3057" s="27" t="n"/>
      <c r="Q3057" s="27" t="n"/>
      <c r="R3057" s="27" t="n"/>
      <c r="S3057" s="27" t="n"/>
      <c r="T3057" s="27" t="n"/>
    </row>
    <row r="3058" ht="13.8" customFormat="1" customHeight="1" s="70">
      <c r="M3058" s="27" t="n"/>
      <c r="N3058" s="27" t="n"/>
      <c r="O3058" s="27" t="n"/>
      <c r="P3058" s="27" t="n"/>
      <c r="Q3058" s="27" t="n"/>
      <c r="R3058" s="27" t="n"/>
      <c r="S3058" s="27" t="n"/>
      <c r="T3058" s="27" t="n"/>
    </row>
    <row r="3059" ht="13.8" customFormat="1" customHeight="1" s="70">
      <c r="M3059" s="27" t="n"/>
      <c r="N3059" s="27" t="n"/>
      <c r="O3059" s="27" t="n"/>
      <c r="P3059" s="27" t="n"/>
      <c r="Q3059" s="27" t="n"/>
      <c r="R3059" s="27" t="n"/>
      <c r="S3059" s="27" t="n"/>
      <c r="T3059" s="27" t="n"/>
    </row>
    <row r="3060" ht="13.8" customFormat="1" customHeight="1" s="70">
      <c r="M3060" s="27" t="n"/>
      <c r="N3060" s="27" t="n"/>
      <c r="O3060" s="27" t="n"/>
      <c r="P3060" s="27" t="n"/>
      <c r="Q3060" s="27" t="n"/>
      <c r="R3060" s="27" t="n"/>
      <c r="S3060" s="27" t="n"/>
      <c r="T3060" s="27" t="n"/>
    </row>
    <row r="3061" ht="13.8" customFormat="1" customHeight="1" s="70">
      <c r="M3061" s="27" t="n"/>
      <c r="N3061" s="27" t="n"/>
      <c r="O3061" s="27" t="n"/>
      <c r="P3061" s="27" t="n"/>
      <c r="Q3061" s="27" t="n"/>
      <c r="R3061" s="27" t="n"/>
      <c r="S3061" s="27" t="n"/>
      <c r="T3061" s="27" t="n"/>
    </row>
    <row r="3062" ht="13.8" customFormat="1" customHeight="1" s="70">
      <c r="M3062" s="27" t="n"/>
      <c r="N3062" s="27" t="n"/>
      <c r="O3062" s="27" t="n"/>
      <c r="P3062" s="27" t="n"/>
      <c r="Q3062" s="27" t="n"/>
      <c r="R3062" s="27" t="n"/>
      <c r="S3062" s="27" t="n"/>
      <c r="T3062" s="27" t="n"/>
    </row>
    <row r="3063" ht="13.8" customFormat="1" customHeight="1" s="70">
      <c r="M3063" s="27" t="n"/>
      <c r="N3063" s="27" t="n"/>
      <c r="O3063" s="27" t="n"/>
      <c r="P3063" s="27" t="n"/>
      <c r="Q3063" s="27" t="n"/>
      <c r="R3063" s="27" t="n"/>
      <c r="S3063" s="27" t="n"/>
      <c r="T3063" s="27" t="n"/>
    </row>
    <row r="3064" ht="13.8" customFormat="1" customHeight="1" s="70">
      <c r="M3064" s="27" t="n"/>
      <c r="N3064" s="27" t="n"/>
      <c r="O3064" s="27" t="n"/>
      <c r="P3064" s="27" t="n"/>
      <c r="Q3064" s="27" t="n"/>
      <c r="R3064" s="27" t="n"/>
      <c r="S3064" s="27" t="n"/>
      <c r="T3064" s="27" t="n"/>
    </row>
    <row r="3065" ht="13.8" customFormat="1" customHeight="1" s="70">
      <c r="M3065" s="27" t="n"/>
      <c r="N3065" s="27" t="n"/>
      <c r="O3065" s="27" t="n"/>
      <c r="P3065" s="27" t="n"/>
      <c r="Q3065" s="27" t="n"/>
      <c r="R3065" s="27" t="n"/>
      <c r="S3065" s="27" t="n"/>
      <c r="T3065" s="27" t="n"/>
    </row>
    <row r="3066" ht="13.8" customFormat="1" customHeight="1" s="70">
      <c r="M3066" s="27" t="n"/>
      <c r="N3066" s="27" t="n"/>
      <c r="O3066" s="27" t="n"/>
      <c r="P3066" s="27" t="n"/>
      <c r="Q3066" s="27" t="n"/>
      <c r="R3066" s="27" t="n"/>
      <c r="S3066" s="27" t="n"/>
      <c r="T3066" s="27" t="n"/>
    </row>
    <row r="3067" ht="13.8" customFormat="1" customHeight="1" s="70">
      <c r="M3067" s="27" t="n"/>
      <c r="N3067" s="27" t="n"/>
      <c r="O3067" s="27" t="n"/>
      <c r="P3067" s="27" t="n"/>
      <c r="Q3067" s="27" t="n"/>
      <c r="R3067" s="27" t="n"/>
      <c r="S3067" s="27" t="n"/>
      <c r="T3067" s="27" t="n"/>
    </row>
    <row r="3068" ht="13.8" customFormat="1" customHeight="1" s="70">
      <c r="M3068" s="27" t="n"/>
      <c r="N3068" s="27" t="n"/>
      <c r="O3068" s="27" t="n"/>
      <c r="P3068" s="27" t="n"/>
      <c r="Q3068" s="27" t="n"/>
      <c r="R3068" s="27" t="n"/>
      <c r="S3068" s="27" t="n"/>
      <c r="T3068" s="27" t="n"/>
    </row>
    <row r="3069" ht="13.8" customFormat="1" customHeight="1" s="70">
      <c r="M3069" s="27" t="n"/>
      <c r="N3069" s="27" t="n"/>
      <c r="O3069" s="27" t="n"/>
      <c r="P3069" s="27" t="n"/>
      <c r="Q3069" s="27" t="n"/>
      <c r="R3069" s="27" t="n"/>
      <c r="S3069" s="27" t="n"/>
      <c r="T3069" s="27" t="n"/>
    </row>
    <row r="3070" ht="13.8" customFormat="1" customHeight="1" s="70">
      <c r="M3070" s="27" t="n"/>
      <c r="N3070" s="27" t="n"/>
      <c r="O3070" s="27" t="n"/>
      <c r="P3070" s="27" t="n"/>
      <c r="Q3070" s="27" t="n"/>
      <c r="R3070" s="27" t="n"/>
      <c r="S3070" s="27" t="n"/>
      <c r="T3070" s="27" t="n"/>
    </row>
    <row r="3071" ht="13.8" customFormat="1" customHeight="1" s="70">
      <c r="M3071" s="27" t="n"/>
      <c r="N3071" s="27" t="n"/>
      <c r="O3071" s="27" t="n"/>
      <c r="P3071" s="27" t="n"/>
      <c r="Q3071" s="27" t="n"/>
      <c r="R3071" s="27" t="n"/>
      <c r="S3071" s="27" t="n"/>
      <c r="T3071" s="27" t="n"/>
    </row>
    <row r="3072" ht="13.8" customFormat="1" customHeight="1" s="70">
      <c r="M3072" s="27" t="n"/>
      <c r="N3072" s="27" t="n"/>
      <c r="O3072" s="27" t="n"/>
      <c r="P3072" s="27" t="n"/>
      <c r="Q3072" s="27" t="n"/>
      <c r="R3072" s="27" t="n"/>
      <c r="S3072" s="27" t="n"/>
      <c r="T3072" s="27" t="n"/>
    </row>
    <row r="3073" ht="13.8" customFormat="1" customHeight="1" s="70">
      <c r="M3073" s="27" t="n"/>
      <c r="N3073" s="27" t="n"/>
      <c r="O3073" s="27" t="n"/>
      <c r="P3073" s="27" t="n"/>
      <c r="Q3073" s="27" t="n"/>
      <c r="R3073" s="27" t="n"/>
      <c r="S3073" s="27" t="n"/>
      <c r="T3073" s="27" t="n"/>
    </row>
    <row r="3074" ht="13.8" customFormat="1" customHeight="1" s="70">
      <c r="M3074" s="27" t="n"/>
      <c r="N3074" s="27" t="n"/>
      <c r="O3074" s="27" t="n"/>
      <c r="P3074" s="27" t="n"/>
      <c r="Q3074" s="27" t="n"/>
      <c r="R3074" s="27" t="n"/>
      <c r="S3074" s="27" t="n"/>
      <c r="T3074" s="27" t="n"/>
    </row>
    <row r="3075" ht="13.8" customFormat="1" customHeight="1" s="70">
      <c r="M3075" s="27" t="n"/>
      <c r="N3075" s="27" t="n"/>
      <c r="O3075" s="27" t="n"/>
      <c r="P3075" s="27" t="n"/>
      <c r="Q3075" s="27" t="n"/>
      <c r="R3075" s="27" t="n"/>
      <c r="S3075" s="27" t="n"/>
      <c r="T3075" s="27" t="n"/>
    </row>
    <row r="3076" ht="13.8" customFormat="1" customHeight="1" s="70">
      <c r="M3076" s="27" t="n"/>
      <c r="N3076" s="27" t="n"/>
      <c r="O3076" s="27" t="n"/>
      <c r="P3076" s="27" t="n"/>
      <c r="Q3076" s="27" t="n"/>
      <c r="R3076" s="27" t="n"/>
      <c r="S3076" s="27" t="n"/>
      <c r="T3076" s="27" t="n"/>
    </row>
    <row r="3077" ht="13.8" customFormat="1" customHeight="1" s="70">
      <c r="M3077" s="27" t="n"/>
      <c r="N3077" s="27" t="n"/>
      <c r="O3077" s="27" t="n"/>
      <c r="P3077" s="27" t="n"/>
      <c r="Q3077" s="27" t="n"/>
      <c r="R3077" s="27" t="n"/>
      <c r="S3077" s="27" t="n"/>
      <c r="T3077" s="27" t="n"/>
    </row>
    <row r="3078" ht="13.8" customFormat="1" customHeight="1" s="70">
      <c r="M3078" s="27" t="n"/>
      <c r="N3078" s="27" t="n"/>
      <c r="O3078" s="27" t="n"/>
      <c r="P3078" s="27" t="n"/>
      <c r="Q3078" s="27" t="n"/>
      <c r="R3078" s="27" t="n"/>
      <c r="S3078" s="27" t="n"/>
      <c r="T3078" s="27" t="n"/>
    </row>
    <row r="3079" ht="13.8" customFormat="1" customHeight="1" s="70">
      <c r="M3079" s="27" t="n"/>
      <c r="N3079" s="27" t="n"/>
      <c r="O3079" s="27" t="n"/>
      <c r="P3079" s="27" t="n"/>
      <c r="Q3079" s="27" t="n"/>
      <c r="R3079" s="27" t="n"/>
      <c r="S3079" s="27" t="n"/>
      <c r="T3079" s="27" t="n"/>
    </row>
    <row r="3080" ht="13.8" customFormat="1" customHeight="1" s="70">
      <c r="M3080" s="27" t="n"/>
      <c r="N3080" s="27" t="n"/>
      <c r="O3080" s="27" t="n"/>
      <c r="P3080" s="27" t="n"/>
      <c r="Q3080" s="27" t="n"/>
      <c r="R3080" s="27" t="n"/>
      <c r="S3080" s="27" t="n"/>
      <c r="T3080" s="27" t="n"/>
    </row>
    <row r="3081" ht="13.8" customFormat="1" customHeight="1" s="70">
      <c r="M3081" s="27" t="n"/>
      <c r="N3081" s="27" t="n"/>
      <c r="O3081" s="27" t="n"/>
      <c r="P3081" s="27" t="n"/>
      <c r="Q3081" s="27" t="n"/>
      <c r="R3081" s="27" t="n"/>
      <c r="S3081" s="27" t="n"/>
      <c r="T3081" s="27" t="n"/>
    </row>
    <row r="3082" ht="13.8" customFormat="1" customHeight="1" s="70">
      <c r="M3082" s="27" t="n"/>
      <c r="N3082" s="27" t="n"/>
      <c r="O3082" s="27" t="n"/>
      <c r="P3082" s="27" t="n"/>
      <c r="Q3082" s="27" t="n"/>
      <c r="R3082" s="27" t="n"/>
      <c r="S3082" s="27" t="n"/>
      <c r="T3082" s="27" t="n"/>
    </row>
    <row r="3083" ht="13.8" customFormat="1" customHeight="1" s="70">
      <c r="M3083" s="27" t="n"/>
      <c r="N3083" s="27" t="n"/>
      <c r="O3083" s="27" t="n"/>
      <c r="P3083" s="27" t="n"/>
      <c r="Q3083" s="27" t="n"/>
      <c r="R3083" s="27" t="n"/>
      <c r="S3083" s="27" t="n"/>
      <c r="T3083" s="27" t="n"/>
    </row>
    <row r="3084" ht="13.8" customFormat="1" customHeight="1" s="70">
      <c r="M3084" s="27" t="n"/>
      <c r="N3084" s="27" t="n"/>
      <c r="O3084" s="27" t="n"/>
      <c r="P3084" s="27" t="n"/>
      <c r="Q3084" s="27" t="n"/>
      <c r="R3084" s="27" t="n"/>
      <c r="S3084" s="27" t="n"/>
      <c r="T3084" s="27" t="n"/>
    </row>
    <row r="3085" ht="13.8" customFormat="1" customHeight="1" s="70">
      <c r="M3085" s="27" t="n"/>
      <c r="N3085" s="27" t="n"/>
      <c r="O3085" s="27" t="n"/>
      <c r="P3085" s="27" t="n"/>
      <c r="Q3085" s="27" t="n"/>
      <c r="R3085" s="27" t="n"/>
      <c r="S3085" s="27" t="n"/>
      <c r="T3085" s="27" t="n"/>
    </row>
    <row r="3086" ht="13.8" customFormat="1" customHeight="1" s="70">
      <c r="M3086" s="27" t="n"/>
      <c r="N3086" s="27" t="n"/>
      <c r="O3086" s="27" t="n"/>
      <c r="P3086" s="27" t="n"/>
      <c r="Q3086" s="27" t="n"/>
      <c r="R3086" s="27" t="n"/>
      <c r="S3086" s="27" t="n"/>
      <c r="T3086" s="27" t="n"/>
    </row>
    <row r="3087" ht="13.8" customFormat="1" customHeight="1" s="70">
      <c r="M3087" s="27" t="n"/>
      <c r="N3087" s="27" t="n"/>
      <c r="O3087" s="27" t="n"/>
      <c r="P3087" s="27" t="n"/>
      <c r="Q3087" s="27" t="n"/>
      <c r="R3087" s="27" t="n"/>
      <c r="S3087" s="27" t="n"/>
      <c r="T3087" s="27" t="n"/>
    </row>
    <row r="3088" ht="13.8" customFormat="1" customHeight="1" s="70">
      <c r="M3088" s="27" t="n"/>
      <c r="N3088" s="27" t="n"/>
      <c r="O3088" s="27" t="n"/>
      <c r="P3088" s="27" t="n"/>
      <c r="Q3088" s="27" t="n"/>
      <c r="R3088" s="27" t="n"/>
      <c r="S3088" s="27" t="n"/>
      <c r="T3088" s="27" t="n"/>
    </row>
    <row r="3089" ht="13.8" customFormat="1" customHeight="1" s="70">
      <c r="M3089" s="27" t="n"/>
      <c r="N3089" s="27" t="n"/>
      <c r="O3089" s="27" t="n"/>
      <c r="P3089" s="27" t="n"/>
      <c r="Q3089" s="27" t="n"/>
      <c r="R3089" s="27" t="n"/>
      <c r="S3089" s="27" t="n"/>
      <c r="T3089" s="27" t="n"/>
    </row>
    <row r="3090" ht="13.8" customFormat="1" customHeight="1" s="70">
      <c r="M3090" s="27" t="n"/>
      <c r="N3090" s="27" t="n"/>
      <c r="O3090" s="27" t="n"/>
      <c r="P3090" s="27" t="n"/>
      <c r="Q3090" s="27" t="n"/>
      <c r="R3090" s="27" t="n"/>
      <c r="S3090" s="27" t="n"/>
      <c r="T3090" s="27" t="n"/>
    </row>
    <row r="3091" ht="13.8" customFormat="1" customHeight="1" s="70">
      <c r="M3091" s="27" t="n"/>
      <c r="N3091" s="27" t="n"/>
      <c r="O3091" s="27" t="n"/>
      <c r="P3091" s="27" t="n"/>
      <c r="Q3091" s="27" t="n"/>
      <c r="R3091" s="27" t="n"/>
      <c r="S3091" s="27" t="n"/>
      <c r="T3091" s="27" t="n"/>
    </row>
    <row r="3092" ht="13.8" customFormat="1" customHeight="1" s="70">
      <c r="M3092" s="27" t="n"/>
      <c r="N3092" s="27" t="n"/>
      <c r="O3092" s="27" t="n"/>
      <c r="P3092" s="27" t="n"/>
      <c r="Q3092" s="27" t="n"/>
      <c r="R3092" s="27" t="n"/>
      <c r="S3092" s="27" t="n"/>
      <c r="T3092" s="27" t="n"/>
    </row>
    <row r="3093" ht="13.8" customFormat="1" customHeight="1" s="70">
      <c r="M3093" s="27" t="n"/>
      <c r="N3093" s="27" t="n"/>
      <c r="O3093" s="27" t="n"/>
      <c r="P3093" s="27" t="n"/>
      <c r="Q3093" s="27" t="n"/>
      <c r="R3093" s="27" t="n"/>
      <c r="S3093" s="27" t="n"/>
      <c r="T3093" s="27" t="n"/>
    </row>
    <row r="3094" ht="13.8" customFormat="1" customHeight="1" s="70">
      <c r="M3094" s="27" t="n"/>
      <c r="N3094" s="27" t="n"/>
      <c r="O3094" s="27" t="n"/>
      <c r="P3094" s="27" t="n"/>
      <c r="Q3094" s="27" t="n"/>
      <c r="R3094" s="27" t="n"/>
      <c r="S3094" s="27" t="n"/>
      <c r="T3094" s="27" t="n"/>
    </row>
    <row r="3095" ht="13.8" customFormat="1" customHeight="1" s="70">
      <c r="M3095" s="27" t="n"/>
      <c r="N3095" s="27" t="n"/>
      <c r="O3095" s="27" t="n"/>
      <c r="P3095" s="27" t="n"/>
      <c r="Q3095" s="27" t="n"/>
      <c r="R3095" s="27" t="n"/>
      <c r="S3095" s="27" t="n"/>
      <c r="T3095" s="27" t="n"/>
    </row>
    <row r="3096" ht="13.8" customFormat="1" customHeight="1" s="70">
      <c r="M3096" s="27" t="n"/>
      <c r="N3096" s="27" t="n"/>
      <c r="O3096" s="27" t="n"/>
      <c r="P3096" s="27" t="n"/>
      <c r="Q3096" s="27" t="n"/>
      <c r="R3096" s="27" t="n"/>
      <c r="S3096" s="27" t="n"/>
      <c r="T3096" s="27" t="n"/>
    </row>
    <row r="3097" ht="13.8" customFormat="1" customHeight="1" s="70">
      <c r="M3097" s="27" t="n"/>
      <c r="N3097" s="27" t="n"/>
      <c r="O3097" s="27" t="n"/>
      <c r="P3097" s="27" t="n"/>
      <c r="Q3097" s="27" t="n"/>
      <c r="R3097" s="27" t="n"/>
      <c r="S3097" s="27" t="n"/>
      <c r="T3097" s="27" t="n"/>
    </row>
    <row r="3098" ht="13.8" customFormat="1" customHeight="1" s="70">
      <c r="M3098" s="27" t="n"/>
      <c r="N3098" s="27" t="n"/>
      <c r="O3098" s="27" t="n"/>
      <c r="P3098" s="27" t="n"/>
      <c r="Q3098" s="27" t="n"/>
      <c r="R3098" s="27" t="n"/>
      <c r="S3098" s="27" t="n"/>
      <c r="T3098" s="27" t="n"/>
    </row>
    <row r="3099" ht="13.8" customFormat="1" customHeight="1" s="70">
      <c r="M3099" s="27" t="n"/>
      <c r="N3099" s="27" t="n"/>
      <c r="O3099" s="27" t="n"/>
      <c r="P3099" s="27" t="n"/>
      <c r="Q3099" s="27" t="n"/>
      <c r="R3099" s="27" t="n"/>
      <c r="S3099" s="27" t="n"/>
      <c r="T3099" s="27" t="n"/>
    </row>
    <row r="3100" ht="13.8" customFormat="1" customHeight="1" s="70">
      <c r="M3100" s="27" t="n"/>
      <c r="N3100" s="27" t="n"/>
      <c r="O3100" s="27" t="n"/>
      <c r="P3100" s="27" t="n"/>
      <c r="Q3100" s="27" t="n"/>
      <c r="R3100" s="27" t="n"/>
      <c r="S3100" s="27" t="n"/>
      <c r="T3100" s="27" t="n"/>
    </row>
    <row r="3101" ht="13.8" customFormat="1" customHeight="1" s="70">
      <c r="M3101" s="27" t="n"/>
      <c r="N3101" s="27" t="n"/>
      <c r="O3101" s="27" t="n"/>
      <c r="P3101" s="27" t="n"/>
      <c r="Q3101" s="27" t="n"/>
      <c r="R3101" s="27" t="n"/>
      <c r="S3101" s="27" t="n"/>
      <c r="T3101" s="27" t="n"/>
    </row>
    <row r="3102" ht="13.8" customFormat="1" customHeight="1" s="70">
      <c r="M3102" s="27" t="n"/>
      <c r="N3102" s="27" t="n"/>
      <c r="O3102" s="27" t="n"/>
      <c r="P3102" s="27" t="n"/>
      <c r="Q3102" s="27" t="n"/>
      <c r="R3102" s="27" t="n"/>
      <c r="S3102" s="27" t="n"/>
      <c r="T3102" s="27" t="n"/>
    </row>
    <row r="3103" ht="13.8" customFormat="1" customHeight="1" s="70">
      <c r="M3103" s="27" t="n"/>
      <c r="N3103" s="27" t="n"/>
      <c r="O3103" s="27" t="n"/>
      <c r="P3103" s="27" t="n"/>
      <c r="Q3103" s="27" t="n"/>
      <c r="R3103" s="27" t="n"/>
      <c r="S3103" s="27" t="n"/>
      <c r="T3103" s="27" t="n"/>
    </row>
    <row r="3104" ht="13.8" customFormat="1" customHeight="1" s="70">
      <c r="M3104" s="27" t="n"/>
      <c r="N3104" s="27" t="n"/>
      <c r="O3104" s="27" t="n"/>
      <c r="P3104" s="27" t="n"/>
      <c r="Q3104" s="27" t="n"/>
      <c r="R3104" s="27" t="n"/>
      <c r="S3104" s="27" t="n"/>
      <c r="T3104" s="27" t="n"/>
    </row>
    <row r="3105" ht="13.8" customFormat="1" customHeight="1" s="70">
      <c r="M3105" s="27" t="n"/>
      <c r="N3105" s="27" t="n"/>
      <c r="O3105" s="27" t="n"/>
      <c r="P3105" s="27" t="n"/>
      <c r="Q3105" s="27" t="n"/>
      <c r="R3105" s="27" t="n"/>
      <c r="S3105" s="27" t="n"/>
      <c r="T3105" s="27" t="n"/>
    </row>
    <row r="3106" ht="13.8" customFormat="1" customHeight="1" s="70">
      <c r="M3106" s="27" t="n"/>
      <c r="N3106" s="27" t="n"/>
      <c r="O3106" s="27" t="n"/>
      <c r="P3106" s="27" t="n"/>
      <c r="Q3106" s="27" t="n"/>
      <c r="R3106" s="27" t="n"/>
      <c r="S3106" s="27" t="n"/>
      <c r="T3106" s="27" t="n"/>
    </row>
    <row r="3107" ht="13.8" customFormat="1" customHeight="1" s="70">
      <c r="M3107" s="27" t="n"/>
      <c r="N3107" s="27" t="n"/>
      <c r="O3107" s="27" t="n"/>
      <c r="P3107" s="27" t="n"/>
      <c r="Q3107" s="27" t="n"/>
      <c r="R3107" s="27" t="n"/>
      <c r="S3107" s="27" t="n"/>
      <c r="T3107" s="27" t="n"/>
    </row>
    <row r="3108" ht="13.8" customFormat="1" customHeight="1" s="70">
      <c r="M3108" s="27" t="n"/>
      <c r="N3108" s="27" t="n"/>
      <c r="O3108" s="27" t="n"/>
      <c r="P3108" s="27" t="n"/>
      <c r="Q3108" s="27" t="n"/>
      <c r="R3108" s="27" t="n"/>
      <c r="S3108" s="27" t="n"/>
      <c r="T3108" s="27" t="n"/>
    </row>
    <row r="3109" ht="13.8" customFormat="1" customHeight="1" s="70">
      <c r="M3109" s="27" t="n"/>
      <c r="N3109" s="27" t="n"/>
      <c r="O3109" s="27" t="n"/>
      <c r="P3109" s="27" t="n"/>
      <c r="Q3109" s="27" t="n"/>
      <c r="R3109" s="27" t="n"/>
      <c r="S3109" s="27" t="n"/>
      <c r="T3109" s="27" t="n"/>
    </row>
    <row r="3110" ht="13.8" customFormat="1" customHeight="1" s="70">
      <c r="M3110" s="27" t="n"/>
      <c r="N3110" s="27" t="n"/>
      <c r="O3110" s="27" t="n"/>
      <c r="P3110" s="27" t="n"/>
      <c r="Q3110" s="27" t="n"/>
      <c r="R3110" s="27" t="n"/>
      <c r="S3110" s="27" t="n"/>
      <c r="T3110" s="27" t="n"/>
    </row>
    <row r="3111" ht="13.8" customFormat="1" customHeight="1" s="70">
      <c r="M3111" s="27" t="n"/>
      <c r="N3111" s="27" t="n"/>
      <c r="O3111" s="27" t="n"/>
      <c r="P3111" s="27" t="n"/>
      <c r="Q3111" s="27" t="n"/>
      <c r="R3111" s="27" t="n"/>
      <c r="S3111" s="27" t="n"/>
      <c r="T3111" s="27" t="n"/>
    </row>
    <row r="3112" ht="13.8" customFormat="1" customHeight="1" s="70">
      <c r="M3112" s="27" t="n"/>
      <c r="N3112" s="27" t="n"/>
      <c r="O3112" s="27" t="n"/>
      <c r="P3112" s="27" t="n"/>
      <c r="Q3112" s="27" t="n"/>
      <c r="R3112" s="27" t="n"/>
      <c r="S3112" s="27" t="n"/>
      <c r="T3112" s="27" t="n"/>
    </row>
    <row r="3113" ht="13.8" customFormat="1" customHeight="1" s="70">
      <c r="M3113" s="27" t="n"/>
      <c r="N3113" s="27" t="n"/>
      <c r="O3113" s="27" t="n"/>
      <c r="P3113" s="27" t="n"/>
      <c r="Q3113" s="27" t="n"/>
      <c r="R3113" s="27" t="n"/>
      <c r="S3113" s="27" t="n"/>
      <c r="T3113" s="27" t="n"/>
    </row>
    <row r="3114" ht="13.8" customFormat="1" customHeight="1" s="70">
      <c r="M3114" s="27" t="n"/>
      <c r="N3114" s="27" t="n"/>
      <c r="O3114" s="27" t="n"/>
      <c r="P3114" s="27" t="n"/>
      <c r="Q3114" s="27" t="n"/>
      <c r="R3114" s="27" t="n"/>
      <c r="S3114" s="27" t="n"/>
      <c r="T3114" s="27" t="n"/>
    </row>
    <row r="3115" ht="13.8" customFormat="1" customHeight="1" s="70">
      <c r="M3115" s="27" t="n"/>
      <c r="N3115" s="27" t="n"/>
      <c r="O3115" s="27" t="n"/>
      <c r="P3115" s="27" t="n"/>
      <c r="Q3115" s="27" t="n"/>
      <c r="R3115" s="27" t="n"/>
      <c r="S3115" s="27" t="n"/>
      <c r="T3115" s="27" t="n"/>
    </row>
    <row r="3116" ht="13.8" customFormat="1" customHeight="1" s="70">
      <c r="M3116" s="27" t="n"/>
      <c r="N3116" s="27" t="n"/>
      <c r="O3116" s="27" t="n"/>
      <c r="P3116" s="27" t="n"/>
      <c r="Q3116" s="27" t="n"/>
      <c r="R3116" s="27" t="n"/>
      <c r="S3116" s="27" t="n"/>
      <c r="T3116" s="27" t="n"/>
    </row>
    <row r="3117" ht="13.8" customFormat="1" customHeight="1" s="70">
      <c r="M3117" s="27" t="n"/>
      <c r="N3117" s="27" t="n"/>
      <c r="O3117" s="27" t="n"/>
      <c r="P3117" s="27" t="n"/>
      <c r="Q3117" s="27" t="n"/>
      <c r="R3117" s="27" t="n"/>
      <c r="S3117" s="27" t="n"/>
      <c r="T3117" s="27" t="n"/>
    </row>
    <row r="3118" ht="13.8" customFormat="1" customHeight="1" s="70">
      <c r="M3118" s="27" t="n"/>
      <c r="N3118" s="27" t="n"/>
      <c r="O3118" s="27" t="n"/>
      <c r="P3118" s="27" t="n"/>
      <c r="Q3118" s="27" t="n"/>
      <c r="R3118" s="27" t="n"/>
      <c r="S3118" s="27" t="n"/>
      <c r="T3118" s="27" t="n"/>
    </row>
    <row r="3119" ht="13.8" customFormat="1" customHeight="1" s="70">
      <c r="M3119" s="27" t="n"/>
      <c r="N3119" s="27" t="n"/>
      <c r="O3119" s="27" t="n"/>
      <c r="P3119" s="27" t="n"/>
      <c r="Q3119" s="27" t="n"/>
      <c r="R3119" s="27" t="n"/>
      <c r="S3119" s="27" t="n"/>
      <c r="T3119" s="27" t="n"/>
    </row>
    <row r="3120" ht="13.8" customFormat="1" customHeight="1" s="70">
      <c r="M3120" s="27" t="n"/>
      <c r="N3120" s="27" t="n"/>
      <c r="O3120" s="27" t="n"/>
      <c r="P3120" s="27" t="n"/>
      <c r="Q3120" s="27" t="n"/>
      <c r="R3120" s="27" t="n"/>
      <c r="S3120" s="27" t="n"/>
      <c r="T3120" s="27" t="n"/>
    </row>
    <row r="3121" ht="13.8" customFormat="1" customHeight="1" s="70">
      <c r="M3121" s="27" t="n"/>
      <c r="N3121" s="27" t="n"/>
      <c r="O3121" s="27" t="n"/>
      <c r="P3121" s="27" t="n"/>
      <c r="Q3121" s="27" t="n"/>
      <c r="R3121" s="27" t="n"/>
      <c r="S3121" s="27" t="n"/>
      <c r="T3121" s="27" t="n"/>
    </row>
    <row r="3122" ht="13.8" customFormat="1" customHeight="1" s="70">
      <c r="M3122" s="27" t="n"/>
      <c r="N3122" s="27" t="n"/>
      <c r="O3122" s="27" t="n"/>
      <c r="P3122" s="27" t="n"/>
      <c r="Q3122" s="27" t="n"/>
      <c r="R3122" s="27" t="n"/>
      <c r="S3122" s="27" t="n"/>
      <c r="T3122" s="27" t="n"/>
    </row>
    <row r="3123" ht="13.8" customFormat="1" customHeight="1" s="70">
      <c r="M3123" s="27" t="n"/>
      <c r="N3123" s="27" t="n"/>
      <c r="O3123" s="27" t="n"/>
      <c r="P3123" s="27" t="n"/>
      <c r="Q3123" s="27" t="n"/>
      <c r="R3123" s="27" t="n"/>
      <c r="S3123" s="27" t="n"/>
      <c r="T3123" s="27" t="n"/>
    </row>
    <row r="3124" ht="13.8" customFormat="1" customHeight="1" s="70">
      <c r="M3124" s="27" t="n"/>
      <c r="N3124" s="27" t="n"/>
      <c r="O3124" s="27" t="n"/>
      <c r="P3124" s="27" t="n"/>
      <c r="Q3124" s="27" t="n"/>
      <c r="R3124" s="27" t="n"/>
      <c r="S3124" s="27" t="n"/>
      <c r="T3124" s="27" t="n"/>
    </row>
    <row r="3125" ht="13.8" customFormat="1" customHeight="1" s="70">
      <c r="M3125" s="27" t="n"/>
      <c r="N3125" s="27" t="n"/>
      <c r="O3125" s="27" t="n"/>
      <c r="P3125" s="27" t="n"/>
      <c r="Q3125" s="27" t="n"/>
      <c r="R3125" s="27" t="n"/>
      <c r="S3125" s="27" t="n"/>
      <c r="T3125" s="27" t="n"/>
    </row>
    <row r="3126" ht="13.8" customFormat="1" customHeight="1" s="70">
      <c r="M3126" s="27" t="n"/>
      <c r="N3126" s="27" t="n"/>
      <c r="O3126" s="27" t="n"/>
      <c r="P3126" s="27" t="n"/>
      <c r="Q3126" s="27" t="n"/>
      <c r="R3126" s="27" t="n"/>
      <c r="S3126" s="27" t="n"/>
      <c r="T3126" s="27" t="n"/>
    </row>
    <row r="3127" ht="13.8" customFormat="1" customHeight="1" s="70">
      <c r="M3127" s="27" t="n"/>
      <c r="N3127" s="27" t="n"/>
      <c r="O3127" s="27" t="n"/>
      <c r="P3127" s="27" t="n"/>
      <c r="Q3127" s="27" t="n"/>
      <c r="R3127" s="27" t="n"/>
      <c r="S3127" s="27" t="n"/>
      <c r="T3127" s="27" t="n"/>
    </row>
    <row r="3128" ht="13.8" customFormat="1" customHeight="1" s="70">
      <c r="M3128" s="27" t="n"/>
      <c r="N3128" s="27" t="n"/>
      <c r="O3128" s="27" t="n"/>
      <c r="P3128" s="27" t="n"/>
      <c r="Q3128" s="27" t="n"/>
      <c r="R3128" s="27" t="n"/>
      <c r="S3128" s="27" t="n"/>
      <c r="T3128" s="27" t="n"/>
    </row>
    <row r="3129" ht="13.8" customFormat="1" customHeight="1" s="70">
      <c r="M3129" s="27" t="n"/>
      <c r="N3129" s="27" t="n"/>
      <c r="O3129" s="27" t="n"/>
      <c r="P3129" s="27" t="n"/>
      <c r="Q3129" s="27" t="n"/>
      <c r="R3129" s="27" t="n"/>
      <c r="S3129" s="27" t="n"/>
      <c r="T3129" s="27" t="n"/>
    </row>
    <row r="3130" ht="13.8" customFormat="1" customHeight="1" s="70">
      <c r="M3130" s="27" t="n"/>
      <c r="N3130" s="27" t="n"/>
      <c r="O3130" s="27" t="n"/>
      <c r="P3130" s="27" t="n"/>
      <c r="Q3130" s="27" t="n"/>
      <c r="R3130" s="27" t="n"/>
      <c r="S3130" s="27" t="n"/>
      <c r="T3130" s="27" t="n"/>
    </row>
    <row r="3131" ht="13.8" customFormat="1" customHeight="1" s="70">
      <c r="M3131" s="27" t="n"/>
      <c r="N3131" s="27" t="n"/>
      <c r="O3131" s="27" t="n"/>
      <c r="P3131" s="27" t="n"/>
      <c r="Q3131" s="27" t="n"/>
      <c r="R3131" s="27" t="n"/>
      <c r="S3131" s="27" t="n"/>
      <c r="T3131" s="27" t="n"/>
    </row>
    <row r="3132" ht="13.8" customFormat="1" customHeight="1" s="70">
      <c r="M3132" s="27" t="n"/>
      <c r="N3132" s="27" t="n"/>
      <c r="O3132" s="27" t="n"/>
      <c r="P3132" s="27" t="n"/>
      <c r="Q3132" s="27" t="n"/>
      <c r="R3132" s="27" t="n"/>
      <c r="S3132" s="27" t="n"/>
      <c r="T3132" s="27" t="n"/>
    </row>
    <row r="3133" ht="13.8" customFormat="1" customHeight="1" s="70">
      <c r="M3133" s="27" t="n"/>
      <c r="N3133" s="27" t="n"/>
      <c r="O3133" s="27" t="n"/>
      <c r="P3133" s="27" t="n"/>
      <c r="Q3133" s="27" t="n"/>
      <c r="R3133" s="27" t="n"/>
      <c r="S3133" s="27" t="n"/>
      <c r="T3133" s="27" t="n"/>
    </row>
    <row r="3134" ht="13.8" customFormat="1" customHeight="1" s="70">
      <c r="M3134" s="27" t="n"/>
      <c r="N3134" s="27" t="n"/>
      <c r="O3134" s="27" t="n"/>
      <c r="P3134" s="27" t="n"/>
      <c r="Q3134" s="27" t="n"/>
      <c r="R3134" s="27" t="n"/>
      <c r="S3134" s="27" t="n"/>
      <c r="T3134" s="27" t="n"/>
    </row>
    <row r="3135" ht="13.8" customFormat="1" customHeight="1" s="70">
      <c r="M3135" s="27" t="n"/>
      <c r="N3135" s="27" t="n"/>
      <c r="O3135" s="27" t="n"/>
      <c r="P3135" s="27" t="n"/>
      <c r="Q3135" s="27" t="n"/>
      <c r="R3135" s="27" t="n"/>
      <c r="S3135" s="27" t="n"/>
      <c r="T3135" s="27" t="n"/>
    </row>
    <row r="3136" ht="13.8" customFormat="1" customHeight="1" s="70">
      <c r="M3136" s="27" t="n"/>
      <c r="N3136" s="27" t="n"/>
      <c r="O3136" s="27" t="n"/>
      <c r="P3136" s="27" t="n"/>
      <c r="Q3136" s="27" t="n"/>
      <c r="R3136" s="27" t="n"/>
      <c r="S3136" s="27" t="n"/>
      <c r="T3136" s="27" t="n"/>
    </row>
    <row r="3137" ht="13.8" customFormat="1" customHeight="1" s="70">
      <c r="M3137" s="27" t="n"/>
      <c r="N3137" s="27" t="n"/>
      <c r="O3137" s="27" t="n"/>
      <c r="P3137" s="27" t="n"/>
      <c r="Q3137" s="27" t="n"/>
      <c r="R3137" s="27" t="n"/>
      <c r="S3137" s="27" t="n"/>
      <c r="T3137" s="27" t="n"/>
    </row>
    <row r="3138" ht="13.8" customFormat="1" customHeight="1" s="70">
      <c r="M3138" s="27" t="n"/>
      <c r="N3138" s="27" t="n"/>
      <c r="O3138" s="27" t="n"/>
      <c r="P3138" s="27" t="n"/>
      <c r="Q3138" s="27" t="n"/>
      <c r="R3138" s="27" t="n"/>
      <c r="S3138" s="27" t="n"/>
      <c r="T3138" s="27" t="n"/>
    </row>
    <row r="3139" ht="13.8" customFormat="1" customHeight="1" s="70">
      <c r="M3139" s="27" t="n"/>
      <c r="N3139" s="27" t="n"/>
      <c r="O3139" s="27" t="n"/>
      <c r="P3139" s="27" t="n"/>
      <c r="Q3139" s="27" t="n"/>
      <c r="R3139" s="27" t="n"/>
      <c r="S3139" s="27" t="n"/>
      <c r="T3139" s="27" t="n"/>
    </row>
    <row r="3140" ht="13.8" customFormat="1" customHeight="1" s="70">
      <c r="M3140" s="27" t="n"/>
      <c r="N3140" s="27" t="n"/>
      <c r="O3140" s="27" t="n"/>
      <c r="P3140" s="27" t="n"/>
      <c r="Q3140" s="27" t="n"/>
      <c r="R3140" s="27" t="n"/>
      <c r="S3140" s="27" t="n"/>
      <c r="T3140" s="27" t="n"/>
    </row>
    <row r="3141" ht="13.8" customFormat="1" customHeight="1" s="70">
      <c r="M3141" s="27" t="n"/>
      <c r="N3141" s="27" t="n"/>
      <c r="O3141" s="27" t="n"/>
      <c r="P3141" s="27" t="n"/>
      <c r="Q3141" s="27" t="n"/>
      <c r="R3141" s="27" t="n"/>
      <c r="S3141" s="27" t="n"/>
      <c r="T3141" s="27" t="n"/>
    </row>
    <row r="3142" ht="13.8" customFormat="1" customHeight="1" s="70">
      <c r="M3142" s="27" t="n"/>
      <c r="N3142" s="27" t="n"/>
      <c r="O3142" s="27" t="n"/>
      <c r="P3142" s="27" t="n"/>
      <c r="Q3142" s="27" t="n"/>
      <c r="R3142" s="27" t="n"/>
      <c r="S3142" s="27" t="n"/>
      <c r="T3142" s="27" t="n"/>
    </row>
    <row r="3143" ht="13.8" customFormat="1" customHeight="1" s="70">
      <c r="M3143" s="27" t="n"/>
      <c r="N3143" s="27" t="n"/>
      <c r="O3143" s="27" t="n"/>
      <c r="P3143" s="27" t="n"/>
      <c r="Q3143" s="27" t="n"/>
      <c r="R3143" s="27" t="n"/>
      <c r="S3143" s="27" t="n"/>
      <c r="T3143" s="27" t="n"/>
    </row>
    <row r="3144" ht="13.8" customFormat="1" customHeight="1" s="70">
      <c r="M3144" s="27" t="n"/>
      <c r="N3144" s="27" t="n"/>
      <c r="O3144" s="27" t="n"/>
      <c r="P3144" s="27" t="n"/>
      <c r="Q3144" s="27" t="n"/>
      <c r="R3144" s="27" t="n"/>
      <c r="S3144" s="27" t="n"/>
      <c r="T3144" s="27" t="n"/>
    </row>
    <row r="3145" ht="13.8" customFormat="1" customHeight="1" s="70">
      <c r="M3145" s="27" t="n"/>
      <c r="N3145" s="27" t="n"/>
      <c r="O3145" s="27" t="n"/>
      <c r="P3145" s="27" t="n"/>
      <c r="Q3145" s="27" t="n"/>
      <c r="R3145" s="27" t="n"/>
      <c r="S3145" s="27" t="n"/>
      <c r="T3145" s="27" t="n"/>
    </row>
    <row r="3146" ht="13.8" customFormat="1" customHeight="1" s="70">
      <c r="M3146" s="27" t="n"/>
      <c r="N3146" s="27" t="n"/>
      <c r="O3146" s="27" t="n"/>
      <c r="P3146" s="27" t="n"/>
      <c r="Q3146" s="27" t="n"/>
      <c r="R3146" s="27" t="n"/>
      <c r="S3146" s="27" t="n"/>
      <c r="T3146" s="27" t="n"/>
    </row>
    <row r="3147" ht="13.8" customFormat="1" customHeight="1" s="70">
      <c r="M3147" s="27" t="n"/>
      <c r="N3147" s="27" t="n"/>
      <c r="O3147" s="27" t="n"/>
      <c r="P3147" s="27" t="n"/>
      <c r="Q3147" s="27" t="n"/>
      <c r="R3147" s="27" t="n"/>
      <c r="S3147" s="27" t="n"/>
      <c r="T3147" s="27" t="n"/>
    </row>
    <row r="3148" ht="13.8" customFormat="1" customHeight="1" s="70">
      <c r="M3148" s="27" t="n"/>
      <c r="N3148" s="27" t="n"/>
      <c r="O3148" s="27" t="n"/>
      <c r="P3148" s="27" t="n"/>
      <c r="Q3148" s="27" t="n"/>
      <c r="R3148" s="27" t="n"/>
      <c r="S3148" s="27" t="n"/>
      <c r="T3148" s="27" t="n"/>
    </row>
    <row r="3149" ht="13.8" customFormat="1" customHeight="1" s="70">
      <c r="M3149" s="27" t="n"/>
      <c r="N3149" s="27" t="n"/>
      <c r="O3149" s="27" t="n"/>
      <c r="P3149" s="27" t="n"/>
      <c r="Q3149" s="27" t="n"/>
      <c r="R3149" s="27" t="n"/>
      <c r="S3149" s="27" t="n"/>
      <c r="T3149" s="27" t="n"/>
    </row>
    <row r="3150" ht="13.8" customFormat="1" customHeight="1" s="70">
      <c r="M3150" s="27" t="n"/>
      <c r="N3150" s="27" t="n"/>
      <c r="O3150" s="27" t="n"/>
      <c r="P3150" s="27" t="n"/>
      <c r="Q3150" s="27" t="n"/>
      <c r="R3150" s="27" t="n"/>
      <c r="S3150" s="27" t="n"/>
      <c r="T3150" s="27" t="n"/>
    </row>
    <row r="3151" ht="13.8" customFormat="1" customHeight="1" s="70">
      <c r="M3151" s="27" t="n"/>
      <c r="N3151" s="27" t="n"/>
      <c r="O3151" s="27" t="n"/>
      <c r="P3151" s="27" t="n"/>
      <c r="Q3151" s="27" t="n"/>
      <c r="R3151" s="27" t="n"/>
      <c r="S3151" s="27" t="n"/>
      <c r="T3151" s="27" t="n"/>
    </row>
    <row r="3152" ht="13.8" customFormat="1" customHeight="1" s="70">
      <c r="M3152" s="27" t="n"/>
      <c r="N3152" s="27" t="n"/>
      <c r="O3152" s="27" t="n"/>
      <c r="P3152" s="27" t="n"/>
      <c r="Q3152" s="27" t="n"/>
      <c r="R3152" s="27" t="n"/>
      <c r="S3152" s="27" t="n"/>
      <c r="T3152" s="27" t="n"/>
    </row>
    <row r="3153" ht="13.8" customFormat="1" customHeight="1" s="70">
      <c r="M3153" s="27" t="n"/>
      <c r="N3153" s="27" t="n"/>
      <c r="O3153" s="27" t="n"/>
      <c r="P3153" s="27" t="n"/>
      <c r="Q3153" s="27" t="n"/>
      <c r="R3153" s="27" t="n"/>
      <c r="S3153" s="27" t="n"/>
      <c r="T3153" s="27" t="n"/>
    </row>
    <row r="3154" ht="13.8" customFormat="1" customHeight="1" s="70">
      <c r="M3154" s="27" t="n"/>
      <c r="N3154" s="27" t="n"/>
      <c r="O3154" s="27" t="n"/>
      <c r="P3154" s="27" t="n"/>
      <c r="Q3154" s="27" t="n"/>
      <c r="R3154" s="27" t="n"/>
      <c r="S3154" s="27" t="n"/>
      <c r="T3154" s="27" t="n"/>
    </row>
    <row r="3155" ht="13.8" customFormat="1" customHeight="1" s="70">
      <c r="M3155" s="27" t="n"/>
      <c r="N3155" s="27" t="n"/>
      <c r="O3155" s="27" t="n"/>
      <c r="P3155" s="27" t="n"/>
      <c r="Q3155" s="27" t="n"/>
      <c r="R3155" s="27" t="n"/>
      <c r="S3155" s="27" t="n"/>
      <c r="T3155" s="27" t="n"/>
    </row>
    <row r="3156" ht="13.8" customFormat="1" customHeight="1" s="70">
      <c r="M3156" s="27" t="n"/>
      <c r="N3156" s="27" t="n"/>
      <c r="O3156" s="27" t="n"/>
      <c r="P3156" s="27" t="n"/>
      <c r="Q3156" s="27" t="n"/>
      <c r="R3156" s="27" t="n"/>
      <c r="S3156" s="27" t="n"/>
      <c r="T3156" s="27" t="n"/>
    </row>
    <row r="3157" ht="13.8" customFormat="1" customHeight="1" s="70">
      <c r="M3157" s="27" t="n"/>
      <c r="N3157" s="27" t="n"/>
      <c r="O3157" s="27" t="n"/>
      <c r="P3157" s="27" t="n"/>
      <c r="Q3157" s="27" t="n"/>
      <c r="R3157" s="27" t="n"/>
      <c r="S3157" s="27" t="n"/>
      <c r="T3157" s="27" t="n"/>
    </row>
    <row r="3158" ht="13.8" customFormat="1" customHeight="1" s="70">
      <c r="M3158" s="27" t="n"/>
      <c r="N3158" s="27" t="n"/>
      <c r="O3158" s="27" t="n"/>
      <c r="P3158" s="27" t="n"/>
      <c r="Q3158" s="27" t="n"/>
      <c r="R3158" s="27" t="n"/>
      <c r="S3158" s="27" t="n"/>
      <c r="T3158" s="27" t="n"/>
    </row>
    <row r="3159" ht="13.8" customFormat="1" customHeight="1" s="70">
      <c r="M3159" s="27" t="n"/>
      <c r="N3159" s="27" t="n"/>
      <c r="O3159" s="27" t="n"/>
      <c r="P3159" s="27" t="n"/>
      <c r="Q3159" s="27" t="n"/>
      <c r="R3159" s="27" t="n"/>
      <c r="S3159" s="27" t="n"/>
      <c r="T3159" s="27" t="n"/>
    </row>
    <row r="3160" ht="13.8" customFormat="1" customHeight="1" s="70">
      <c r="M3160" s="27" t="n"/>
      <c r="N3160" s="27" t="n"/>
      <c r="O3160" s="27" t="n"/>
      <c r="P3160" s="27" t="n"/>
      <c r="Q3160" s="27" t="n"/>
      <c r="R3160" s="27" t="n"/>
      <c r="S3160" s="27" t="n"/>
      <c r="T3160" s="27" t="n"/>
    </row>
    <row r="3161" ht="13.8" customFormat="1" customHeight="1" s="70">
      <c r="M3161" s="27" t="n"/>
      <c r="N3161" s="27" t="n"/>
      <c r="O3161" s="27" t="n"/>
      <c r="P3161" s="27" t="n"/>
      <c r="Q3161" s="27" t="n"/>
      <c r="R3161" s="27" t="n"/>
      <c r="S3161" s="27" t="n"/>
      <c r="T3161" s="27" t="n"/>
    </row>
    <row r="3162" ht="13.8" customFormat="1" customHeight="1" s="70">
      <c r="M3162" s="27" t="n"/>
      <c r="N3162" s="27" t="n"/>
      <c r="O3162" s="27" t="n"/>
      <c r="P3162" s="27" t="n"/>
      <c r="Q3162" s="27" t="n"/>
      <c r="R3162" s="27" t="n"/>
      <c r="S3162" s="27" t="n"/>
      <c r="T3162" s="27" t="n"/>
    </row>
    <row r="3163" ht="13.8" customFormat="1" customHeight="1" s="70">
      <c r="M3163" s="27" t="n"/>
      <c r="N3163" s="27" t="n"/>
      <c r="O3163" s="27" t="n"/>
      <c r="P3163" s="27" t="n"/>
      <c r="Q3163" s="27" t="n"/>
      <c r="R3163" s="27" t="n"/>
      <c r="S3163" s="27" t="n"/>
      <c r="T3163" s="27" t="n"/>
    </row>
    <row r="3164" ht="13.8" customFormat="1" customHeight="1" s="70">
      <c r="M3164" s="27" t="n"/>
      <c r="N3164" s="27" t="n"/>
      <c r="O3164" s="27" t="n"/>
      <c r="P3164" s="27" t="n"/>
      <c r="Q3164" s="27" t="n"/>
      <c r="R3164" s="27" t="n"/>
      <c r="S3164" s="27" t="n"/>
      <c r="T3164" s="27" t="n"/>
    </row>
    <row r="3165" ht="13.8" customFormat="1" customHeight="1" s="70">
      <c r="M3165" s="27" t="n"/>
      <c r="N3165" s="27" t="n"/>
      <c r="O3165" s="27" t="n"/>
      <c r="P3165" s="27" t="n"/>
      <c r="Q3165" s="27" t="n"/>
      <c r="R3165" s="27" t="n"/>
      <c r="S3165" s="27" t="n"/>
      <c r="T3165" s="27" t="n"/>
    </row>
    <row r="3166" ht="13.8" customFormat="1" customHeight="1" s="70">
      <c r="M3166" s="27" t="n"/>
      <c r="N3166" s="27" t="n"/>
      <c r="O3166" s="27" t="n"/>
      <c r="P3166" s="27" t="n"/>
      <c r="Q3166" s="27" t="n"/>
      <c r="R3166" s="27" t="n"/>
      <c r="S3166" s="27" t="n"/>
      <c r="T3166" s="27" t="n"/>
    </row>
    <row r="3167" ht="13.8" customFormat="1" customHeight="1" s="70">
      <c r="M3167" s="27" t="n"/>
      <c r="N3167" s="27" t="n"/>
      <c r="O3167" s="27" t="n"/>
      <c r="P3167" s="27" t="n"/>
      <c r="Q3167" s="27" t="n"/>
      <c r="R3167" s="27" t="n"/>
      <c r="S3167" s="27" t="n"/>
      <c r="T3167" s="27" t="n"/>
    </row>
    <row r="3168" ht="13.8" customFormat="1" customHeight="1" s="70">
      <c r="M3168" s="27" t="n"/>
      <c r="N3168" s="27" t="n"/>
      <c r="O3168" s="27" t="n"/>
      <c r="P3168" s="27" t="n"/>
      <c r="Q3168" s="27" t="n"/>
      <c r="R3168" s="27" t="n"/>
      <c r="S3168" s="27" t="n"/>
      <c r="T3168" s="27" t="n"/>
    </row>
    <row r="3169" ht="13.8" customFormat="1" customHeight="1" s="70">
      <c r="M3169" s="27" t="n"/>
      <c r="N3169" s="27" t="n"/>
      <c r="O3169" s="27" t="n"/>
      <c r="P3169" s="27" t="n"/>
      <c r="Q3169" s="27" t="n"/>
      <c r="R3169" s="27" t="n"/>
      <c r="S3169" s="27" t="n"/>
      <c r="T3169" s="27" t="n"/>
    </row>
    <row r="3170" ht="13.8" customFormat="1" customHeight="1" s="70">
      <c r="M3170" s="27" t="n"/>
      <c r="N3170" s="27" t="n"/>
      <c r="O3170" s="27" t="n"/>
      <c r="P3170" s="27" t="n"/>
      <c r="Q3170" s="27" t="n"/>
      <c r="R3170" s="27" t="n"/>
      <c r="S3170" s="27" t="n"/>
      <c r="T3170" s="27" t="n"/>
    </row>
    <row r="3171" ht="13.8" customFormat="1" customHeight="1" s="70">
      <c r="M3171" s="27" t="n"/>
      <c r="N3171" s="27" t="n"/>
      <c r="O3171" s="27" t="n"/>
      <c r="P3171" s="27" t="n"/>
      <c r="Q3171" s="27" t="n"/>
      <c r="R3171" s="27" t="n"/>
      <c r="S3171" s="27" t="n"/>
      <c r="T3171" s="27" t="n"/>
    </row>
    <row r="3172" ht="13.8" customFormat="1" customHeight="1" s="70">
      <c r="M3172" s="27" t="n"/>
      <c r="N3172" s="27" t="n"/>
      <c r="O3172" s="27" t="n"/>
      <c r="P3172" s="27" t="n"/>
      <c r="Q3172" s="27" t="n"/>
      <c r="R3172" s="27" t="n"/>
      <c r="S3172" s="27" t="n"/>
      <c r="T3172" s="27" t="n"/>
    </row>
    <row r="3173" ht="13.8" customFormat="1" customHeight="1" s="70">
      <c r="M3173" s="27" t="n"/>
      <c r="N3173" s="27" t="n"/>
      <c r="O3173" s="27" t="n"/>
      <c r="P3173" s="27" t="n"/>
      <c r="Q3173" s="27" t="n"/>
      <c r="R3173" s="27" t="n"/>
      <c r="S3173" s="27" t="n"/>
      <c r="T3173" s="27" t="n"/>
    </row>
    <row r="3174" ht="13.8" customFormat="1" customHeight="1" s="70">
      <c r="M3174" s="27" t="n"/>
      <c r="N3174" s="27" t="n"/>
      <c r="O3174" s="27" t="n"/>
      <c r="P3174" s="27" t="n"/>
      <c r="Q3174" s="27" t="n"/>
      <c r="R3174" s="27" t="n"/>
      <c r="S3174" s="27" t="n"/>
      <c r="T3174" s="27" t="n"/>
    </row>
    <row r="3175" ht="13.8" customFormat="1" customHeight="1" s="70">
      <c r="M3175" s="27" t="n"/>
      <c r="N3175" s="27" t="n"/>
      <c r="O3175" s="27" t="n"/>
      <c r="P3175" s="27" t="n"/>
      <c r="Q3175" s="27" t="n"/>
      <c r="R3175" s="27" t="n"/>
      <c r="S3175" s="27" t="n"/>
      <c r="T3175" s="27" t="n"/>
    </row>
    <row r="3176" ht="13.8" customFormat="1" customHeight="1" s="70">
      <c r="M3176" s="27" t="n"/>
      <c r="N3176" s="27" t="n"/>
      <c r="O3176" s="27" t="n"/>
      <c r="P3176" s="27" t="n"/>
      <c r="Q3176" s="27" t="n"/>
      <c r="R3176" s="27" t="n"/>
      <c r="S3176" s="27" t="n"/>
      <c r="T3176" s="27" t="n"/>
    </row>
    <row r="3177" ht="13.8" customFormat="1" customHeight="1" s="70">
      <c r="M3177" s="27" t="n"/>
      <c r="N3177" s="27" t="n"/>
      <c r="O3177" s="27" t="n"/>
      <c r="P3177" s="27" t="n"/>
      <c r="Q3177" s="27" t="n"/>
      <c r="R3177" s="27" t="n"/>
      <c r="S3177" s="27" t="n"/>
      <c r="T3177" s="27" t="n"/>
    </row>
    <row r="3178" ht="13.8" customFormat="1" customHeight="1" s="70">
      <c r="M3178" s="27" t="n"/>
      <c r="N3178" s="27" t="n"/>
      <c r="O3178" s="27" t="n"/>
      <c r="P3178" s="27" t="n"/>
      <c r="Q3178" s="27" t="n"/>
      <c r="R3178" s="27" t="n"/>
      <c r="S3178" s="27" t="n"/>
      <c r="T3178" s="27" t="n"/>
    </row>
    <row r="3179" ht="13.8" customFormat="1" customHeight="1" s="70">
      <c r="M3179" s="27" t="n"/>
      <c r="N3179" s="27" t="n"/>
      <c r="O3179" s="27" t="n"/>
      <c r="P3179" s="27" t="n"/>
      <c r="Q3179" s="27" t="n"/>
      <c r="R3179" s="27" t="n"/>
      <c r="S3179" s="27" t="n"/>
      <c r="T3179" s="27" t="n"/>
    </row>
    <row r="3180" ht="13.8" customFormat="1" customHeight="1" s="70">
      <c r="M3180" s="27" t="n"/>
      <c r="N3180" s="27" t="n"/>
      <c r="O3180" s="27" t="n"/>
      <c r="P3180" s="27" t="n"/>
      <c r="Q3180" s="27" t="n"/>
      <c r="R3180" s="27" t="n"/>
      <c r="S3180" s="27" t="n"/>
      <c r="T3180" s="27" t="n"/>
    </row>
    <row r="3181" ht="13.8" customFormat="1" customHeight="1" s="70">
      <c r="M3181" s="27" t="n"/>
      <c r="N3181" s="27" t="n"/>
      <c r="O3181" s="27" t="n"/>
      <c r="P3181" s="27" t="n"/>
      <c r="Q3181" s="27" t="n"/>
      <c r="R3181" s="27" t="n"/>
      <c r="S3181" s="27" t="n"/>
      <c r="T3181" s="27" t="n"/>
    </row>
    <row r="3182" ht="13.8" customFormat="1" customHeight="1" s="70">
      <c r="M3182" s="27" t="n"/>
      <c r="N3182" s="27" t="n"/>
      <c r="O3182" s="27" t="n"/>
      <c r="P3182" s="27" t="n"/>
      <c r="Q3182" s="27" t="n"/>
      <c r="R3182" s="27" t="n"/>
      <c r="S3182" s="27" t="n"/>
      <c r="T3182" s="27" t="n"/>
    </row>
    <row r="3183" ht="13.8" customFormat="1" customHeight="1" s="70">
      <c r="M3183" s="27" t="n"/>
      <c r="N3183" s="27" t="n"/>
      <c r="O3183" s="27" t="n"/>
      <c r="P3183" s="27" t="n"/>
      <c r="Q3183" s="27" t="n"/>
      <c r="R3183" s="27" t="n"/>
      <c r="S3183" s="27" t="n"/>
      <c r="T3183" s="27" t="n"/>
    </row>
    <row r="3184" ht="13.8" customFormat="1" customHeight="1" s="70">
      <c r="M3184" s="27" t="n"/>
      <c r="N3184" s="27" t="n"/>
      <c r="O3184" s="27" t="n"/>
      <c r="P3184" s="27" t="n"/>
      <c r="Q3184" s="27" t="n"/>
      <c r="R3184" s="27" t="n"/>
      <c r="S3184" s="27" t="n"/>
      <c r="T3184" s="27" t="n"/>
    </row>
    <row r="3185" ht="13.8" customFormat="1" customHeight="1" s="70">
      <c r="M3185" s="27" t="n"/>
      <c r="N3185" s="27" t="n"/>
      <c r="O3185" s="27" t="n"/>
      <c r="P3185" s="27" t="n"/>
      <c r="Q3185" s="27" t="n"/>
      <c r="R3185" s="27" t="n"/>
      <c r="S3185" s="27" t="n"/>
      <c r="T3185" s="27" t="n"/>
    </row>
    <row r="3186" ht="13.8" customFormat="1" customHeight="1" s="70">
      <c r="M3186" s="27" t="n"/>
      <c r="N3186" s="27" t="n"/>
      <c r="O3186" s="27" t="n"/>
      <c r="P3186" s="27" t="n"/>
      <c r="Q3186" s="27" t="n"/>
      <c r="R3186" s="27" t="n"/>
      <c r="S3186" s="27" t="n"/>
      <c r="T3186" s="27" t="n"/>
    </row>
    <row r="3187" ht="13.8" customFormat="1" customHeight="1" s="70">
      <c r="M3187" s="27" t="n"/>
      <c r="N3187" s="27" t="n"/>
      <c r="O3187" s="27" t="n"/>
      <c r="P3187" s="27" t="n"/>
      <c r="Q3187" s="27" t="n"/>
      <c r="R3187" s="27" t="n"/>
      <c r="S3187" s="27" t="n"/>
      <c r="T3187" s="27" t="n"/>
    </row>
    <row r="3188" ht="13.8" customFormat="1" customHeight="1" s="70">
      <c r="M3188" s="27" t="n"/>
      <c r="N3188" s="27" t="n"/>
      <c r="O3188" s="27" t="n"/>
      <c r="P3188" s="27" t="n"/>
      <c r="Q3188" s="27" t="n"/>
      <c r="R3188" s="27" t="n"/>
      <c r="S3188" s="27" t="n"/>
      <c r="T3188" s="27" t="n"/>
    </row>
    <row r="3189" ht="13.8" customFormat="1" customHeight="1" s="70">
      <c r="M3189" s="27" t="n"/>
      <c r="N3189" s="27" t="n"/>
      <c r="O3189" s="27" t="n"/>
      <c r="P3189" s="27" t="n"/>
      <c r="Q3189" s="27" t="n"/>
      <c r="R3189" s="27" t="n"/>
      <c r="S3189" s="27" t="n"/>
      <c r="T3189" s="27" t="n"/>
    </row>
    <row r="3190" ht="13.8" customFormat="1" customHeight="1" s="70">
      <c r="M3190" s="27" t="n"/>
      <c r="N3190" s="27" t="n"/>
      <c r="O3190" s="27" t="n"/>
      <c r="P3190" s="27" t="n"/>
      <c r="Q3190" s="27" t="n"/>
      <c r="R3190" s="27" t="n"/>
      <c r="S3190" s="27" t="n"/>
      <c r="T3190" s="27" t="n"/>
    </row>
    <row r="3191" ht="13.8" customFormat="1" customHeight="1" s="70">
      <c r="M3191" s="27" t="n"/>
      <c r="N3191" s="27" t="n"/>
      <c r="O3191" s="27" t="n"/>
      <c r="P3191" s="27" t="n"/>
      <c r="Q3191" s="27" t="n"/>
      <c r="R3191" s="27" t="n"/>
      <c r="S3191" s="27" t="n"/>
      <c r="T3191" s="27" t="n"/>
    </row>
    <row r="3192" ht="13.8" customFormat="1" customHeight="1" s="70">
      <c r="M3192" s="27" t="n"/>
      <c r="N3192" s="27" t="n"/>
      <c r="O3192" s="27" t="n"/>
      <c r="P3192" s="27" t="n"/>
      <c r="Q3192" s="27" t="n"/>
      <c r="R3192" s="27" t="n"/>
      <c r="S3192" s="27" t="n"/>
      <c r="T3192" s="27" t="n"/>
    </row>
    <row r="3193" ht="13.8" customFormat="1" customHeight="1" s="70">
      <c r="M3193" s="27" t="n"/>
      <c r="N3193" s="27" t="n"/>
      <c r="O3193" s="27" t="n"/>
      <c r="P3193" s="27" t="n"/>
      <c r="Q3193" s="27" t="n"/>
      <c r="R3193" s="27" t="n"/>
      <c r="S3193" s="27" t="n"/>
      <c r="T3193" s="27" t="n"/>
    </row>
    <row r="3194" ht="13.8" customFormat="1" customHeight="1" s="70">
      <c r="M3194" s="27" t="n"/>
      <c r="N3194" s="27" t="n"/>
      <c r="O3194" s="27" t="n"/>
      <c r="P3194" s="27" t="n"/>
      <c r="Q3194" s="27" t="n"/>
      <c r="R3194" s="27" t="n"/>
      <c r="S3194" s="27" t="n"/>
      <c r="T3194" s="27" t="n"/>
    </row>
    <row r="3195" ht="13.8" customFormat="1" customHeight="1" s="70">
      <c r="M3195" s="27" t="n"/>
      <c r="N3195" s="27" t="n"/>
      <c r="O3195" s="27" t="n"/>
      <c r="P3195" s="27" t="n"/>
      <c r="Q3195" s="27" t="n"/>
      <c r="R3195" s="27" t="n"/>
      <c r="S3195" s="27" t="n"/>
      <c r="T3195" s="27" t="n"/>
    </row>
    <row r="3196" ht="13.8" customFormat="1" customHeight="1" s="70">
      <c r="M3196" s="27" t="n"/>
      <c r="N3196" s="27" t="n"/>
      <c r="O3196" s="27" t="n"/>
      <c r="P3196" s="27" t="n"/>
      <c r="Q3196" s="27" t="n"/>
      <c r="R3196" s="27" t="n"/>
      <c r="S3196" s="27" t="n"/>
      <c r="T3196" s="27" t="n"/>
    </row>
    <row r="3197" ht="13.8" customFormat="1" customHeight="1" s="70">
      <c r="M3197" s="27" t="n"/>
      <c r="N3197" s="27" t="n"/>
      <c r="O3197" s="27" t="n"/>
      <c r="P3197" s="27" t="n"/>
      <c r="Q3197" s="27" t="n"/>
      <c r="R3197" s="27" t="n"/>
      <c r="S3197" s="27" t="n"/>
      <c r="T3197" s="27" t="n"/>
    </row>
    <row r="3198" ht="13.8" customFormat="1" customHeight="1" s="70">
      <c r="M3198" s="27" t="n"/>
      <c r="N3198" s="27" t="n"/>
      <c r="O3198" s="27" t="n"/>
      <c r="P3198" s="27" t="n"/>
      <c r="Q3198" s="27" t="n"/>
      <c r="R3198" s="27" t="n"/>
      <c r="S3198" s="27" t="n"/>
      <c r="T3198" s="27" t="n"/>
    </row>
    <row r="3199" ht="13.8" customFormat="1" customHeight="1" s="70">
      <c r="M3199" s="27" t="n"/>
      <c r="N3199" s="27" t="n"/>
      <c r="O3199" s="27" t="n"/>
      <c r="P3199" s="27" t="n"/>
      <c r="Q3199" s="27" t="n"/>
      <c r="R3199" s="27" t="n"/>
      <c r="S3199" s="27" t="n"/>
      <c r="T3199" s="27" t="n"/>
    </row>
    <row r="3200" ht="13.8" customFormat="1" customHeight="1" s="70">
      <c r="M3200" s="27" t="n"/>
      <c r="N3200" s="27" t="n"/>
      <c r="O3200" s="27" t="n"/>
      <c r="P3200" s="27" t="n"/>
      <c r="Q3200" s="27" t="n"/>
      <c r="R3200" s="27" t="n"/>
      <c r="S3200" s="27" t="n"/>
      <c r="T3200" s="27" t="n"/>
    </row>
    <row r="3201" ht="13.8" customFormat="1" customHeight="1" s="70">
      <c r="M3201" s="27" t="n"/>
      <c r="N3201" s="27" t="n"/>
      <c r="O3201" s="27" t="n"/>
      <c r="P3201" s="27" t="n"/>
      <c r="Q3201" s="27" t="n"/>
      <c r="R3201" s="27" t="n"/>
      <c r="S3201" s="27" t="n"/>
      <c r="T3201" s="27" t="n"/>
    </row>
    <row r="3202" ht="13.8" customFormat="1" customHeight="1" s="70">
      <c r="M3202" s="27" t="n"/>
      <c r="N3202" s="27" t="n"/>
      <c r="O3202" s="27" t="n"/>
      <c r="P3202" s="27" t="n"/>
      <c r="Q3202" s="27" t="n"/>
      <c r="R3202" s="27" t="n"/>
      <c r="S3202" s="27" t="n"/>
      <c r="T3202" s="27" t="n"/>
    </row>
    <row r="3203" ht="13.8" customFormat="1" customHeight="1" s="70">
      <c r="M3203" s="27" t="n"/>
      <c r="N3203" s="27" t="n"/>
      <c r="O3203" s="27" t="n"/>
      <c r="P3203" s="27" t="n"/>
      <c r="Q3203" s="27" t="n"/>
      <c r="R3203" s="27" t="n"/>
      <c r="S3203" s="27" t="n"/>
      <c r="T3203" s="27" t="n"/>
    </row>
    <row r="3204" ht="13.8" customFormat="1" customHeight="1" s="70">
      <c r="M3204" s="27" t="n"/>
      <c r="N3204" s="27" t="n"/>
      <c r="O3204" s="27" t="n"/>
      <c r="P3204" s="27" t="n"/>
      <c r="Q3204" s="27" t="n"/>
      <c r="R3204" s="27" t="n"/>
      <c r="S3204" s="27" t="n"/>
      <c r="T3204" s="27" t="n"/>
    </row>
    <row r="3205" ht="13.8" customFormat="1" customHeight="1" s="70">
      <c r="M3205" s="27" t="n"/>
      <c r="N3205" s="27" t="n"/>
      <c r="O3205" s="27" t="n"/>
      <c r="P3205" s="27" t="n"/>
      <c r="Q3205" s="27" t="n"/>
      <c r="R3205" s="27" t="n"/>
      <c r="S3205" s="27" t="n"/>
      <c r="T3205" s="27" t="n"/>
    </row>
    <row r="3206" ht="13.8" customFormat="1" customHeight="1" s="70">
      <c r="M3206" s="27" t="n"/>
      <c r="N3206" s="27" t="n"/>
      <c r="O3206" s="27" t="n"/>
      <c r="P3206" s="27" t="n"/>
      <c r="Q3206" s="27" t="n"/>
      <c r="R3206" s="27" t="n"/>
      <c r="S3206" s="27" t="n"/>
      <c r="T3206" s="27" t="n"/>
    </row>
    <row r="3207" ht="13.8" customFormat="1" customHeight="1" s="70">
      <c r="M3207" s="27" t="n"/>
      <c r="N3207" s="27" t="n"/>
      <c r="O3207" s="27" t="n"/>
      <c r="P3207" s="27" t="n"/>
      <c r="Q3207" s="27" t="n"/>
      <c r="R3207" s="27" t="n"/>
      <c r="S3207" s="27" t="n"/>
      <c r="T3207" s="27" t="n"/>
    </row>
    <row r="3208" ht="13.8" customFormat="1" customHeight="1" s="70">
      <c r="M3208" s="27" t="n"/>
      <c r="N3208" s="27" t="n"/>
      <c r="O3208" s="27" t="n"/>
      <c r="P3208" s="27" t="n"/>
      <c r="Q3208" s="27" t="n"/>
      <c r="R3208" s="27" t="n"/>
      <c r="S3208" s="27" t="n"/>
      <c r="T3208" s="27" t="n"/>
    </row>
    <row r="3209" ht="13.8" customFormat="1" customHeight="1" s="70">
      <c r="M3209" s="27" t="n"/>
      <c r="N3209" s="27" t="n"/>
      <c r="O3209" s="27" t="n"/>
      <c r="P3209" s="27" t="n"/>
      <c r="Q3209" s="27" t="n"/>
      <c r="R3209" s="27" t="n"/>
      <c r="S3209" s="27" t="n"/>
      <c r="T3209" s="27" t="n"/>
    </row>
    <row r="3210" ht="13.8" customFormat="1" customHeight="1" s="70">
      <c r="M3210" s="27" t="n"/>
      <c r="N3210" s="27" t="n"/>
      <c r="O3210" s="27" t="n"/>
      <c r="P3210" s="27" t="n"/>
      <c r="Q3210" s="27" t="n"/>
      <c r="R3210" s="27" t="n"/>
      <c r="S3210" s="27" t="n"/>
      <c r="T3210" s="27" t="n"/>
    </row>
    <row r="3211" ht="13.8" customFormat="1" customHeight="1" s="70">
      <c r="M3211" s="27" t="n"/>
      <c r="N3211" s="27" t="n"/>
      <c r="O3211" s="27" t="n"/>
      <c r="P3211" s="27" t="n"/>
      <c r="Q3211" s="27" t="n"/>
      <c r="R3211" s="27" t="n"/>
      <c r="S3211" s="27" t="n"/>
      <c r="T3211" s="27" t="n"/>
    </row>
    <row r="3212" ht="13.8" customFormat="1" customHeight="1" s="70">
      <c r="M3212" s="27" t="n"/>
      <c r="N3212" s="27" t="n"/>
      <c r="O3212" s="27" t="n"/>
      <c r="P3212" s="27" t="n"/>
      <c r="Q3212" s="27" t="n"/>
      <c r="R3212" s="27" t="n"/>
      <c r="S3212" s="27" t="n"/>
      <c r="T3212" s="27" t="n"/>
    </row>
    <row r="3213" ht="13.8" customFormat="1" customHeight="1" s="70">
      <c r="M3213" s="27" t="n"/>
      <c r="N3213" s="27" t="n"/>
      <c r="O3213" s="27" t="n"/>
      <c r="P3213" s="27" t="n"/>
      <c r="Q3213" s="27" t="n"/>
      <c r="R3213" s="27" t="n"/>
      <c r="S3213" s="27" t="n"/>
      <c r="T3213" s="27" t="n"/>
    </row>
    <row r="3214" ht="13.8" customFormat="1" customHeight="1" s="70">
      <c r="M3214" s="27" t="n"/>
      <c r="N3214" s="27" t="n"/>
      <c r="O3214" s="27" t="n"/>
      <c r="P3214" s="27" t="n"/>
      <c r="Q3214" s="27" t="n"/>
      <c r="R3214" s="27" t="n"/>
      <c r="S3214" s="27" t="n"/>
      <c r="T3214" s="27" t="n"/>
    </row>
    <row r="3215" ht="13.8" customFormat="1" customHeight="1" s="70">
      <c r="M3215" s="27" t="n"/>
      <c r="N3215" s="27" t="n"/>
      <c r="O3215" s="27" t="n"/>
      <c r="P3215" s="27" t="n"/>
      <c r="Q3215" s="27" t="n"/>
      <c r="R3215" s="27" t="n"/>
      <c r="S3215" s="27" t="n"/>
      <c r="T3215" s="27" t="n"/>
    </row>
    <row r="3216" ht="13.8" customFormat="1" customHeight="1" s="70">
      <c r="M3216" s="27" t="n"/>
      <c r="N3216" s="27" t="n"/>
      <c r="O3216" s="27" t="n"/>
      <c r="P3216" s="27" t="n"/>
      <c r="Q3216" s="27" t="n"/>
      <c r="R3216" s="27" t="n"/>
      <c r="S3216" s="27" t="n"/>
      <c r="T3216" s="27" t="n"/>
    </row>
    <row r="3217" ht="13.8" customFormat="1" customHeight="1" s="70">
      <c r="M3217" s="27" t="n"/>
      <c r="N3217" s="27" t="n"/>
      <c r="O3217" s="27" t="n"/>
      <c r="P3217" s="27" t="n"/>
      <c r="Q3217" s="27" t="n"/>
      <c r="R3217" s="27" t="n"/>
      <c r="S3217" s="27" t="n"/>
      <c r="T3217" s="27" t="n"/>
    </row>
    <row r="3218" ht="13.8" customFormat="1" customHeight="1" s="70">
      <c r="M3218" s="27" t="n"/>
      <c r="N3218" s="27" t="n"/>
      <c r="O3218" s="27" t="n"/>
      <c r="P3218" s="27" t="n"/>
      <c r="Q3218" s="27" t="n"/>
      <c r="R3218" s="27" t="n"/>
      <c r="S3218" s="27" t="n"/>
      <c r="T3218" s="27" t="n"/>
    </row>
    <row r="3219" ht="13.8" customFormat="1" customHeight="1" s="70">
      <c r="M3219" s="27" t="n"/>
      <c r="N3219" s="27" t="n"/>
      <c r="O3219" s="27" t="n"/>
      <c r="P3219" s="27" t="n"/>
      <c r="Q3219" s="27" t="n"/>
      <c r="R3219" s="27" t="n"/>
      <c r="S3219" s="27" t="n"/>
      <c r="T3219" s="27" t="n"/>
    </row>
    <row r="3220" ht="13.8" customFormat="1" customHeight="1" s="70">
      <c r="M3220" s="27" t="n"/>
      <c r="N3220" s="27" t="n"/>
      <c r="O3220" s="27" t="n"/>
      <c r="P3220" s="27" t="n"/>
      <c r="Q3220" s="27" t="n"/>
      <c r="R3220" s="27" t="n"/>
      <c r="S3220" s="27" t="n"/>
      <c r="T3220" s="27" t="n"/>
    </row>
    <row r="3221" ht="13.8" customFormat="1" customHeight="1" s="70">
      <c r="M3221" s="27" t="n"/>
      <c r="N3221" s="27" t="n"/>
      <c r="O3221" s="27" t="n"/>
      <c r="P3221" s="27" t="n"/>
      <c r="Q3221" s="27" t="n"/>
      <c r="R3221" s="27" t="n"/>
      <c r="S3221" s="27" t="n"/>
      <c r="T3221" s="27" t="n"/>
    </row>
    <row r="3222" ht="13.8" customFormat="1" customHeight="1" s="70">
      <c r="M3222" s="27" t="n"/>
      <c r="N3222" s="27" t="n"/>
      <c r="O3222" s="27" t="n"/>
      <c r="P3222" s="27" t="n"/>
      <c r="Q3222" s="27" t="n"/>
      <c r="R3222" s="27" t="n"/>
      <c r="S3222" s="27" t="n"/>
      <c r="T3222" s="27" t="n"/>
    </row>
    <row r="3223" ht="13.8" customFormat="1" customHeight="1" s="70">
      <c r="M3223" s="27" t="n"/>
      <c r="N3223" s="27" t="n"/>
      <c r="O3223" s="27" t="n"/>
      <c r="P3223" s="27" t="n"/>
      <c r="Q3223" s="27" t="n"/>
      <c r="R3223" s="27" t="n"/>
      <c r="S3223" s="27" t="n"/>
      <c r="T3223" s="27" t="n"/>
    </row>
    <row r="3224" ht="13.8" customFormat="1" customHeight="1" s="70">
      <c r="M3224" s="27" t="n"/>
      <c r="N3224" s="27" t="n"/>
      <c r="O3224" s="27" t="n"/>
      <c r="P3224" s="27" t="n"/>
      <c r="Q3224" s="27" t="n"/>
      <c r="R3224" s="27" t="n"/>
      <c r="S3224" s="27" t="n"/>
      <c r="T3224" s="27" t="n"/>
    </row>
    <row r="3225" ht="13.8" customFormat="1" customHeight="1" s="70">
      <c r="M3225" s="27" t="n"/>
      <c r="N3225" s="27" t="n"/>
      <c r="O3225" s="27" t="n"/>
      <c r="P3225" s="27" t="n"/>
      <c r="Q3225" s="27" t="n"/>
      <c r="R3225" s="27" t="n"/>
      <c r="S3225" s="27" t="n"/>
      <c r="T3225" s="27" t="n"/>
    </row>
    <row r="3226" ht="13.8" customFormat="1" customHeight="1" s="70">
      <c r="M3226" s="27" t="n"/>
      <c r="N3226" s="27" t="n"/>
      <c r="O3226" s="27" t="n"/>
      <c r="P3226" s="27" t="n"/>
      <c r="Q3226" s="27" t="n"/>
      <c r="R3226" s="27" t="n"/>
      <c r="S3226" s="27" t="n"/>
      <c r="T3226" s="27" t="n"/>
    </row>
    <row r="3227" ht="13.8" customFormat="1" customHeight="1" s="70">
      <c r="M3227" s="27" t="n"/>
      <c r="N3227" s="27" t="n"/>
      <c r="O3227" s="27" t="n"/>
      <c r="P3227" s="27" t="n"/>
      <c r="Q3227" s="27" t="n"/>
      <c r="R3227" s="27" t="n"/>
      <c r="S3227" s="27" t="n"/>
      <c r="T3227" s="27" t="n"/>
    </row>
    <row r="3228" ht="13.8" customFormat="1" customHeight="1" s="70">
      <c r="M3228" s="27" t="n"/>
      <c r="N3228" s="27" t="n"/>
      <c r="O3228" s="27" t="n"/>
      <c r="P3228" s="27" t="n"/>
      <c r="Q3228" s="27" t="n"/>
      <c r="R3228" s="27" t="n"/>
      <c r="S3228" s="27" t="n"/>
      <c r="T3228" s="27" t="n"/>
    </row>
    <row r="3229" ht="13.8" customFormat="1" customHeight="1" s="70">
      <c r="M3229" s="27" t="n"/>
      <c r="N3229" s="27" t="n"/>
      <c r="O3229" s="27" t="n"/>
      <c r="P3229" s="27" t="n"/>
      <c r="Q3229" s="27" t="n"/>
      <c r="R3229" s="27" t="n"/>
      <c r="S3229" s="27" t="n"/>
      <c r="T3229" s="27" t="n"/>
    </row>
    <row r="3230" ht="13.8" customFormat="1" customHeight="1" s="70">
      <c r="M3230" s="27" t="n"/>
      <c r="N3230" s="27" t="n"/>
      <c r="O3230" s="27" t="n"/>
      <c r="P3230" s="27" t="n"/>
      <c r="Q3230" s="27" t="n"/>
      <c r="R3230" s="27" t="n"/>
      <c r="S3230" s="27" t="n"/>
      <c r="T3230" s="27" t="n"/>
    </row>
    <row r="3231" ht="13.8" customFormat="1" customHeight="1" s="70">
      <c r="M3231" s="27" t="n"/>
      <c r="N3231" s="27" t="n"/>
      <c r="O3231" s="27" t="n"/>
      <c r="P3231" s="27" t="n"/>
      <c r="Q3231" s="27" t="n"/>
      <c r="R3231" s="27" t="n"/>
      <c r="S3231" s="27" t="n"/>
      <c r="T3231" s="27" t="n"/>
    </row>
    <row r="3232" ht="13.8" customFormat="1" customHeight="1" s="70">
      <c r="M3232" s="27" t="n"/>
      <c r="N3232" s="27" t="n"/>
      <c r="O3232" s="27" t="n"/>
      <c r="P3232" s="27" t="n"/>
      <c r="Q3232" s="27" t="n"/>
      <c r="R3232" s="27" t="n"/>
      <c r="S3232" s="27" t="n"/>
      <c r="T3232" s="27" t="n"/>
    </row>
    <row r="3233" ht="13.8" customFormat="1" customHeight="1" s="70">
      <c r="M3233" s="27" t="n"/>
      <c r="N3233" s="27" t="n"/>
      <c r="O3233" s="27" t="n"/>
      <c r="P3233" s="27" t="n"/>
      <c r="Q3233" s="27" t="n"/>
      <c r="R3233" s="27" t="n"/>
      <c r="S3233" s="27" t="n"/>
      <c r="T3233" s="27" t="n"/>
    </row>
    <row r="3234" ht="13.8" customFormat="1" customHeight="1" s="70">
      <c r="M3234" s="27" t="n"/>
      <c r="N3234" s="27" t="n"/>
      <c r="O3234" s="27" t="n"/>
      <c r="P3234" s="27" t="n"/>
      <c r="Q3234" s="27" t="n"/>
      <c r="R3234" s="27" t="n"/>
      <c r="S3234" s="27" t="n"/>
      <c r="T3234" s="27" t="n"/>
    </row>
    <row r="3235" ht="13.8" customFormat="1" customHeight="1" s="70">
      <c r="M3235" s="27" t="n"/>
      <c r="N3235" s="27" t="n"/>
      <c r="O3235" s="27" t="n"/>
      <c r="P3235" s="27" t="n"/>
      <c r="Q3235" s="27" t="n"/>
      <c r="R3235" s="27" t="n"/>
      <c r="S3235" s="27" t="n"/>
      <c r="T3235" s="27" t="n"/>
    </row>
    <row r="3236" ht="13.8" customFormat="1" customHeight="1" s="70">
      <c r="M3236" s="27" t="n"/>
      <c r="N3236" s="27" t="n"/>
      <c r="O3236" s="27" t="n"/>
      <c r="P3236" s="27" t="n"/>
      <c r="Q3236" s="27" t="n"/>
      <c r="R3236" s="27" t="n"/>
      <c r="S3236" s="27" t="n"/>
      <c r="T3236" s="27" t="n"/>
    </row>
    <row r="3237" ht="13.8" customFormat="1" customHeight="1" s="70">
      <c r="M3237" s="27" t="n"/>
      <c r="N3237" s="27" t="n"/>
      <c r="O3237" s="27" t="n"/>
      <c r="P3237" s="27" t="n"/>
      <c r="Q3237" s="27" t="n"/>
      <c r="R3237" s="27" t="n"/>
      <c r="S3237" s="27" t="n"/>
      <c r="T3237" s="27" t="n"/>
    </row>
    <row r="3238" ht="13.8" customFormat="1" customHeight="1" s="70">
      <c r="M3238" s="27" t="n"/>
      <c r="N3238" s="27" t="n"/>
      <c r="O3238" s="27" t="n"/>
      <c r="P3238" s="27" t="n"/>
      <c r="Q3238" s="27" t="n"/>
      <c r="R3238" s="27" t="n"/>
      <c r="S3238" s="27" t="n"/>
      <c r="T3238" s="27" t="n"/>
    </row>
    <row r="3239" ht="13.8" customFormat="1" customHeight="1" s="70">
      <c r="M3239" s="27" t="n"/>
      <c r="N3239" s="27" t="n"/>
      <c r="O3239" s="27" t="n"/>
      <c r="P3239" s="27" t="n"/>
      <c r="Q3239" s="27" t="n"/>
      <c r="R3239" s="27" t="n"/>
      <c r="S3239" s="27" t="n"/>
      <c r="T3239" s="27" t="n"/>
    </row>
    <row r="3240" ht="13.8" customFormat="1" customHeight="1" s="70">
      <c r="M3240" s="27" t="n"/>
      <c r="N3240" s="27" t="n"/>
      <c r="O3240" s="27" t="n"/>
      <c r="P3240" s="27" t="n"/>
      <c r="Q3240" s="27" t="n"/>
      <c r="R3240" s="27" t="n"/>
      <c r="S3240" s="27" t="n"/>
      <c r="T3240" s="27" t="n"/>
    </row>
    <row r="3241" ht="13.8" customFormat="1" customHeight="1" s="70">
      <c r="M3241" s="27" t="n"/>
      <c r="N3241" s="27" t="n"/>
      <c r="O3241" s="27" t="n"/>
      <c r="P3241" s="27" t="n"/>
      <c r="Q3241" s="27" t="n"/>
      <c r="R3241" s="27" t="n"/>
      <c r="S3241" s="27" t="n"/>
      <c r="T3241" s="27" t="n"/>
    </row>
    <row r="3242" ht="13.8" customFormat="1" customHeight="1" s="70">
      <c r="M3242" s="27" t="n"/>
      <c r="N3242" s="27" t="n"/>
      <c r="O3242" s="27" t="n"/>
      <c r="P3242" s="27" t="n"/>
      <c r="Q3242" s="27" t="n"/>
      <c r="R3242" s="27" t="n"/>
      <c r="S3242" s="27" t="n"/>
      <c r="T3242" s="27" t="n"/>
    </row>
    <row r="3243" ht="13.8" customFormat="1" customHeight="1" s="70">
      <c r="M3243" s="27" t="n"/>
      <c r="N3243" s="27" t="n"/>
      <c r="O3243" s="27" t="n"/>
      <c r="P3243" s="27" t="n"/>
      <c r="Q3243" s="27" t="n"/>
      <c r="R3243" s="27" t="n"/>
      <c r="S3243" s="27" t="n"/>
      <c r="T3243" s="27" t="n"/>
    </row>
    <row r="3244" ht="13.8" customFormat="1" customHeight="1" s="70">
      <c r="M3244" s="27" t="n"/>
      <c r="N3244" s="27" t="n"/>
      <c r="O3244" s="27" t="n"/>
      <c r="P3244" s="27" t="n"/>
      <c r="Q3244" s="27" t="n"/>
      <c r="R3244" s="27" t="n"/>
      <c r="S3244" s="27" t="n"/>
      <c r="T3244" s="27" t="n"/>
    </row>
    <row r="3245" ht="13.8" customFormat="1" customHeight="1" s="70">
      <c r="M3245" s="27" t="n"/>
      <c r="N3245" s="27" t="n"/>
      <c r="O3245" s="27" t="n"/>
      <c r="P3245" s="27" t="n"/>
      <c r="Q3245" s="27" t="n"/>
      <c r="R3245" s="27" t="n"/>
      <c r="S3245" s="27" t="n"/>
      <c r="T3245" s="27" t="n"/>
    </row>
    <row r="3246" ht="13.8" customFormat="1" customHeight="1" s="70">
      <c r="M3246" s="27" t="n"/>
      <c r="N3246" s="27" t="n"/>
      <c r="O3246" s="27" t="n"/>
      <c r="P3246" s="27" t="n"/>
      <c r="Q3246" s="27" t="n"/>
      <c r="R3246" s="27" t="n"/>
      <c r="S3246" s="27" t="n"/>
      <c r="T3246" s="27" t="n"/>
    </row>
    <row r="3247" ht="13.8" customFormat="1" customHeight="1" s="70">
      <c r="M3247" s="27" t="n"/>
      <c r="N3247" s="27" t="n"/>
      <c r="O3247" s="27" t="n"/>
      <c r="P3247" s="27" t="n"/>
      <c r="Q3247" s="27" t="n"/>
      <c r="R3247" s="27" t="n"/>
      <c r="S3247" s="27" t="n"/>
      <c r="T3247" s="27" t="n"/>
    </row>
    <row r="3248" ht="13.8" customFormat="1" customHeight="1" s="70">
      <c r="M3248" s="27" t="n"/>
      <c r="N3248" s="27" t="n"/>
      <c r="O3248" s="27" t="n"/>
      <c r="P3248" s="27" t="n"/>
      <c r="Q3248" s="27" t="n"/>
      <c r="R3248" s="27" t="n"/>
      <c r="S3248" s="27" t="n"/>
      <c r="T3248" s="27" t="n"/>
    </row>
    <row r="3249" ht="13.8" customFormat="1" customHeight="1" s="70">
      <c r="M3249" s="27" t="n"/>
      <c r="N3249" s="27" t="n"/>
      <c r="O3249" s="27" t="n"/>
      <c r="P3249" s="27" t="n"/>
      <c r="Q3249" s="27" t="n"/>
      <c r="R3249" s="27" t="n"/>
      <c r="S3249" s="27" t="n"/>
      <c r="T3249" s="27" t="n"/>
    </row>
    <row r="3250" ht="13.8" customFormat="1" customHeight="1" s="70">
      <c r="M3250" s="27" t="n"/>
      <c r="N3250" s="27" t="n"/>
      <c r="O3250" s="27" t="n"/>
      <c r="P3250" s="27" t="n"/>
      <c r="Q3250" s="27" t="n"/>
      <c r="R3250" s="27" t="n"/>
      <c r="S3250" s="27" t="n"/>
      <c r="T3250" s="27" t="n"/>
    </row>
    <row r="3251" ht="13.8" customFormat="1" customHeight="1" s="70">
      <c r="M3251" s="27" t="n"/>
      <c r="N3251" s="27" t="n"/>
      <c r="O3251" s="27" t="n"/>
      <c r="P3251" s="27" t="n"/>
      <c r="Q3251" s="27" t="n"/>
      <c r="R3251" s="27" t="n"/>
      <c r="S3251" s="27" t="n"/>
      <c r="T3251" s="27" t="n"/>
    </row>
    <row r="3252" ht="13.8" customFormat="1" customHeight="1" s="70">
      <c r="M3252" s="27" t="n"/>
      <c r="N3252" s="27" t="n"/>
      <c r="O3252" s="27" t="n"/>
      <c r="P3252" s="27" t="n"/>
      <c r="Q3252" s="27" t="n"/>
      <c r="R3252" s="27" t="n"/>
      <c r="S3252" s="27" t="n"/>
      <c r="T3252" s="27" t="n"/>
    </row>
    <row r="3253" ht="13.8" customFormat="1" customHeight="1" s="70">
      <c r="M3253" s="27" t="n"/>
      <c r="N3253" s="27" t="n"/>
      <c r="O3253" s="27" t="n"/>
      <c r="P3253" s="27" t="n"/>
      <c r="Q3253" s="27" t="n"/>
      <c r="R3253" s="27" t="n"/>
      <c r="S3253" s="27" t="n"/>
      <c r="T3253" s="27" t="n"/>
    </row>
    <row r="3254" ht="13.8" customFormat="1" customHeight="1" s="70">
      <c r="M3254" s="27" t="n"/>
      <c r="N3254" s="27" t="n"/>
      <c r="O3254" s="27" t="n"/>
      <c r="P3254" s="27" t="n"/>
      <c r="Q3254" s="27" t="n"/>
      <c r="R3254" s="27" t="n"/>
      <c r="S3254" s="27" t="n"/>
      <c r="T3254" s="27" t="n"/>
    </row>
    <row r="3255" ht="13.8" customFormat="1" customHeight="1" s="70">
      <c r="M3255" s="27" t="n"/>
      <c r="N3255" s="27" t="n"/>
      <c r="O3255" s="27" t="n"/>
      <c r="P3255" s="27" t="n"/>
      <c r="Q3255" s="27" t="n"/>
      <c r="R3255" s="27" t="n"/>
      <c r="S3255" s="27" t="n"/>
      <c r="T3255" s="27" t="n"/>
    </row>
    <row r="3256" ht="13.8" customFormat="1" customHeight="1" s="70">
      <c r="M3256" s="27" t="n"/>
      <c r="N3256" s="27" t="n"/>
      <c r="O3256" s="27" t="n"/>
      <c r="P3256" s="27" t="n"/>
      <c r="Q3256" s="27" t="n"/>
      <c r="R3256" s="27" t="n"/>
      <c r="S3256" s="27" t="n"/>
      <c r="T3256" s="27" t="n"/>
    </row>
    <row r="3257" ht="13.8" customFormat="1" customHeight="1" s="70">
      <c r="M3257" s="27" t="n"/>
      <c r="N3257" s="27" t="n"/>
      <c r="O3257" s="27" t="n"/>
      <c r="P3257" s="27" t="n"/>
      <c r="Q3257" s="27" t="n"/>
      <c r="R3257" s="27" t="n"/>
      <c r="S3257" s="27" t="n"/>
      <c r="T3257" s="27" t="n"/>
    </row>
    <row r="3258" ht="13.8" customFormat="1" customHeight="1" s="70">
      <c r="M3258" s="27" t="n"/>
      <c r="N3258" s="27" t="n"/>
      <c r="O3258" s="27" t="n"/>
      <c r="P3258" s="27" t="n"/>
      <c r="Q3258" s="27" t="n"/>
      <c r="R3258" s="27" t="n"/>
      <c r="S3258" s="27" t="n"/>
      <c r="T3258" s="27" t="n"/>
    </row>
    <row r="3259" ht="13.8" customFormat="1" customHeight="1" s="70">
      <c r="M3259" s="27" t="n"/>
      <c r="N3259" s="27" t="n"/>
      <c r="O3259" s="27" t="n"/>
      <c r="P3259" s="27" t="n"/>
      <c r="Q3259" s="27" t="n"/>
      <c r="R3259" s="27" t="n"/>
      <c r="S3259" s="27" t="n"/>
      <c r="T3259" s="27" t="n"/>
    </row>
    <row r="3260" ht="13.8" customFormat="1" customHeight="1" s="70">
      <c r="M3260" s="27" t="n"/>
      <c r="N3260" s="27" t="n"/>
      <c r="O3260" s="27" t="n"/>
      <c r="P3260" s="27" t="n"/>
      <c r="Q3260" s="27" t="n"/>
      <c r="R3260" s="27" t="n"/>
      <c r="S3260" s="27" t="n"/>
      <c r="T3260" s="27" t="n"/>
    </row>
    <row r="3261" ht="13.8" customFormat="1" customHeight="1" s="70">
      <c r="M3261" s="27" t="n"/>
      <c r="N3261" s="27" t="n"/>
      <c r="O3261" s="27" t="n"/>
      <c r="P3261" s="27" t="n"/>
      <c r="Q3261" s="27" t="n"/>
      <c r="R3261" s="27" t="n"/>
      <c r="S3261" s="27" t="n"/>
      <c r="T3261" s="27" t="n"/>
    </row>
    <row r="3262" ht="13.8" customFormat="1" customHeight="1" s="70">
      <c r="M3262" s="27" t="n"/>
      <c r="N3262" s="27" t="n"/>
      <c r="O3262" s="27" t="n"/>
      <c r="P3262" s="27" t="n"/>
      <c r="Q3262" s="27" t="n"/>
      <c r="R3262" s="27" t="n"/>
      <c r="S3262" s="27" t="n"/>
      <c r="T3262" s="27" t="n"/>
    </row>
    <row r="3263" ht="13.8" customFormat="1" customHeight="1" s="70">
      <c r="M3263" s="27" t="n"/>
      <c r="N3263" s="27" t="n"/>
      <c r="O3263" s="27" t="n"/>
      <c r="P3263" s="27" t="n"/>
      <c r="Q3263" s="27" t="n"/>
      <c r="R3263" s="27" t="n"/>
      <c r="S3263" s="27" t="n"/>
      <c r="T3263" s="27" t="n"/>
    </row>
    <row r="3264" ht="13.8" customFormat="1" customHeight="1" s="70">
      <c r="M3264" s="27" t="n"/>
      <c r="N3264" s="27" t="n"/>
      <c r="O3264" s="27" t="n"/>
      <c r="P3264" s="27" t="n"/>
      <c r="Q3264" s="27" t="n"/>
      <c r="R3264" s="27" t="n"/>
      <c r="S3264" s="27" t="n"/>
      <c r="T3264" s="27" t="n"/>
    </row>
    <row r="3265" ht="13.8" customFormat="1" customHeight="1" s="70">
      <c r="M3265" s="27" t="n"/>
      <c r="N3265" s="27" t="n"/>
      <c r="O3265" s="27" t="n"/>
      <c r="P3265" s="27" t="n"/>
      <c r="Q3265" s="27" t="n"/>
      <c r="R3265" s="27" t="n"/>
      <c r="S3265" s="27" t="n"/>
      <c r="T3265" s="27" t="n"/>
    </row>
    <row r="3266" ht="13.8" customFormat="1" customHeight="1" s="70">
      <c r="M3266" s="27" t="n"/>
      <c r="N3266" s="27" t="n"/>
      <c r="O3266" s="27" t="n"/>
      <c r="P3266" s="27" t="n"/>
      <c r="Q3266" s="27" t="n"/>
      <c r="R3266" s="27" t="n"/>
      <c r="S3266" s="27" t="n"/>
      <c r="T3266" s="27" t="n"/>
    </row>
    <row r="3267" ht="13.8" customFormat="1" customHeight="1" s="70">
      <c r="M3267" s="27" t="n"/>
      <c r="N3267" s="27" t="n"/>
      <c r="O3267" s="27" t="n"/>
      <c r="P3267" s="27" t="n"/>
      <c r="Q3267" s="27" t="n"/>
      <c r="R3267" s="27" t="n"/>
      <c r="S3267" s="27" t="n"/>
      <c r="T3267" s="27" t="n"/>
    </row>
    <row r="3268" ht="13.8" customFormat="1" customHeight="1" s="70">
      <c r="M3268" s="27" t="n"/>
      <c r="N3268" s="27" t="n"/>
      <c r="O3268" s="27" t="n"/>
      <c r="P3268" s="27" t="n"/>
      <c r="Q3268" s="27" t="n"/>
      <c r="R3268" s="27" t="n"/>
      <c r="S3268" s="27" t="n"/>
      <c r="T3268" s="27" t="n"/>
    </row>
    <row r="3269" ht="13.8" customFormat="1" customHeight="1" s="70">
      <c r="M3269" s="27" t="n"/>
      <c r="N3269" s="27" t="n"/>
      <c r="O3269" s="27" t="n"/>
      <c r="P3269" s="27" t="n"/>
      <c r="Q3269" s="27" t="n"/>
      <c r="R3269" s="27" t="n"/>
      <c r="S3269" s="27" t="n"/>
      <c r="T3269" s="27" t="n"/>
    </row>
    <row r="3270" ht="13.8" customFormat="1" customHeight="1" s="70">
      <c r="M3270" s="27" t="n"/>
      <c r="N3270" s="27" t="n"/>
      <c r="O3270" s="27" t="n"/>
      <c r="P3270" s="27" t="n"/>
      <c r="Q3270" s="27" t="n"/>
      <c r="R3270" s="27" t="n"/>
      <c r="S3270" s="27" t="n"/>
      <c r="T3270" s="27" t="n"/>
    </row>
    <row r="3271" ht="13.8" customFormat="1" customHeight="1" s="70">
      <c r="M3271" s="27" t="n"/>
      <c r="N3271" s="27" t="n"/>
      <c r="O3271" s="27" t="n"/>
      <c r="P3271" s="27" t="n"/>
      <c r="Q3271" s="27" t="n"/>
      <c r="R3271" s="27" t="n"/>
      <c r="S3271" s="27" t="n"/>
      <c r="T3271" s="27" t="n"/>
    </row>
    <row r="3272" ht="13.8" customFormat="1" customHeight="1" s="70">
      <c r="M3272" s="27" t="n"/>
      <c r="N3272" s="27" t="n"/>
      <c r="O3272" s="27" t="n"/>
      <c r="P3272" s="27" t="n"/>
      <c r="Q3272" s="27" t="n"/>
      <c r="R3272" s="27" t="n"/>
      <c r="S3272" s="27" t="n"/>
      <c r="T3272" s="27" t="n"/>
    </row>
    <row r="3273" ht="13.8" customFormat="1" customHeight="1" s="70">
      <c r="M3273" s="27" t="n"/>
      <c r="N3273" s="27" t="n"/>
      <c r="O3273" s="27" t="n"/>
      <c r="P3273" s="27" t="n"/>
      <c r="Q3273" s="27" t="n"/>
      <c r="R3273" s="27" t="n"/>
      <c r="S3273" s="27" t="n"/>
      <c r="T3273" s="27" t="n"/>
    </row>
    <row r="3274" ht="13.8" customFormat="1" customHeight="1" s="70">
      <c r="M3274" s="27" t="n"/>
      <c r="N3274" s="27" t="n"/>
      <c r="O3274" s="27" t="n"/>
      <c r="P3274" s="27" t="n"/>
      <c r="Q3274" s="27" t="n"/>
      <c r="R3274" s="27" t="n"/>
      <c r="S3274" s="27" t="n"/>
      <c r="T3274" s="27" t="n"/>
    </row>
    <row r="3275" ht="13.8" customFormat="1" customHeight="1" s="70">
      <c r="M3275" s="27" t="n"/>
      <c r="N3275" s="27" t="n"/>
      <c r="O3275" s="27" t="n"/>
      <c r="P3275" s="27" t="n"/>
      <c r="Q3275" s="27" t="n"/>
      <c r="R3275" s="27" t="n"/>
      <c r="S3275" s="27" t="n"/>
      <c r="T3275" s="27" t="n"/>
    </row>
    <row r="3276" ht="13.8" customFormat="1" customHeight="1" s="70">
      <c r="M3276" s="27" t="n"/>
      <c r="N3276" s="27" t="n"/>
      <c r="O3276" s="27" t="n"/>
      <c r="P3276" s="27" t="n"/>
      <c r="Q3276" s="27" t="n"/>
      <c r="R3276" s="27" t="n"/>
      <c r="S3276" s="27" t="n"/>
      <c r="T3276" s="27" t="n"/>
    </row>
    <row r="3277" ht="13.8" customFormat="1" customHeight="1" s="70">
      <c r="M3277" s="27" t="n"/>
      <c r="N3277" s="27" t="n"/>
      <c r="O3277" s="27" t="n"/>
      <c r="P3277" s="27" t="n"/>
      <c r="Q3277" s="27" t="n"/>
      <c r="R3277" s="27" t="n"/>
      <c r="S3277" s="27" t="n"/>
      <c r="T3277" s="27" t="n"/>
    </row>
    <row r="3278" ht="13.8" customFormat="1" customHeight="1" s="70">
      <c r="M3278" s="27" t="n"/>
      <c r="N3278" s="27" t="n"/>
      <c r="O3278" s="27" t="n"/>
      <c r="P3278" s="27" t="n"/>
      <c r="Q3278" s="27" t="n"/>
      <c r="R3278" s="27" t="n"/>
      <c r="S3278" s="27" t="n"/>
      <c r="T3278" s="27" t="n"/>
    </row>
    <row r="3279" ht="13.8" customFormat="1" customHeight="1" s="70">
      <c r="M3279" s="27" t="n"/>
      <c r="N3279" s="27" t="n"/>
      <c r="O3279" s="27" t="n"/>
      <c r="P3279" s="27" t="n"/>
      <c r="Q3279" s="27" t="n"/>
      <c r="R3279" s="27" t="n"/>
      <c r="S3279" s="27" t="n"/>
      <c r="T3279" s="27" t="n"/>
    </row>
    <row r="3280" ht="13.8" customFormat="1" customHeight="1" s="70">
      <c r="M3280" s="27" t="n"/>
      <c r="N3280" s="27" t="n"/>
      <c r="O3280" s="27" t="n"/>
      <c r="P3280" s="27" t="n"/>
      <c r="Q3280" s="27" t="n"/>
      <c r="R3280" s="27" t="n"/>
      <c r="S3280" s="27" t="n"/>
      <c r="T3280" s="27" t="n"/>
    </row>
    <row r="3281" ht="13.8" customFormat="1" customHeight="1" s="70">
      <c r="M3281" s="27" t="n"/>
      <c r="N3281" s="27" t="n"/>
      <c r="O3281" s="27" t="n"/>
      <c r="P3281" s="27" t="n"/>
      <c r="Q3281" s="27" t="n"/>
      <c r="R3281" s="27" t="n"/>
      <c r="S3281" s="27" t="n"/>
      <c r="T3281" s="27" t="n"/>
    </row>
    <row r="3282" ht="13.8" customFormat="1" customHeight="1" s="70">
      <c r="M3282" s="27" t="n"/>
      <c r="N3282" s="27" t="n"/>
      <c r="O3282" s="27" t="n"/>
      <c r="P3282" s="27" t="n"/>
      <c r="Q3282" s="27" t="n"/>
      <c r="R3282" s="27" t="n"/>
      <c r="S3282" s="27" t="n"/>
      <c r="T3282" s="27" t="n"/>
    </row>
    <row r="3283" ht="13.8" customFormat="1" customHeight="1" s="70">
      <c r="M3283" s="27" t="n"/>
      <c r="N3283" s="27" t="n"/>
      <c r="O3283" s="27" t="n"/>
      <c r="P3283" s="27" t="n"/>
      <c r="Q3283" s="27" t="n"/>
      <c r="R3283" s="27" t="n"/>
      <c r="S3283" s="27" t="n"/>
      <c r="T3283" s="27" t="n"/>
    </row>
    <row r="3284" ht="13.8" customFormat="1" customHeight="1" s="70">
      <c r="M3284" s="27" t="n"/>
      <c r="N3284" s="27" t="n"/>
      <c r="O3284" s="27" t="n"/>
      <c r="P3284" s="27" t="n"/>
      <c r="Q3284" s="27" t="n"/>
      <c r="R3284" s="27" t="n"/>
      <c r="S3284" s="27" t="n"/>
      <c r="T3284" s="27" t="n"/>
    </row>
    <row r="3285" ht="13.8" customFormat="1" customHeight="1" s="70">
      <c r="M3285" s="27" t="n"/>
      <c r="N3285" s="27" t="n"/>
      <c r="O3285" s="27" t="n"/>
      <c r="P3285" s="27" t="n"/>
      <c r="Q3285" s="27" t="n"/>
      <c r="R3285" s="27" t="n"/>
      <c r="S3285" s="27" t="n"/>
      <c r="T3285" s="27" t="n"/>
    </row>
    <row r="3286" ht="13.8" customFormat="1" customHeight="1" s="70">
      <c r="M3286" s="27" t="n"/>
      <c r="N3286" s="27" t="n"/>
      <c r="O3286" s="27" t="n"/>
      <c r="P3286" s="27" t="n"/>
      <c r="Q3286" s="27" t="n"/>
      <c r="R3286" s="27" t="n"/>
      <c r="S3286" s="27" t="n"/>
      <c r="T3286" s="27" t="n"/>
    </row>
    <row r="3287" ht="13.8" customFormat="1" customHeight="1" s="70">
      <c r="M3287" s="27" t="n"/>
      <c r="N3287" s="27" t="n"/>
      <c r="O3287" s="27" t="n"/>
      <c r="P3287" s="27" t="n"/>
      <c r="Q3287" s="27" t="n"/>
      <c r="R3287" s="27" t="n"/>
      <c r="S3287" s="27" t="n"/>
      <c r="T3287" s="27" t="n"/>
    </row>
    <row r="3288" ht="13.8" customFormat="1" customHeight="1" s="70">
      <c r="M3288" s="27" t="n"/>
      <c r="N3288" s="27" t="n"/>
      <c r="O3288" s="27" t="n"/>
      <c r="P3288" s="27" t="n"/>
      <c r="Q3288" s="27" t="n"/>
      <c r="R3288" s="27" t="n"/>
      <c r="S3288" s="27" t="n"/>
      <c r="T3288" s="27" t="n"/>
    </row>
    <row r="3289" ht="13.8" customFormat="1" customHeight="1" s="70">
      <c r="M3289" s="27" t="n"/>
      <c r="N3289" s="27" t="n"/>
      <c r="O3289" s="27" t="n"/>
      <c r="P3289" s="27" t="n"/>
      <c r="Q3289" s="27" t="n"/>
      <c r="R3289" s="27" t="n"/>
      <c r="S3289" s="27" t="n"/>
      <c r="T3289" s="27" t="n"/>
    </row>
    <row r="3290" ht="13.8" customFormat="1" customHeight="1" s="70">
      <c r="M3290" s="27" t="n"/>
      <c r="N3290" s="27" t="n"/>
      <c r="O3290" s="27" t="n"/>
      <c r="P3290" s="27" t="n"/>
      <c r="Q3290" s="27" t="n"/>
      <c r="R3290" s="27" t="n"/>
      <c r="S3290" s="27" t="n"/>
      <c r="T3290" s="27" t="n"/>
    </row>
    <row r="3291" ht="13.8" customFormat="1" customHeight="1" s="70">
      <c r="M3291" s="27" t="n"/>
      <c r="N3291" s="27" t="n"/>
      <c r="O3291" s="27" t="n"/>
      <c r="P3291" s="27" t="n"/>
      <c r="Q3291" s="27" t="n"/>
      <c r="R3291" s="27" t="n"/>
      <c r="S3291" s="27" t="n"/>
      <c r="T3291" s="27" t="n"/>
    </row>
    <row r="3292" ht="13.8" customFormat="1" customHeight="1" s="70">
      <c r="M3292" s="27" t="n"/>
      <c r="N3292" s="27" t="n"/>
      <c r="O3292" s="27" t="n"/>
      <c r="P3292" s="27" t="n"/>
      <c r="Q3292" s="27" t="n"/>
      <c r="R3292" s="27" t="n"/>
      <c r="S3292" s="27" t="n"/>
      <c r="T3292" s="27" t="n"/>
    </row>
    <row r="3293" ht="13.8" customFormat="1" customHeight="1" s="70">
      <c r="M3293" s="27" t="n"/>
      <c r="N3293" s="27" t="n"/>
      <c r="O3293" s="27" t="n"/>
      <c r="P3293" s="27" t="n"/>
      <c r="Q3293" s="27" t="n"/>
      <c r="R3293" s="27" t="n"/>
      <c r="S3293" s="27" t="n"/>
      <c r="T3293" s="27" t="n"/>
    </row>
    <row r="3294" ht="13.8" customFormat="1" customHeight="1" s="70">
      <c r="M3294" s="27" t="n"/>
      <c r="N3294" s="27" t="n"/>
      <c r="O3294" s="27" t="n"/>
      <c r="P3294" s="27" t="n"/>
      <c r="Q3294" s="27" t="n"/>
      <c r="R3294" s="27" t="n"/>
      <c r="S3294" s="27" t="n"/>
      <c r="T3294" s="27" t="n"/>
    </row>
    <row r="3295" ht="13.8" customFormat="1" customHeight="1" s="70">
      <c r="M3295" s="27" t="n"/>
      <c r="N3295" s="27" t="n"/>
      <c r="O3295" s="27" t="n"/>
      <c r="P3295" s="27" t="n"/>
      <c r="Q3295" s="27" t="n"/>
      <c r="R3295" s="27" t="n"/>
      <c r="S3295" s="27" t="n"/>
      <c r="T3295" s="27" t="n"/>
    </row>
    <row r="3296" ht="13.8" customFormat="1" customHeight="1" s="70">
      <c r="M3296" s="27" t="n"/>
      <c r="N3296" s="27" t="n"/>
      <c r="O3296" s="27" t="n"/>
      <c r="P3296" s="27" t="n"/>
      <c r="Q3296" s="27" t="n"/>
      <c r="R3296" s="27" t="n"/>
      <c r="S3296" s="27" t="n"/>
      <c r="T3296" s="27" t="n"/>
    </row>
    <row r="3297" ht="13.8" customFormat="1" customHeight="1" s="70">
      <c r="M3297" s="27" t="n"/>
      <c r="N3297" s="27" t="n"/>
      <c r="O3297" s="27" t="n"/>
      <c r="P3297" s="27" t="n"/>
      <c r="Q3297" s="27" t="n"/>
      <c r="R3297" s="27" t="n"/>
      <c r="S3297" s="27" t="n"/>
      <c r="T3297" s="27" t="n"/>
    </row>
    <row r="3298" ht="13.8" customFormat="1" customHeight="1" s="70">
      <c r="M3298" s="27" t="n"/>
      <c r="N3298" s="27" t="n"/>
      <c r="O3298" s="27" t="n"/>
      <c r="P3298" s="27" t="n"/>
      <c r="Q3298" s="27" t="n"/>
      <c r="R3298" s="27" t="n"/>
      <c r="S3298" s="27" t="n"/>
      <c r="T3298" s="27" t="n"/>
    </row>
    <row r="3299" ht="13.8" customFormat="1" customHeight="1" s="70">
      <c r="M3299" s="27" t="n"/>
      <c r="N3299" s="27" t="n"/>
      <c r="O3299" s="27" t="n"/>
      <c r="P3299" s="27" t="n"/>
      <c r="Q3299" s="27" t="n"/>
      <c r="R3299" s="27" t="n"/>
      <c r="S3299" s="27" t="n"/>
      <c r="T3299" s="27" t="n"/>
    </row>
    <row r="3300" ht="13.8" customFormat="1" customHeight="1" s="70">
      <c r="M3300" s="27" t="n"/>
      <c r="N3300" s="27" t="n"/>
      <c r="O3300" s="27" t="n"/>
      <c r="P3300" s="27" t="n"/>
      <c r="Q3300" s="27" t="n"/>
      <c r="R3300" s="27" t="n"/>
      <c r="S3300" s="27" t="n"/>
      <c r="T3300" s="27" t="n"/>
    </row>
    <row r="3301" ht="13.8" customFormat="1" customHeight="1" s="70">
      <c r="M3301" s="27" t="n"/>
      <c r="N3301" s="27" t="n"/>
      <c r="O3301" s="27" t="n"/>
      <c r="P3301" s="27" t="n"/>
      <c r="Q3301" s="27" t="n"/>
      <c r="R3301" s="27" t="n"/>
      <c r="S3301" s="27" t="n"/>
      <c r="T3301" s="27" t="n"/>
    </row>
    <row r="3302" ht="13.8" customFormat="1" customHeight="1" s="70">
      <c r="M3302" s="27" t="n"/>
      <c r="N3302" s="27" t="n"/>
      <c r="O3302" s="27" t="n"/>
      <c r="P3302" s="27" t="n"/>
      <c r="Q3302" s="27" t="n"/>
      <c r="R3302" s="27" t="n"/>
      <c r="S3302" s="27" t="n"/>
      <c r="T3302" s="27" t="n"/>
    </row>
    <row r="3303" ht="13.8" customFormat="1" customHeight="1" s="70">
      <c r="M3303" s="27" t="n"/>
      <c r="N3303" s="27" t="n"/>
      <c r="O3303" s="27" t="n"/>
      <c r="P3303" s="27" t="n"/>
      <c r="Q3303" s="27" t="n"/>
      <c r="R3303" s="27" t="n"/>
      <c r="S3303" s="27" t="n"/>
      <c r="T3303" s="27" t="n"/>
    </row>
    <row r="3304" ht="13.8" customFormat="1" customHeight="1" s="70">
      <c r="M3304" s="27" t="n"/>
      <c r="N3304" s="27" t="n"/>
      <c r="O3304" s="27" t="n"/>
      <c r="P3304" s="27" t="n"/>
      <c r="Q3304" s="27" t="n"/>
      <c r="R3304" s="27" t="n"/>
      <c r="S3304" s="27" t="n"/>
      <c r="T3304" s="27" t="n"/>
    </row>
    <row r="3305" ht="13.8" customFormat="1" customHeight="1" s="70">
      <c r="M3305" s="27" t="n"/>
      <c r="N3305" s="27" t="n"/>
      <c r="O3305" s="27" t="n"/>
      <c r="P3305" s="27" t="n"/>
      <c r="Q3305" s="27" t="n"/>
      <c r="R3305" s="27" t="n"/>
      <c r="S3305" s="27" t="n"/>
      <c r="T3305" s="27" t="n"/>
    </row>
    <row r="3306" ht="13.8" customFormat="1" customHeight="1" s="70">
      <c r="M3306" s="27" t="n"/>
      <c r="N3306" s="27" t="n"/>
      <c r="O3306" s="27" t="n"/>
      <c r="P3306" s="27" t="n"/>
      <c r="Q3306" s="27" t="n"/>
      <c r="R3306" s="27" t="n"/>
      <c r="S3306" s="27" t="n"/>
      <c r="T3306" s="27" t="n"/>
    </row>
    <row r="3307" ht="13.8" customFormat="1" customHeight="1" s="70">
      <c r="M3307" s="27" t="n"/>
      <c r="N3307" s="27" t="n"/>
      <c r="O3307" s="27" t="n"/>
      <c r="P3307" s="27" t="n"/>
      <c r="Q3307" s="27" t="n"/>
      <c r="R3307" s="27" t="n"/>
      <c r="S3307" s="27" t="n"/>
      <c r="T3307" s="27" t="n"/>
    </row>
    <row r="3308" ht="13.8" customFormat="1" customHeight="1" s="70">
      <c r="M3308" s="27" t="n"/>
      <c r="N3308" s="27" t="n"/>
      <c r="O3308" s="27" t="n"/>
      <c r="P3308" s="27" t="n"/>
      <c r="Q3308" s="27" t="n"/>
      <c r="R3308" s="27" t="n"/>
      <c r="S3308" s="27" t="n"/>
      <c r="T3308" s="27" t="n"/>
    </row>
    <row r="3309" ht="13.8" customFormat="1" customHeight="1" s="70">
      <c r="M3309" s="27" t="n"/>
      <c r="N3309" s="27" t="n"/>
      <c r="O3309" s="27" t="n"/>
      <c r="P3309" s="27" t="n"/>
      <c r="Q3309" s="27" t="n"/>
      <c r="R3309" s="27" t="n"/>
      <c r="S3309" s="27" t="n"/>
      <c r="T3309" s="27" t="n"/>
    </row>
    <row r="3310" ht="13.8" customFormat="1" customHeight="1" s="70">
      <c r="M3310" s="27" t="n"/>
      <c r="N3310" s="27" t="n"/>
      <c r="O3310" s="27" t="n"/>
      <c r="P3310" s="27" t="n"/>
      <c r="Q3310" s="27" t="n"/>
      <c r="R3310" s="27" t="n"/>
      <c r="S3310" s="27" t="n"/>
      <c r="T3310" s="27" t="n"/>
    </row>
    <row r="3311" ht="13.8" customFormat="1" customHeight="1" s="70">
      <c r="M3311" s="27" t="n"/>
      <c r="N3311" s="27" t="n"/>
      <c r="O3311" s="27" t="n"/>
      <c r="P3311" s="27" t="n"/>
      <c r="Q3311" s="27" t="n"/>
      <c r="R3311" s="27" t="n"/>
      <c r="S3311" s="27" t="n"/>
      <c r="T3311" s="27" t="n"/>
    </row>
    <row r="3312" ht="13.8" customFormat="1" customHeight="1" s="70">
      <c r="M3312" s="27" t="n"/>
      <c r="N3312" s="27" t="n"/>
      <c r="O3312" s="27" t="n"/>
      <c r="P3312" s="27" t="n"/>
      <c r="Q3312" s="27" t="n"/>
      <c r="R3312" s="27" t="n"/>
      <c r="S3312" s="27" t="n"/>
      <c r="T3312" s="27" t="n"/>
    </row>
    <row r="3313" ht="13.8" customFormat="1" customHeight="1" s="70">
      <c r="M3313" s="27" t="n"/>
      <c r="N3313" s="27" t="n"/>
      <c r="O3313" s="27" t="n"/>
      <c r="P3313" s="27" t="n"/>
      <c r="Q3313" s="27" t="n"/>
      <c r="R3313" s="27" t="n"/>
      <c r="S3313" s="27" t="n"/>
      <c r="T3313" s="27" t="n"/>
    </row>
    <row r="3314" ht="13.8" customFormat="1" customHeight="1" s="70">
      <c r="M3314" s="27" t="n"/>
      <c r="N3314" s="27" t="n"/>
      <c r="O3314" s="27" t="n"/>
      <c r="P3314" s="27" t="n"/>
      <c r="Q3314" s="27" t="n"/>
      <c r="R3314" s="27" t="n"/>
      <c r="S3314" s="27" t="n"/>
      <c r="T3314" s="27" t="n"/>
    </row>
    <row r="3315" ht="13.8" customFormat="1" customHeight="1" s="70">
      <c r="M3315" s="27" t="n"/>
      <c r="N3315" s="27" t="n"/>
      <c r="O3315" s="27" t="n"/>
      <c r="P3315" s="27" t="n"/>
      <c r="Q3315" s="27" t="n"/>
      <c r="R3315" s="27" t="n"/>
      <c r="S3315" s="27" t="n"/>
      <c r="T3315" s="27" t="n"/>
    </row>
    <row r="3316" ht="13.8" customFormat="1" customHeight="1" s="70">
      <c r="M3316" s="27" t="n"/>
      <c r="N3316" s="27" t="n"/>
      <c r="O3316" s="27" t="n"/>
      <c r="P3316" s="27" t="n"/>
      <c r="Q3316" s="27" t="n"/>
      <c r="R3316" s="27" t="n"/>
      <c r="S3316" s="27" t="n"/>
      <c r="T3316" s="27" t="n"/>
    </row>
    <row r="3317" ht="13.8" customFormat="1" customHeight="1" s="70">
      <c r="M3317" s="27" t="n"/>
      <c r="N3317" s="27" t="n"/>
      <c r="O3317" s="27" t="n"/>
      <c r="P3317" s="27" t="n"/>
      <c r="Q3317" s="27" t="n"/>
      <c r="R3317" s="27" t="n"/>
      <c r="S3317" s="27" t="n"/>
      <c r="T3317" s="27" t="n"/>
    </row>
    <row r="3318" ht="13.8" customFormat="1" customHeight="1" s="70">
      <c r="M3318" s="27" t="n"/>
      <c r="N3318" s="27" t="n"/>
      <c r="O3318" s="27" t="n"/>
      <c r="P3318" s="27" t="n"/>
      <c r="Q3318" s="27" t="n"/>
      <c r="R3318" s="27" t="n"/>
      <c r="S3318" s="27" t="n"/>
      <c r="T3318" s="27" t="n"/>
    </row>
    <row r="3319" ht="13.8" customFormat="1" customHeight="1" s="70">
      <c r="M3319" s="27" t="n"/>
      <c r="N3319" s="27" t="n"/>
      <c r="O3319" s="27" t="n"/>
      <c r="P3319" s="27" t="n"/>
      <c r="Q3319" s="27" t="n"/>
      <c r="R3319" s="27" t="n"/>
      <c r="S3319" s="27" t="n"/>
      <c r="T3319" s="27" t="n"/>
    </row>
    <row r="3320" ht="13.8" customFormat="1" customHeight="1" s="70">
      <c r="M3320" s="27" t="n"/>
      <c r="N3320" s="27" t="n"/>
      <c r="O3320" s="27" t="n"/>
      <c r="P3320" s="27" t="n"/>
      <c r="Q3320" s="27" t="n"/>
      <c r="R3320" s="27" t="n"/>
      <c r="S3320" s="27" t="n"/>
      <c r="T3320" s="27" t="n"/>
    </row>
    <row r="3321" ht="13.8" customFormat="1" customHeight="1" s="70">
      <c r="M3321" s="27" t="n"/>
      <c r="N3321" s="27" t="n"/>
      <c r="O3321" s="27" t="n"/>
      <c r="P3321" s="27" t="n"/>
      <c r="Q3321" s="27" t="n"/>
      <c r="R3321" s="27" t="n"/>
      <c r="S3321" s="27" t="n"/>
      <c r="T3321" s="27" t="n"/>
    </row>
    <row r="3322" ht="13.8" customFormat="1" customHeight="1" s="70">
      <c r="M3322" s="27" t="n"/>
      <c r="N3322" s="27" t="n"/>
      <c r="O3322" s="27" t="n"/>
      <c r="P3322" s="27" t="n"/>
      <c r="Q3322" s="27" t="n"/>
      <c r="R3322" s="27" t="n"/>
      <c r="S3322" s="27" t="n"/>
      <c r="T3322" s="27" t="n"/>
    </row>
    <row r="3323" ht="13.8" customFormat="1" customHeight="1" s="70">
      <c r="M3323" s="27" t="n"/>
      <c r="N3323" s="27" t="n"/>
      <c r="O3323" s="27" t="n"/>
      <c r="P3323" s="27" t="n"/>
      <c r="Q3323" s="27" t="n"/>
      <c r="R3323" s="27" t="n"/>
      <c r="S3323" s="27" t="n"/>
      <c r="T3323" s="27" t="n"/>
    </row>
    <row r="3324" ht="13.8" customFormat="1" customHeight="1" s="70">
      <c r="M3324" s="27" t="n"/>
      <c r="N3324" s="27" t="n"/>
      <c r="O3324" s="27" t="n"/>
      <c r="P3324" s="27" t="n"/>
      <c r="Q3324" s="27" t="n"/>
      <c r="R3324" s="27" t="n"/>
      <c r="S3324" s="27" t="n"/>
      <c r="T3324" s="27" t="n"/>
    </row>
    <row r="3325" ht="13.8" customFormat="1" customHeight="1" s="70">
      <c r="M3325" s="27" t="n"/>
      <c r="N3325" s="27" t="n"/>
      <c r="O3325" s="27" t="n"/>
      <c r="P3325" s="27" t="n"/>
      <c r="Q3325" s="27" t="n"/>
      <c r="R3325" s="27" t="n"/>
      <c r="S3325" s="27" t="n"/>
      <c r="T3325" s="27" t="n"/>
    </row>
    <row r="3326" ht="13.8" customFormat="1" customHeight="1" s="70">
      <c r="M3326" s="27" t="n"/>
      <c r="N3326" s="27" t="n"/>
      <c r="O3326" s="27" t="n"/>
      <c r="P3326" s="27" t="n"/>
      <c r="Q3326" s="27" t="n"/>
      <c r="R3326" s="27" t="n"/>
      <c r="S3326" s="27" t="n"/>
      <c r="T3326" s="27" t="n"/>
    </row>
    <row r="3327" ht="13.8" customFormat="1" customHeight="1" s="70">
      <c r="M3327" s="27" t="n"/>
      <c r="N3327" s="27" t="n"/>
      <c r="O3327" s="27" t="n"/>
      <c r="P3327" s="27" t="n"/>
      <c r="Q3327" s="27" t="n"/>
      <c r="R3327" s="27" t="n"/>
      <c r="S3327" s="27" t="n"/>
      <c r="T3327" s="27" t="n"/>
    </row>
    <row r="3328" ht="13.8" customFormat="1" customHeight="1" s="70">
      <c r="M3328" s="27" t="n"/>
      <c r="N3328" s="27" t="n"/>
      <c r="O3328" s="27" t="n"/>
      <c r="P3328" s="27" t="n"/>
      <c r="Q3328" s="27" t="n"/>
      <c r="R3328" s="27" t="n"/>
      <c r="S3328" s="27" t="n"/>
      <c r="T3328" s="27" t="n"/>
    </row>
    <row r="3329" ht="13.8" customFormat="1" customHeight="1" s="70">
      <c r="M3329" s="27" t="n"/>
      <c r="N3329" s="27" t="n"/>
      <c r="O3329" s="27" t="n"/>
      <c r="P3329" s="27" t="n"/>
      <c r="Q3329" s="27" t="n"/>
      <c r="R3329" s="27" t="n"/>
      <c r="S3329" s="27" t="n"/>
      <c r="T3329" s="27" t="n"/>
    </row>
    <row r="3330" ht="13.8" customFormat="1" customHeight="1" s="70">
      <c r="M3330" s="27" t="n"/>
      <c r="N3330" s="27" t="n"/>
      <c r="O3330" s="27" t="n"/>
      <c r="P3330" s="27" t="n"/>
      <c r="Q3330" s="27" t="n"/>
      <c r="R3330" s="27" t="n"/>
      <c r="S3330" s="27" t="n"/>
      <c r="T3330" s="27" t="n"/>
    </row>
    <row r="3331" ht="13.8" customFormat="1" customHeight="1" s="70">
      <c r="M3331" s="27" t="n"/>
      <c r="N3331" s="27" t="n"/>
      <c r="O3331" s="27" t="n"/>
      <c r="P3331" s="27" t="n"/>
      <c r="Q3331" s="27" t="n"/>
      <c r="R3331" s="27" t="n"/>
      <c r="S3331" s="27" t="n"/>
      <c r="T3331" s="27" t="n"/>
    </row>
    <row r="3332" ht="13.8" customFormat="1" customHeight="1" s="70">
      <c r="M3332" s="27" t="n"/>
      <c r="N3332" s="27" t="n"/>
      <c r="O3332" s="27" t="n"/>
      <c r="P3332" s="27" t="n"/>
      <c r="Q3332" s="27" t="n"/>
      <c r="R3332" s="27" t="n"/>
      <c r="S3332" s="27" t="n"/>
      <c r="T3332" s="27" t="n"/>
    </row>
    <row r="3333" ht="13.8" customFormat="1" customHeight="1" s="70">
      <c r="M3333" s="27" t="n"/>
      <c r="N3333" s="27" t="n"/>
      <c r="O3333" s="27" t="n"/>
      <c r="P3333" s="27" t="n"/>
      <c r="Q3333" s="27" t="n"/>
      <c r="R3333" s="27" t="n"/>
      <c r="S3333" s="27" t="n"/>
      <c r="T3333" s="27" t="n"/>
    </row>
    <row r="3334" ht="13.8" customFormat="1" customHeight="1" s="70">
      <c r="M3334" s="27" t="n"/>
      <c r="N3334" s="27" t="n"/>
      <c r="O3334" s="27" t="n"/>
      <c r="P3334" s="27" t="n"/>
      <c r="Q3334" s="27" t="n"/>
      <c r="R3334" s="27" t="n"/>
      <c r="S3334" s="27" t="n"/>
      <c r="T3334" s="27" t="n"/>
    </row>
    <row r="3335" ht="13.8" customFormat="1" customHeight="1" s="70">
      <c r="M3335" s="27" t="n"/>
      <c r="N3335" s="27" t="n"/>
      <c r="O3335" s="27" t="n"/>
      <c r="P3335" s="27" t="n"/>
      <c r="Q3335" s="27" t="n"/>
      <c r="R3335" s="27" t="n"/>
      <c r="S3335" s="27" t="n"/>
      <c r="T3335" s="27" t="n"/>
    </row>
    <row r="3336" ht="13.8" customFormat="1" customHeight="1" s="70">
      <c r="M3336" s="27" t="n"/>
      <c r="N3336" s="27" t="n"/>
      <c r="O3336" s="27" t="n"/>
      <c r="P3336" s="27" t="n"/>
      <c r="Q3336" s="27" t="n"/>
      <c r="R3336" s="27" t="n"/>
      <c r="S3336" s="27" t="n"/>
      <c r="T3336" s="27" t="n"/>
    </row>
    <row r="3337" ht="13.8" customFormat="1" customHeight="1" s="70">
      <c r="M3337" s="27" t="n"/>
      <c r="N3337" s="27" t="n"/>
      <c r="O3337" s="27" t="n"/>
      <c r="P3337" s="27" t="n"/>
      <c r="Q3337" s="27" t="n"/>
      <c r="R3337" s="27" t="n"/>
      <c r="S3337" s="27" t="n"/>
      <c r="T3337" s="27" t="n"/>
    </row>
    <row r="3338" ht="13.8" customFormat="1" customHeight="1" s="70">
      <c r="M3338" s="27" t="n"/>
      <c r="N3338" s="27" t="n"/>
      <c r="O3338" s="27" t="n"/>
      <c r="P3338" s="27" t="n"/>
      <c r="Q3338" s="27" t="n"/>
      <c r="R3338" s="27" t="n"/>
      <c r="S3338" s="27" t="n"/>
      <c r="T3338" s="27" t="n"/>
    </row>
    <row r="3339" ht="13.8" customFormat="1" customHeight="1" s="70">
      <c r="M3339" s="27" t="n"/>
      <c r="N3339" s="27" t="n"/>
      <c r="O3339" s="27" t="n"/>
      <c r="P3339" s="27" t="n"/>
      <c r="Q3339" s="27" t="n"/>
      <c r="R3339" s="27" t="n"/>
      <c r="S3339" s="27" t="n"/>
      <c r="T3339" s="27" t="n"/>
    </row>
    <row r="3340" ht="13.8" customFormat="1" customHeight="1" s="70">
      <c r="M3340" s="27" t="n"/>
      <c r="N3340" s="27" t="n"/>
      <c r="O3340" s="27" t="n"/>
      <c r="P3340" s="27" t="n"/>
      <c r="Q3340" s="27" t="n"/>
      <c r="R3340" s="27" t="n"/>
      <c r="S3340" s="27" t="n"/>
      <c r="T3340" s="27" t="n"/>
    </row>
    <row r="3341" ht="13.8" customFormat="1" customHeight="1" s="70">
      <c r="M3341" s="27" t="n"/>
      <c r="N3341" s="27" t="n"/>
      <c r="O3341" s="27" t="n"/>
      <c r="P3341" s="27" t="n"/>
      <c r="Q3341" s="27" t="n"/>
      <c r="R3341" s="27" t="n"/>
      <c r="S3341" s="27" t="n"/>
      <c r="T3341" s="27" t="n"/>
    </row>
    <row r="3342" ht="13.8" customFormat="1" customHeight="1" s="70">
      <c r="M3342" s="27" t="n"/>
      <c r="N3342" s="27" t="n"/>
      <c r="O3342" s="27" t="n"/>
      <c r="P3342" s="27" t="n"/>
      <c r="Q3342" s="27" t="n"/>
      <c r="R3342" s="27" t="n"/>
      <c r="S3342" s="27" t="n"/>
      <c r="T3342" s="27" t="n"/>
    </row>
    <row r="3343" ht="13.8" customFormat="1" customHeight="1" s="70">
      <c r="M3343" s="27" t="n"/>
      <c r="N3343" s="27" t="n"/>
      <c r="O3343" s="27" t="n"/>
      <c r="P3343" s="27" t="n"/>
      <c r="Q3343" s="27" t="n"/>
      <c r="R3343" s="27" t="n"/>
      <c r="S3343" s="27" t="n"/>
      <c r="T3343" s="27" t="n"/>
    </row>
    <row r="3344" ht="13.8" customFormat="1" customHeight="1" s="70">
      <c r="M3344" s="27" t="n"/>
      <c r="N3344" s="27" t="n"/>
      <c r="O3344" s="27" t="n"/>
      <c r="P3344" s="27" t="n"/>
      <c r="Q3344" s="27" t="n"/>
      <c r="R3344" s="27" t="n"/>
      <c r="S3344" s="27" t="n"/>
      <c r="T3344" s="27" t="n"/>
    </row>
    <row r="3345" ht="13.8" customFormat="1" customHeight="1" s="70">
      <c r="M3345" s="27" t="n"/>
      <c r="N3345" s="27" t="n"/>
      <c r="O3345" s="27" t="n"/>
      <c r="P3345" s="27" t="n"/>
      <c r="Q3345" s="27" t="n"/>
      <c r="R3345" s="27" t="n"/>
      <c r="S3345" s="27" t="n"/>
      <c r="T3345" s="27" t="n"/>
    </row>
    <row r="3346" ht="13.8" customFormat="1" customHeight="1" s="70">
      <c r="M3346" s="27" t="n"/>
      <c r="N3346" s="27" t="n"/>
      <c r="O3346" s="27" t="n"/>
      <c r="P3346" s="27" t="n"/>
      <c r="Q3346" s="27" t="n"/>
      <c r="R3346" s="27" t="n"/>
      <c r="S3346" s="27" t="n"/>
      <c r="T3346" s="27" t="n"/>
    </row>
    <row r="3347" ht="13.8" customFormat="1" customHeight="1" s="70">
      <c r="M3347" s="27" t="n"/>
      <c r="N3347" s="27" t="n"/>
      <c r="O3347" s="27" t="n"/>
      <c r="P3347" s="27" t="n"/>
      <c r="Q3347" s="27" t="n"/>
      <c r="R3347" s="27" t="n"/>
      <c r="S3347" s="27" t="n"/>
      <c r="T3347" s="27" t="n"/>
    </row>
    <row r="3348" ht="13.8" customFormat="1" customHeight="1" s="70">
      <c r="M3348" s="27" t="n"/>
      <c r="N3348" s="27" t="n"/>
      <c r="O3348" s="27" t="n"/>
      <c r="P3348" s="27" t="n"/>
      <c r="Q3348" s="27" t="n"/>
      <c r="R3348" s="27" t="n"/>
      <c r="S3348" s="27" t="n"/>
      <c r="T3348" s="27" t="n"/>
    </row>
    <row r="3349" ht="13.8" customFormat="1" customHeight="1" s="70">
      <c r="M3349" s="27" t="n"/>
      <c r="N3349" s="27" t="n"/>
      <c r="O3349" s="27" t="n"/>
      <c r="P3349" s="27" t="n"/>
      <c r="Q3349" s="27" t="n"/>
      <c r="R3349" s="27" t="n"/>
      <c r="S3349" s="27" t="n"/>
      <c r="T3349" s="27" t="n"/>
    </row>
    <row r="3350" ht="13.8" customFormat="1" customHeight="1" s="70">
      <c r="M3350" s="27" t="n"/>
      <c r="N3350" s="27" t="n"/>
      <c r="O3350" s="27" t="n"/>
      <c r="P3350" s="27" t="n"/>
      <c r="Q3350" s="27" t="n"/>
      <c r="R3350" s="27" t="n"/>
      <c r="S3350" s="27" t="n"/>
      <c r="T3350" s="27" t="n"/>
    </row>
    <row r="3351" ht="13.8" customFormat="1" customHeight="1" s="70">
      <c r="M3351" s="27" t="n"/>
      <c r="N3351" s="27" t="n"/>
      <c r="O3351" s="27" t="n"/>
      <c r="P3351" s="27" t="n"/>
      <c r="Q3351" s="27" t="n"/>
      <c r="R3351" s="27" t="n"/>
      <c r="S3351" s="27" t="n"/>
      <c r="T3351" s="27" t="n"/>
    </row>
    <row r="3352" ht="13.8" customFormat="1" customHeight="1" s="70">
      <c r="M3352" s="27" t="n"/>
      <c r="N3352" s="27" t="n"/>
      <c r="O3352" s="27" t="n"/>
      <c r="P3352" s="27" t="n"/>
      <c r="Q3352" s="27" t="n"/>
      <c r="R3352" s="27" t="n"/>
      <c r="S3352" s="27" t="n"/>
      <c r="T3352" s="27" t="n"/>
    </row>
    <row r="3353" ht="13.8" customFormat="1" customHeight="1" s="70">
      <c r="M3353" s="27" t="n"/>
      <c r="N3353" s="27" t="n"/>
      <c r="O3353" s="27" t="n"/>
      <c r="P3353" s="27" t="n"/>
      <c r="Q3353" s="27" t="n"/>
      <c r="R3353" s="27" t="n"/>
      <c r="S3353" s="27" t="n"/>
      <c r="T3353" s="27" t="n"/>
    </row>
    <row r="3354" ht="13.8" customFormat="1" customHeight="1" s="70">
      <c r="M3354" s="27" t="n"/>
      <c r="N3354" s="27" t="n"/>
      <c r="O3354" s="27" t="n"/>
      <c r="P3354" s="27" t="n"/>
      <c r="Q3354" s="27" t="n"/>
      <c r="R3354" s="27" t="n"/>
      <c r="S3354" s="27" t="n"/>
      <c r="T3354" s="27" t="n"/>
    </row>
    <row r="3355" ht="13.8" customFormat="1" customHeight="1" s="70">
      <c r="M3355" s="27" t="n"/>
      <c r="N3355" s="27" t="n"/>
      <c r="O3355" s="27" t="n"/>
      <c r="P3355" s="27" t="n"/>
      <c r="Q3355" s="27" t="n"/>
      <c r="R3355" s="27" t="n"/>
      <c r="S3355" s="27" t="n"/>
      <c r="T3355" s="27" t="n"/>
    </row>
    <row r="3356" ht="13.8" customFormat="1" customHeight="1" s="70">
      <c r="M3356" s="27" t="n"/>
      <c r="N3356" s="27" t="n"/>
      <c r="O3356" s="27" t="n"/>
      <c r="P3356" s="27" t="n"/>
      <c r="Q3356" s="27" t="n"/>
      <c r="R3356" s="27" t="n"/>
      <c r="S3356" s="27" t="n"/>
      <c r="T3356" s="27" t="n"/>
    </row>
    <row r="3357" ht="13.8" customFormat="1" customHeight="1" s="70">
      <c r="M3357" s="27" t="n"/>
      <c r="N3357" s="27" t="n"/>
      <c r="O3357" s="27" t="n"/>
      <c r="P3357" s="27" t="n"/>
      <c r="Q3357" s="27" t="n"/>
      <c r="R3357" s="27" t="n"/>
      <c r="S3357" s="27" t="n"/>
      <c r="T3357" s="27" t="n"/>
    </row>
    <row r="3358" ht="13.8" customFormat="1" customHeight="1" s="70">
      <c r="M3358" s="27" t="n"/>
      <c r="N3358" s="27" t="n"/>
      <c r="O3358" s="27" t="n"/>
      <c r="P3358" s="27" t="n"/>
      <c r="Q3358" s="27" t="n"/>
      <c r="R3358" s="27" t="n"/>
      <c r="S3358" s="27" t="n"/>
      <c r="T3358" s="27" t="n"/>
    </row>
    <row r="3359" ht="13.8" customFormat="1" customHeight="1" s="70">
      <c r="M3359" s="27" t="n"/>
      <c r="N3359" s="27" t="n"/>
      <c r="O3359" s="27" t="n"/>
      <c r="P3359" s="27" t="n"/>
      <c r="Q3359" s="27" t="n"/>
      <c r="R3359" s="27" t="n"/>
      <c r="S3359" s="27" t="n"/>
      <c r="T3359" s="27" t="n"/>
    </row>
    <row r="3360" ht="13.8" customFormat="1" customHeight="1" s="70">
      <c r="M3360" s="27" t="n"/>
      <c r="N3360" s="27" t="n"/>
      <c r="O3360" s="27" t="n"/>
      <c r="P3360" s="27" t="n"/>
      <c r="Q3360" s="27" t="n"/>
      <c r="R3360" s="27" t="n"/>
      <c r="S3360" s="27" t="n"/>
      <c r="T3360" s="27" t="n"/>
    </row>
    <row r="3361" ht="13.8" customFormat="1" customHeight="1" s="70">
      <c r="M3361" s="27" t="n"/>
      <c r="N3361" s="27" t="n"/>
      <c r="O3361" s="27" t="n"/>
      <c r="P3361" s="27" t="n"/>
      <c r="Q3361" s="27" t="n"/>
      <c r="R3361" s="27" t="n"/>
      <c r="S3361" s="27" t="n"/>
      <c r="T3361" s="27" t="n"/>
    </row>
    <row r="3362" ht="13.8" customFormat="1" customHeight="1" s="70">
      <c r="M3362" s="27" t="n"/>
      <c r="N3362" s="27" t="n"/>
      <c r="O3362" s="27" t="n"/>
      <c r="P3362" s="27" t="n"/>
      <c r="Q3362" s="27" t="n"/>
      <c r="R3362" s="27" t="n"/>
      <c r="S3362" s="27" t="n"/>
      <c r="T3362" s="27" t="n"/>
    </row>
    <row r="3363" ht="13.8" customFormat="1" customHeight="1" s="70">
      <c r="M3363" s="27" t="n"/>
      <c r="N3363" s="27" t="n"/>
      <c r="O3363" s="27" t="n"/>
      <c r="P3363" s="27" t="n"/>
      <c r="Q3363" s="27" t="n"/>
      <c r="R3363" s="27" t="n"/>
      <c r="S3363" s="27" t="n"/>
      <c r="T3363" s="27" t="n"/>
    </row>
    <row r="3364" ht="13.8" customFormat="1" customHeight="1" s="70">
      <c r="M3364" s="27" t="n"/>
      <c r="N3364" s="27" t="n"/>
      <c r="O3364" s="27" t="n"/>
      <c r="P3364" s="27" t="n"/>
      <c r="Q3364" s="27" t="n"/>
      <c r="R3364" s="27" t="n"/>
      <c r="S3364" s="27" t="n"/>
      <c r="T3364" s="27" t="n"/>
    </row>
    <row r="3365" ht="13.8" customFormat="1" customHeight="1" s="70">
      <c r="M3365" s="27" t="n"/>
      <c r="N3365" s="27" t="n"/>
      <c r="O3365" s="27" t="n"/>
      <c r="P3365" s="27" t="n"/>
      <c r="Q3365" s="27" t="n"/>
      <c r="R3365" s="27" t="n"/>
      <c r="S3365" s="27" t="n"/>
      <c r="T3365" s="27" t="n"/>
    </row>
    <row r="3366" ht="13.8" customFormat="1" customHeight="1" s="70">
      <c r="M3366" s="27" t="n"/>
      <c r="N3366" s="27" t="n"/>
      <c r="O3366" s="27" t="n"/>
      <c r="P3366" s="27" t="n"/>
      <c r="Q3366" s="27" t="n"/>
      <c r="R3366" s="27" t="n"/>
      <c r="S3366" s="27" t="n"/>
      <c r="T3366" s="27" t="n"/>
    </row>
    <row r="3367" ht="13.8" customFormat="1" customHeight="1" s="70">
      <c r="M3367" s="27" t="n"/>
      <c r="N3367" s="27" t="n"/>
      <c r="O3367" s="27" t="n"/>
      <c r="P3367" s="27" t="n"/>
      <c r="Q3367" s="27" t="n"/>
      <c r="R3367" s="27" t="n"/>
      <c r="S3367" s="27" t="n"/>
      <c r="T3367" s="27" t="n"/>
    </row>
    <row r="3368" ht="13.8" customFormat="1" customHeight="1" s="70">
      <c r="M3368" s="27" t="n"/>
      <c r="N3368" s="27" t="n"/>
      <c r="O3368" s="27" t="n"/>
      <c r="P3368" s="27" t="n"/>
      <c r="Q3368" s="27" t="n"/>
      <c r="R3368" s="27" t="n"/>
      <c r="S3368" s="27" t="n"/>
      <c r="T3368" s="27" t="n"/>
    </row>
    <row r="3369" ht="13.8" customFormat="1" customHeight="1" s="70">
      <c r="M3369" s="27" t="n"/>
      <c r="N3369" s="27" t="n"/>
      <c r="O3369" s="27" t="n"/>
      <c r="P3369" s="27" t="n"/>
      <c r="Q3369" s="27" t="n"/>
      <c r="R3369" s="27" t="n"/>
      <c r="S3369" s="27" t="n"/>
      <c r="T3369" s="27" t="n"/>
    </row>
    <row r="3370" ht="13.8" customFormat="1" customHeight="1" s="70">
      <c r="M3370" s="27" t="n"/>
      <c r="N3370" s="27" t="n"/>
      <c r="O3370" s="27" t="n"/>
      <c r="P3370" s="27" t="n"/>
      <c r="Q3370" s="27" t="n"/>
      <c r="R3370" s="27" t="n"/>
      <c r="S3370" s="27" t="n"/>
      <c r="T3370" s="27" t="n"/>
    </row>
    <row r="3371" ht="13.8" customFormat="1" customHeight="1" s="70">
      <c r="M3371" s="27" t="n"/>
      <c r="N3371" s="27" t="n"/>
      <c r="O3371" s="27" t="n"/>
      <c r="P3371" s="27" t="n"/>
      <c r="Q3371" s="27" t="n"/>
      <c r="R3371" s="27" t="n"/>
      <c r="S3371" s="27" t="n"/>
      <c r="T3371" s="27" t="n"/>
    </row>
    <row r="3372" ht="13.8" customFormat="1" customHeight="1" s="70">
      <c r="M3372" s="27" t="n"/>
      <c r="N3372" s="27" t="n"/>
      <c r="O3372" s="27" t="n"/>
      <c r="P3372" s="27" t="n"/>
      <c r="Q3372" s="27" t="n"/>
      <c r="R3372" s="27" t="n"/>
      <c r="S3372" s="27" t="n"/>
      <c r="T3372" s="27" t="n"/>
    </row>
    <row r="3373" ht="13.8" customFormat="1" customHeight="1" s="70">
      <c r="M3373" s="27" t="n"/>
      <c r="N3373" s="27" t="n"/>
      <c r="O3373" s="27" t="n"/>
      <c r="P3373" s="27" t="n"/>
      <c r="Q3373" s="27" t="n"/>
      <c r="R3373" s="27" t="n"/>
      <c r="S3373" s="27" t="n"/>
      <c r="T3373" s="27" t="n"/>
    </row>
    <row r="3374" ht="13.8" customFormat="1" customHeight="1" s="70">
      <c r="M3374" s="27" t="n"/>
      <c r="N3374" s="27" t="n"/>
      <c r="O3374" s="27" t="n"/>
      <c r="P3374" s="27" t="n"/>
      <c r="Q3374" s="27" t="n"/>
      <c r="R3374" s="27" t="n"/>
      <c r="S3374" s="27" t="n"/>
      <c r="T3374" s="27" t="n"/>
    </row>
    <row r="3375" ht="13.8" customFormat="1" customHeight="1" s="70">
      <c r="M3375" s="27" t="n"/>
      <c r="N3375" s="27" t="n"/>
      <c r="O3375" s="27" t="n"/>
      <c r="P3375" s="27" t="n"/>
      <c r="Q3375" s="27" t="n"/>
      <c r="R3375" s="27" t="n"/>
      <c r="S3375" s="27" t="n"/>
      <c r="T3375" s="27" t="n"/>
    </row>
    <row r="3376" ht="13.8" customFormat="1" customHeight="1" s="70">
      <c r="M3376" s="27" t="n"/>
      <c r="N3376" s="27" t="n"/>
      <c r="O3376" s="27" t="n"/>
      <c r="P3376" s="27" t="n"/>
      <c r="Q3376" s="27" t="n"/>
      <c r="R3376" s="27" t="n"/>
      <c r="S3376" s="27" t="n"/>
      <c r="T3376" s="27" t="n"/>
    </row>
    <row r="3377" ht="13.8" customFormat="1" customHeight="1" s="70">
      <c r="M3377" s="27" t="n"/>
      <c r="N3377" s="27" t="n"/>
      <c r="O3377" s="27" t="n"/>
      <c r="P3377" s="27" t="n"/>
      <c r="Q3377" s="27" t="n"/>
      <c r="R3377" s="27" t="n"/>
      <c r="S3377" s="27" t="n"/>
      <c r="T3377" s="27" t="n"/>
    </row>
    <row r="3378" ht="13.8" customFormat="1" customHeight="1" s="70">
      <c r="M3378" s="27" t="n"/>
      <c r="N3378" s="27" t="n"/>
      <c r="O3378" s="27" t="n"/>
      <c r="P3378" s="27" t="n"/>
      <c r="Q3378" s="27" t="n"/>
      <c r="R3378" s="27" t="n"/>
      <c r="S3378" s="27" t="n"/>
      <c r="T3378" s="27" t="n"/>
    </row>
    <row r="3379" ht="13.8" customFormat="1" customHeight="1" s="70">
      <c r="M3379" s="27" t="n"/>
      <c r="N3379" s="27" t="n"/>
      <c r="O3379" s="27" t="n"/>
      <c r="P3379" s="27" t="n"/>
      <c r="Q3379" s="27" t="n"/>
      <c r="R3379" s="27" t="n"/>
      <c r="S3379" s="27" t="n"/>
      <c r="T3379" s="27" t="n"/>
    </row>
    <row r="3380" ht="13.8" customFormat="1" customHeight="1" s="70">
      <c r="M3380" s="27" t="n"/>
      <c r="N3380" s="27" t="n"/>
      <c r="O3380" s="27" t="n"/>
      <c r="P3380" s="27" t="n"/>
      <c r="Q3380" s="27" t="n"/>
      <c r="R3380" s="27" t="n"/>
      <c r="S3380" s="27" t="n"/>
      <c r="T3380" s="27" t="n"/>
    </row>
    <row r="3381" ht="13.8" customFormat="1" customHeight="1" s="70">
      <c r="M3381" s="27" t="n"/>
      <c r="N3381" s="27" t="n"/>
      <c r="O3381" s="27" t="n"/>
      <c r="P3381" s="27" t="n"/>
      <c r="Q3381" s="27" t="n"/>
      <c r="R3381" s="27" t="n"/>
      <c r="S3381" s="27" t="n"/>
      <c r="T3381" s="27" t="n"/>
    </row>
    <row r="3382" ht="13.8" customFormat="1" customHeight="1" s="70">
      <c r="M3382" s="27" t="n"/>
      <c r="N3382" s="27" t="n"/>
      <c r="O3382" s="27" t="n"/>
      <c r="P3382" s="27" t="n"/>
      <c r="Q3382" s="27" t="n"/>
      <c r="R3382" s="27" t="n"/>
      <c r="S3382" s="27" t="n"/>
      <c r="T3382" s="27" t="n"/>
    </row>
    <row r="3383" ht="13.8" customFormat="1" customHeight="1" s="70">
      <c r="M3383" s="27" t="n"/>
      <c r="N3383" s="27" t="n"/>
      <c r="O3383" s="27" t="n"/>
      <c r="P3383" s="27" t="n"/>
      <c r="Q3383" s="27" t="n"/>
      <c r="R3383" s="27" t="n"/>
      <c r="S3383" s="27" t="n"/>
      <c r="T3383" s="27" t="n"/>
    </row>
    <row r="3384" ht="13.8" customFormat="1" customHeight="1" s="70">
      <c r="M3384" s="27" t="n"/>
      <c r="N3384" s="27" t="n"/>
      <c r="O3384" s="27" t="n"/>
      <c r="P3384" s="27" t="n"/>
      <c r="Q3384" s="27" t="n"/>
      <c r="R3384" s="27" t="n"/>
      <c r="S3384" s="27" t="n"/>
      <c r="T3384" s="27" t="n"/>
    </row>
    <row r="3385" ht="13.8" customFormat="1" customHeight="1" s="70">
      <c r="M3385" s="27" t="n"/>
      <c r="N3385" s="27" t="n"/>
      <c r="O3385" s="27" t="n"/>
      <c r="P3385" s="27" t="n"/>
      <c r="Q3385" s="27" t="n"/>
      <c r="R3385" s="27" t="n"/>
      <c r="S3385" s="27" t="n"/>
      <c r="T3385" s="27" t="n"/>
    </row>
    <row r="3386" ht="13.8" customFormat="1" customHeight="1" s="70">
      <c r="M3386" s="27" t="n"/>
      <c r="N3386" s="27" t="n"/>
      <c r="O3386" s="27" t="n"/>
      <c r="P3386" s="27" t="n"/>
      <c r="Q3386" s="27" t="n"/>
      <c r="R3386" s="27" t="n"/>
      <c r="S3386" s="27" t="n"/>
      <c r="T3386" s="27" t="n"/>
    </row>
    <row r="3387" ht="13.8" customFormat="1" customHeight="1" s="70">
      <c r="M3387" s="27" t="n"/>
      <c r="N3387" s="27" t="n"/>
      <c r="O3387" s="27" t="n"/>
      <c r="P3387" s="27" t="n"/>
      <c r="Q3387" s="27" t="n"/>
      <c r="R3387" s="27" t="n"/>
      <c r="S3387" s="27" t="n"/>
      <c r="T3387" s="27" t="n"/>
    </row>
    <row r="3388" ht="13.8" customFormat="1" customHeight="1" s="70">
      <c r="M3388" s="27" t="n"/>
      <c r="N3388" s="27" t="n"/>
      <c r="O3388" s="27" t="n"/>
      <c r="P3388" s="27" t="n"/>
      <c r="Q3388" s="27" t="n"/>
      <c r="R3388" s="27" t="n"/>
      <c r="S3388" s="27" t="n"/>
      <c r="T3388" s="27" t="n"/>
    </row>
    <row r="3389" ht="13.8" customFormat="1" customHeight="1" s="70">
      <c r="M3389" s="27" t="n"/>
      <c r="N3389" s="27" t="n"/>
      <c r="O3389" s="27" t="n"/>
      <c r="P3389" s="27" t="n"/>
      <c r="Q3389" s="27" t="n"/>
      <c r="R3389" s="27" t="n"/>
      <c r="S3389" s="27" t="n"/>
      <c r="T3389" s="27" t="n"/>
    </row>
    <row r="3390" ht="13.8" customFormat="1" customHeight="1" s="70">
      <c r="M3390" s="27" t="n"/>
      <c r="N3390" s="27" t="n"/>
      <c r="O3390" s="27" t="n"/>
      <c r="P3390" s="27" t="n"/>
      <c r="Q3390" s="27" t="n"/>
      <c r="R3390" s="27" t="n"/>
      <c r="S3390" s="27" t="n"/>
      <c r="T3390" s="27" t="n"/>
    </row>
    <row r="3391" ht="13.8" customFormat="1" customHeight="1" s="70">
      <c r="M3391" s="27" t="n"/>
      <c r="N3391" s="27" t="n"/>
      <c r="O3391" s="27" t="n"/>
      <c r="P3391" s="27" t="n"/>
      <c r="Q3391" s="27" t="n"/>
      <c r="R3391" s="27" t="n"/>
      <c r="S3391" s="27" t="n"/>
      <c r="T3391" s="27" t="n"/>
    </row>
    <row r="3392" ht="13.8" customFormat="1" customHeight="1" s="70">
      <c r="M3392" s="27" t="n"/>
      <c r="N3392" s="27" t="n"/>
      <c r="O3392" s="27" t="n"/>
      <c r="P3392" s="27" t="n"/>
      <c r="Q3392" s="27" t="n"/>
      <c r="R3392" s="27" t="n"/>
      <c r="S3392" s="27" t="n"/>
      <c r="T3392" s="27" t="n"/>
    </row>
    <row r="3393" ht="13.8" customFormat="1" customHeight="1" s="70">
      <c r="M3393" s="27" t="n"/>
      <c r="N3393" s="27" t="n"/>
      <c r="O3393" s="27" t="n"/>
      <c r="P3393" s="27" t="n"/>
      <c r="Q3393" s="27" t="n"/>
      <c r="R3393" s="27" t="n"/>
      <c r="S3393" s="27" t="n"/>
      <c r="T3393" s="27" t="n"/>
    </row>
    <row r="3394" ht="13.8" customFormat="1" customHeight="1" s="70">
      <c r="M3394" s="27" t="n"/>
      <c r="N3394" s="27" t="n"/>
      <c r="O3394" s="27" t="n"/>
      <c r="P3394" s="27" t="n"/>
      <c r="Q3394" s="27" t="n"/>
      <c r="R3394" s="27" t="n"/>
      <c r="S3394" s="27" t="n"/>
      <c r="T3394" s="27" t="n"/>
    </row>
    <row r="3395" ht="13.8" customFormat="1" customHeight="1" s="70">
      <c r="M3395" s="27" t="n"/>
      <c r="N3395" s="27" t="n"/>
      <c r="O3395" s="27" t="n"/>
      <c r="P3395" s="27" t="n"/>
      <c r="Q3395" s="27" t="n"/>
      <c r="R3395" s="27" t="n"/>
      <c r="S3395" s="27" t="n"/>
      <c r="T3395" s="27" t="n"/>
    </row>
    <row r="3396" ht="13.8" customFormat="1" customHeight="1" s="70">
      <c r="M3396" s="27" t="n"/>
      <c r="N3396" s="27" t="n"/>
      <c r="O3396" s="27" t="n"/>
      <c r="P3396" s="27" t="n"/>
      <c r="Q3396" s="27" t="n"/>
      <c r="R3396" s="27" t="n"/>
      <c r="S3396" s="27" t="n"/>
      <c r="T3396" s="27" t="n"/>
    </row>
    <row r="3397" ht="13.8" customFormat="1" customHeight="1" s="70">
      <c r="M3397" s="27" t="n"/>
      <c r="N3397" s="27" t="n"/>
      <c r="O3397" s="27" t="n"/>
      <c r="P3397" s="27" t="n"/>
      <c r="Q3397" s="27" t="n"/>
      <c r="R3397" s="27" t="n"/>
      <c r="S3397" s="27" t="n"/>
      <c r="T3397" s="27" t="n"/>
    </row>
    <row r="3398" ht="13.8" customFormat="1" customHeight="1" s="70">
      <c r="M3398" s="27" t="n"/>
      <c r="N3398" s="27" t="n"/>
      <c r="O3398" s="27" t="n"/>
      <c r="P3398" s="27" t="n"/>
      <c r="Q3398" s="27" t="n"/>
      <c r="R3398" s="27" t="n"/>
      <c r="S3398" s="27" t="n"/>
      <c r="T3398" s="27" t="n"/>
    </row>
    <row r="3399" ht="13.8" customFormat="1" customHeight="1" s="70">
      <c r="M3399" s="27" t="n"/>
      <c r="N3399" s="27" t="n"/>
      <c r="O3399" s="27" t="n"/>
      <c r="P3399" s="27" t="n"/>
      <c r="Q3399" s="27" t="n"/>
      <c r="R3399" s="27" t="n"/>
      <c r="S3399" s="27" t="n"/>
      <c r="T3399" s="27" t="n"/>
    </row>
    <row r="3400" ht="13.8" customFormat="1" customHeight="1" s="70">
      <c r="M3400" s="27" t="n"/>
      <c r="N3400" s="27" t="n"/>
      <c r="O3400" s="27" t="n"/>
      <c r="P3400" s="27" t="n"/>
      <c r="Q3400" s="27" t="n"/>
      <c r="R3400" s="27" t="n"/>
      <c r="S3400" s="27" t="n"/>
      <c r="T3400" s="27" t="n"/>
    </row>
    <row r="3401" ht="13.8" customFormat="1" customHeight="1" s="70">
      <c r="M3401" s="27" t="n"/>
      <c r="N3401" s="27" t="n"/>
      <c r="O3401" s="27" t="n"/>
      <c r="P3401" s="27" t="n"/>
      <c r="Q3401" s="27" t="n"/>
      <c r="R3401" s="27" t="n"/>
      <c r="S3401" s="27" t="n"/>
      <c r="T3401" s="27" t="n"/>
    </row>
    <row r="3402" ht="13.8" customFormat="1" customHeight="1" s="70">
      <c r="M3402" s="27" t="n"/>
      <c r="N3402" s="27" t="n"/>
      <c r="O3402" s="27" t="n"/>
      <c r="P3402" s="27" t="n"/>
      <c r="Q3402" s="27" t="n"/>
      <c r="R3402" s="27" t="n"/>
      <c r="S3402" s="27" t="n"/>
      <c r="T3402" s="27" t="n"/>
    </row>
    <row r="3403" ht="13.8" customFormat="1" customHeight="1" s="70">
      <c r="M3403" s="27" t="n"/>
      <c r="N3403" s="27" t="n"/>
      <c r="O3403" s="27" t="n"/>
      <c r="P3403" s="27" t="n"/>
      <c r="Q3403" s="27" t="n"/>
      <c r="R3403" s="27" t="n"/>
      <c r="S3403" s="27" t="n"/>
      <c r="T3403" s="27" t="n"/>
    </row>
    <row r="3404" ht="13.8" customFormat="1" customHeight="1" s="70">
      <c r="M3404" s="27" t="n"/>
      <c r="N3404" s="27" t="n"/>
      <c r="O3404" s="27" t="n"/>
      <c r="P3404" s="27" t="n"/>
      <c r="Q3404" s="27" t="n"/>
      <c r="R3404" s="27" t="n"/>
      <c r="S3404" s="27" t="n"/>
      <c r="T3404" s="27" t="n"/>
    </row>
    <row r="3405" ht="13.8" customFormat="1" customHeight="1" s="70">
      <c r="M3405" s="27" t="n"/>
      <c r="N3405" s="27" t="n"/>
      <c r="O3405" s="27" t="n"/>
      <c r="P3405" s="27" t="n"/>
      <c r="Q3405" s="27" t="n"/>
      <c r="R3405" s="27" t="n"/>
      <c r="S3405" s="27" t="n"/>
      <c r="T3405" s="27" t="n"/>
    </row>
    <row r="3406" ht="13.8" customFormat="1" customHeight="1" s="70">
      <c r="M3406" s="27" t="n"/>
      <c r="N3406" s="27" t="n"/>
      <c r="O3406" s="27" t="n"/>
      <c r="P3406" s="27" t="n"/>
      <c r="Q3406" s="27" t="n"/>
      <c r="R3406" s="27" t="n"/>
      <c r="S3406" s="27" t="n"/>
      <c r="T3406" s="27" t="n"/>
    </row>
    <row r="3407" ht="13.8" customFormat="1" customHeight="1" s="70">
      <c r="M3407" s="27" t="n"/>
      <c r="N3407" s="27" t="n"/>
      <c r="O3407" s="27" t="n"/>
      <c r="P3407" s="27" t="n"/>
      <c r="Q3407" s="27" t="n"/>
      <c r="R3407" s="27" t="n"/>
      <c r="S3407" s="27" t="n"/>
      <c r="T3407" s="27" t="n"/>
    </row>
    <row r="3408" ht="13.8" customFormat="1" customHeight="1" s="70">
      <c r="M3408" s="27" t="n"/>
      <c r="N3408" s="27" t="n"/>
      <c r="O3408" s="27" t="n"/>
      <c r="P3408" s="27" t="n"/>
      <c r="Q3408" s="27" t="n"/>
      <c r="R3408" s="27" t="n"/>
      <c r="S3408" s="27" t="n"/>
      <c r="T3408" s="27" t="n"/>
    </row>
    <row r="3409" ht="13.8" customFormat="1" customHeight="1" s="70">
      <c r="M3409" s="27" t="n"/>
      <c r="N3409" s="27" t="n"/>
      <c r="O3409" s="27" t="n"/>
      <c r="P3409" s="27" t="n"/>
      <c r="Q3409" s="27" t="n"/>
      <c r="R3409" s="27" t="n"/>
      <c r="S3409" s="27" t="n"/>
      <c r="T3409" s="27" t="n"/>
    </row>
    <row r="3410" ht="13.8" customFormat="1" customHeight="1" s="70">
      <c r="M3410" s="27" t="n"/>
      <c r="N3410" s="27" t="n"/>
      <c r="O3410" s="27" t="n"/>
      <c r="P3410" s="27" t="n"/>
      <c r="Q3410" s="27" t="n"/>
      <c r="R3410" s="27" t="n"/>
      <c r="S3410" s="27" t="n"/>
      <c r="T3410" s="27" t="n"/>
    </row>
    <row r="3411" ht="13.8" customFormat="1" customHeight="1" s="70">
      <c r="M3411" s="27" t="n"/>
      <c r="N3411" s="27" t="n"/>
      <c r="O3411" s="27" t="n"/>
      <c r="P3411" s="27" t="n"/>
      <c r="Q3411" s="27" t="n"/>
      <c r="R3411" s="27" t="n"/>
      <c r="S3411" s="27" t="n"/>
      <c r="T3411" s="27" t="n"/>
    </row>
    <row r="3412" ht="13.8" customFormat="1" customHeight="1" s="70">
      <c r="M3412" s="27" t="n"/>
      <c r="N3412" s="27" t="n"/>
      <c r="O3412" s="27" t="n"/>
      <c r="P3412" s="27" t="n"/>
      <c r="Q3412" s="27" t="n"/>
      <c r="R3412" s="27" t="n"/>
      <c r="S3412" s="27" t="n"/>
      <c r="T3412" s="27" t="n"/>
    </row>
    <row r="3413" ht="13.8" customFormat="1" customHeight="1" s="70">
      <c r="M3413" s="27" t="n"/>
      <c r="N3413" s="27" t="n"/>
      <c r="O3413" s="27" t="n"/>
      <c r="P3413" s="27" t="n"/>
      <c r="Q3413" s="27" t="n"/>
      <c r="R3413" s="27" t="n"/>
      <c r="S3413" s="27" t="n"/>
      <c r="T3413" s="27" t="n"/>
    </row>
    <row r="3414" ht="13.8" customFormat="1" customHeight="1" s="70">
      <c r="M3414" s="27" t="n"/>
      <c r="N3414" s="27" t="n"/>
      <c r="O3414" s="27" t="n"/>
      <c r="P3414" s="27" t="n"/>
      <c r="Q3414" s="27" t="n"/>
      <c r="R3414" s="27" t="n"/>
      <c r="S3414" s="27" t="n"/>
      <c r="T3414" s="27" t="n"/>
    </row>
    <row r="3415" ht="13.8" customFormat="1" customHeight="1" s="70">
      <c r="M3415" s="27" t="n"/>
      <c r="N3415" s="27" t="n"/>
      <c r="O3415" s="27" t="n"/>
      <c r="P3415" s="27" t="n"/>
      <c r="Q3415" s="27" t="n"/>
      <c r="R3415" s="27" t="n"/>
      <c r="S3415" s="27" t="n"/>
      <c r="T3415" s="27" t="n"/>
    </row>
    <row r="3416" ht="13.8" customFormat="1" customHeight="1" s="70">
      <c r="M3416" s="27" t="n"/>
      <c r="N3416" s="27" t="n"/>
      <c r="O3416" s="27" t="n"/>
      <c r="P3416" s="27" t="n"/>
      <c r="Q3416" s="27" t="n"/>
      <c r="R3416" s="27" t="n"/>
      <c r="S3416" s="27" t="n"/>
      <c r="T3416" s="27" t="n"/>
    </row>
    <row r="3417" ht="13.8" customFormat="1" customHeight="1" s="70">
      <c r="M3417" s="27" t="n"/>
      <c r="N3417" s="27" t="n"/>
      <c r="O3417" s="27" t="n"/>
      <c r="P3417" s="27" t="n"/>
      <c r="Q3417" s="27" t="n"/>
      <c r="R3417" s="27" t="n"/>
      <c r="S3417" s="27" t="n"/>
      <c r="T3417" s="27" t="n"/>
    </row>
    <row r="3418" ht="13.8" customFormat="1" customHeight="1" s="70">
      <c r="M3418" s="27" t="n"/>
      <c r="N3418" s="27" t="n"/>
      <c r="O3418" s="27" t="n"/>
      <c r="P3418" s="27" t="n"/>
      <c r="Q3418" s="27" t="n"/>
      <c r="R3418" s="27" t="n"/>
      <c r="S3418" s="27" t="n"/>
      <c r="T3418" s="27" t="n"/>
    </row>
    <row r="3419" ht="13.8" customFormat="1" customHeight="1" s="70">
      <c r="M3419" s="27" t="n"/>
      <c r="N3419" s="27" t="n"/>
      <c r="O3419" s="27" t="n"/>
      <c r="P3419" s="27" t="n"/>
      <c r="Q3419" s="27" t="n"/>
      <c r="R3419" s="27" t="n"/>
      <c r="S3419" s="27" t="n"/>
      <c r="T3419" s="27" t="n"/>
    </row>
    <row r="3420" ht="13.8" customFormat="1" customHeight="1" s="70">
      <c r="M3420" s="27" t="n"/>
      <c r="N3420" s="27" t="n"/>
      <c r="O3420" s="27" t="n"/>
      <c r="P3420" s="27" t="n"/>
      <c r="Q3420" s="27" t="n"/>
      <c r="R3420" s="27" t="n"/>
      <c r="S3420" s="27" t="n"/>
      <c r="T3420" s="27" t="n"/>
    </row>
    <row r="3421" ht="13.8" customFormat="1" customHeight="1" s="70">
      <c r="M3421" s="27" t="n"/>
      <c r="N3421" s="27" t="n"/>
      <c r="O3421" s="27" t="n"/>
      <c r="P3421" s="27" t="n"/>
      <c r="Q3421" s="27" t="n"/>
      <c r="R3421" s="27" t="n"/>
      <c r="S3421" s="27" t="n"/>
      <c r="T3421" s="27" t="n"/>
    </row>
    <row r="3422" ht="13.8" customFormat="1" customHeight="1" s="70">
      <c r="M3422" s="27" t="n"/>
      <c r="N3422" s="27" t="n"/>
      <c r="O3422" s="27" t="n"/>
      <c r="P3422" s="27" t="n"/>
      <c r="Q3422" s="27" t="n"/>
      <c r="R3422" s="27" t="n"/>
      <c r="S3422" s="27" t="n"/>
      <c r="T3422" s="27" t="n"/>
    </row>
    <row r="3423" ht="13.8" customFormat="1" customHeight="1" s="70">
      <c r="M3423" s="27" t="n"/>
      <c r="N3423" s="27" t="n"/>
      <c r="O3423" s="27" t="n"/>
      <c r="P3423" s="27" t="n"/>
      <c r="Q3423" s="27" t="n"/>
      <c r="R3423" s="27" t="n"/>
      <c r="S3423" s="27" t="n"/>
      <c r="T3423" s="27" t="n"/>
    </row>
    <row r="3424" ht="13.8" customFormat="1" customHeight="1" s="70">
      <c r="M3424" s="27" t="n"/>
      <c r="N3424" s="27" t="n"/>
      <c r="O3424" s="27" t="n"/>
      <c r="P3424" s="27" t="n"/>
      <c r="Q3424" s="27" t="n"/>
      <c r="R3424" s="27" t="n"/>
      <c r="S3424" s="27" t="n"/>
      <c r="T3424" s="27" t="n"/>
    </row>
    <row r="3425" ht="13.8" customFormat="1" customHeight="1" s="70">
      <c r="M3425" s="27" t="n"/>
      <c r="N3425" s="27" t="n"/>
      <c r="O3425" s="27" t="n"/>
      <c r="P3425" s="27" t="n"/>
      <c r="Q3425" s="27" t="n"/>
      <c r="R3425" s="27" t="n"/>
      <c r="S3425" s="27" t="n"/>
      <c r="T3425" s="27" t="n"/>
    </row>
    <row r="3426" ht="13.8" customFormat="1" customHeight="1" s="70">
      <c r="M3426" s="27" t="n"/>
      <c r="N3426" s="27" t="n"/>
      <c r="O3426" s="27" t="n"/>
      <c r="P3426" s="27" t="n"/>
      <c r="Q3426" s="27" t="n"/>
      <c r="R3426" s="27" t="n"/>
      <c r="S3426" s="27" t="n"/>
      <c r="T3426" s="27" t="n"/>
    </row>
    <row r="3427" ht="13.8" customFormat="1" customHeight="1" s="70">
      <c r="M3427" s="27" t="n"/>
      <c r="N3427" s="27" t="n"/>
      <c r="O3427" s="27" t="n"/>
      <c r="P3427" s="27" t="n"/>
      <c r="Q3427" s="27" t="n"/>
      <c r="R3427" s="27" t="n"/>
      <c r="S3427" s="27" t="n"/>
      <c r="T3427" s="27" t="n"/>
    </row>
    <row r="3428" ht="13.8" customFormat="1" customHeight="1" s="70">
      <c r="M3428" s="27" t="n"/>
      <c r="N3428" s="27" t="n"/>
      <c r="O3428" s="27" t="n"/>
      <c r="P3428" s="27" t="n"/>
      <c r="Q3428" s="27" t="n"/>
      <c r="R3428" s="27" t="n"/>
      <c r="S3428" s="27" t="n"/>
      <c r="T3428" s="27" t="n"/>
    </row>
    <row r="3429" ht="13.8" customFormat="1" customHeight="1" s="70">
      <c r="M3429" s="27" t="n"/>
      <c r="N3429" s="27" t="n"/>
      <c r="O3429" s="27" t="n"/>
      <c r="P3429" s="27" t="n"/>
      <c r="Q3429" s="27" t="n"/>
      <c r="R3429" s="27" t="n"/>
      <c r="S3429" s="27" t="n"/>
      <c r="T3429" s="27" t="n"/>
    </row>
    <row r="3430" ht="13.8" customFormat="1" customHeight="1" s="70">
      <c r="M3430" s="27" t="n"/>
      <c r="N3430" s="27" t="n"/>
      <c r="O3430" s="27" t="n"/>
      <c r="P3430" s="27" t="n"/>
      <c r="Q3430" s="27" t="n"/>
      <c r="R3430" s="27" t="n"/>
      <c r="S3430" s="27" t="n"/>
      <c r="T3430" s="27" t="n"/>
    </row>
    <row r="3431" ht="13.8" customFormat="1" customHeight="1" s="70">
      <c r="M3431" s="27" t="n"/>
      <c r="N3431" s="27" t="n"/>
      <c r="O3431" s="27" t="n"/>
      <c r="P3431" s="27" t="n"/>
      <c r="Q3431" s="27" t="n"/>
      <c r="R3431" s="27" t="n"/>
      <c r="S3431" s="27" t="n"/>
      <c r="T3431" s="27" t="n"/>
    </row>
    <row r="3432" ht="13.8" customFormat="1" customHeight="1" s="70">
      <c r="M3432" s="27" t="n"/>
      <c r="N3432" s="27" t="n"/>
      <c r="O3432" s="27" t="n"/>
      <c r="P3432" s="27" t="n"/>
      <c r="Q3432" s="27" t="n"/>
      <c r="R3432" s="27" t="n"/>
      <c r="S3432" s="27" t="n"/>
      <c r="T3432" s="27" t="n"/>
    </row>
    <row r="3433" ht="13.8" customFormat="1" customHeight="1" s="70">
      <c r="M3433" s="27" t="n"/>
      <c r="N3433" s="27" t="n"/>
      <c r="O3433" s="27" t="n"/>
      <c r="P3433" s="27" t="n"/>
      <c r="Q3433" s="27" t="n"/>
      <c r="R3433" s="27" t="n"/>
      <c r="S3433" s="27" t="n"/>
      <c r="T3433" s="27" t="n"/>
    </row>
    <row r="3434" ht="13.8" customFormat="1" customHeight="1" s="70">
      <c r="M3434" s="27" t="n"/>
      <c r="N3434" s="27" t="n"/>
      <c r="O3434" s="27" t="n"/>
      <c r="P3434" s="27" t="n"/>
      <c r="Q3434" s="27" t="n"/>
      <c r="R3434" s="27" t="n"/>
      <c r="S3434" s="27" t="n"/>
      <c r="T3434" s="27" t="n"/>
    </row>
    <row r="3435" ht="13.8" customFormat="1" customHeight="1" s="70">
      <c r="M3435" s="27" t="n"/>
      <c r="N3435" s="27" t="n"/>
      <c r="O3435" s="27" t="n"/>
      <c r="P3435" s="27" t="n"/>
      <c r="Q3435" s="27" t="n"/>
      <c r="R3435" s="27" t="n"/>
      <c r="S3435" s="27" t="n"/>
      <c r="T3435" s="27" t="n"/>
    </row>
    <row r="3436" ht="13.8" customFormat="1" customHeight="1" s="70">
      <c r="M3436" s="27" t="n"/>
      <c r="N3436" s="27" t="n"/>
      <c r="O3436" s="27" t="n"/>
      <c r="P3436" s="27" t="n"/>
      <c r="Q3436" s="27" t="n"/>
      <c r="R3436" s="27" t="n"/>
      <c r="S3436" s="27" t="n"/>
      <c r="T3436" s="27" t="n"/>
    </row>
    <row r="3437" ht="13.8" customFormat="1" customHeight="1" s="70">
      <c r="M3437" s="27" t="n"/>
      <c r="N3437" s="27" t="n"/>
      <c r="O3437" s="27" t="n"/>
      <c r="P3437" s="27" t="n"/>
      <c r="Q3437" s="27" t="n"/>
      <c r="R3437" s="27" t="n"/>
      <c r="S3437" s="27" t="n"/>
      <c r="T3437" s="27" t="n"/>
    </row>
    <row r="3438" ht="13.8" customFormat="1" customHeight="1" s="70">
      <c r="M3438" s="27" t="n"/>
      <c r="N3438" s="27" t="n"/>
      <c r="O3438" s="27" t="n"/>
      <c r="P3438" s="27" t="n"/>
      <c r="Q3438" s="27" t="n"/>
      <c r="R3438" s="27" t="n"/>
      <c r="S3438" s="27" t="n"/>
      <c r="T3438" s="27" t="n"/>
    </row>
    <row r="3439" ht="13.8" customFormat="1" customHeight="1" s="70">
      <c r="M3439" s="27" t="n"/>
      <c r="N3439" s="27" t="n"/>
      <c r="O3439" s="27" t="n"/>
      <c r="P3439" s="27" t="n"/>
      <c r="Q3439" s="27" t="n"/>
      <c r="R3439" s="27" t="n"/>
      <c r="S3439" s="27" t="n"/>
      <c r="T3439" s="27" t="n"/>
    </row>
    <row r="3440" ht="13.8" customFormat="1" customHeight="1" s="70">
      <c r="M3440" s="27" t="n"/>
      <c r="N3440" s="27" t="n"/>
      <c r="O3440" s="27" t="n"/>
      <c r="P3440" s="27" t="n"/>
      <c r="Q3440" s="27" t="n"/>
      <c r="R3440" s="27" t="n"/>
      <c r="S3440" s="27" t="n"/>
      <c r="T3440" s="27" t="n"/>
    </row>
    <row r="3441" ht="13.8" customFormat="1" customHeight="1" s="70">
      <c r="M3441" s="27" t="n"/>
      <c r="N3441" s="27" t="n"/>
      <c r="O3441" s="27" t="n"/>
      <c r="P3441" s="27" t="n"/>
      <c r="Q3441" s="27" t="n"/>
      <c r="R3441" s="27" t="n"/>
      <c r="S3441" s="27" t="n"/>
      <c r="T3441" s="27" t="n"/>
    </row>
    <row r="3442" ht="13.8" customFormat="1" customHeight="1" s="70">
      <c r="M3442" s="27" t="n"/>
      <c r="N3442" s="27" t="n"/>
      <c r="O3442" s="27" t="n"/>
      <c r="P3442" s="27" t="n"/>
      <c r="Q3442" s="27" t="n"/>
      <c r="R3442" s="27" t="n"/>
      <c r="S3442" s="27" t="n"/>
      <c r="T3442" s="27" t="n"/>
    </row>
    <row r="3443" ht="13.8" customFormat="1" customHeight="1" s="70">
      <c r="M3443" s="27" t="n"/>
      <c r="N3443" s="27" t="n"/>
      <c r="O3443" s="27" t="n"/>
      <c r="P3443" s="27" t="n"/>
      <c r="Q3443" s="27" t="n"/>
      <c r="R3443" s="27" t="n"/>
      <c r="S3443" s="27" t="n"/>
      <c r="T3443" s="27" t="n"/>
    </row>
    <row r="3444" ht="13.8" customFormat="1" customHeight="1" s="70">
      <c r="M3444" s="27" t="n"/>
      <c r="N3444" s="27" t="n"/>
      <c r="O3444" s="27" t="n"/>
      <c r="P3444" s="27" t="n"/>
      <c r="Q3444" s="27" t="n"/>
      <c r="R3444" s="27" t="n"/>
      <c r="S3444" s="27" t="n"/>
      <c r="T3444" s="27" t="n"/>
    </row>
    <row r="3445" ht="13.8" customFormat="1" customHeight="1" s="70">
      <c r="M3445" s="27" t="n"/>
      <c r="N3445" s="27" t="n"/>
      <c r="O3445" s="27" t="n"/>
      <c r="P3445" s="27" t="n"/>
      <c r="Q3445" s="27" t="n"/>
      <c r="R3445" s="27" t="n"/>
      <c r="S3445" s="27" t="n"/>
      <c r="T3445" s="27" t="n"/>
    </row>
    <row r="3446" ht="13.8" customFormat="1" customHeight="1" s="70">
      <c r="M3446" s="27" t="n"/>
      <c r="N3446" s="27" t="n"/>
      <c r="O3446" s="27" t="n"/>
      <c r="P3446" s="27" t="n"/>
      <c r="Q3446" s="27" t="n"/>
      <c r="R3446" s="27" t="n"/>
      <c r="S3446" s="27" t="n"/>
      <c r="T3446" s="27" t="n"/>
    </row>
    <row r="3447" ht="13.8" customFormat="1" customHeight="1" s="70">
      <c r="M3447" s="27" t="n"/>
      <c r="N3447" s="27" t="n"/>
      <c r="O3447" s="27" t="n"/>
      <c r="P3447" s="27" t="n"/>
      <c r="Q3447" s="27" t="n"/>
      <c r="R3447" s="27" t="n"/>
      <c r="S3447" s="27" t="n"/>
      <c r="T3447" s="27" t="n"/>
    </row>
    <row r="3448" ht="13.8" customFormat="1" customHeight="1" s="70">
      <c r="M3448" s="27" t="n"/>
      <c r="N3448" s="27" t="n"/>
      <c r="O3448" s="27" t="n"/>
      <c r="P3448" s="27" t="n"/>
      <c r="Q3448" s="27" t="n"/>
      <c r="R3448" s="27" t="n"/>
      <c r="S3448" s="27" t="n"/>
      <c r="T3448" s="27" t="n"/>
    </row>
    <row r="3449" ht="13.8" customFormat="1" customHeight="1" s="70">
      <c r="M3449" s="27" t="n"/>
      <c r="N3449" s="27" t="n"/>
      <c r="O3449" s="27" t="n"/>
      <c r="P3449" s="27" t="n"/>
      <c r="Q3449" s="27" t="n"/>
      <c r="R3449" s="27" t="n"/>
      <c r="S3449" s="27" t="n"/>
      <c r="T3449" s="27" t="n"/>
    </row>
    <row r="3450" ht="13.8" customFormat="1" customHeight="1" s="70">
      <c r="M3450" s="27" t="n"/>
      <c r="N3450" s="27" t="n"/>
      <c r="O3450" s="27" t="n"/>
      <c r="P3450" s="27" t="n"/>
      <c r="Q3450" s="27" t="n"/>
      <c r="R3450" s="27" t="n"/>
      <c r="S3450" s="27" t="n"/>
      <c r="T3450" s="27" t="n"/>
    </row>
    <row r="3451" ht="13.8" customFormat="1" customHeight="1" s="70">
      <c r="M3451" s="27" t="n"/>
      <c r="N3451" s="27" t="n"/>
      <c r="O3451" s="27" t="n"/>
      <c r="P3451" s="27" t="n"/>
      <c r="Q3451" s="27" t="n"/>
      <c r="R3451" s="27" t="n"/>
      <c r="S3451" s="27" t="n"/>
      <c r="T3451" s="27" t="n"/>
    </row>
    <row r="3452" ht="13.8" customFormat="1" customHeight="1" s="70">
      <c r="M3452" s="27" t="n"/>
      <c r="N3452" s="27" t="n"/>
      <c r="O3452" s="27" t="n"/>
      <c r="P3452" s="27" t="n"/>
      <c r="Q3452" s="27" t="n"/>
      <c r="R3452" s="27" t="n"/>
      <c r="S3452" s="27" t="n"/>
      <c r="T3452" s="27" t="n"/>
    </row>
    <row r="3453" ht="13.8" customFormat="1" customHeight="1" s="70">
      <c r="M3453" s="27" t="n"/>
      <c r="N3453" s="27" t="n"/>
      <c r="O3453" s="27" t="n"/>
      <c r="P3453" s="27" t="n"/>
      <c r="Q3453" s="27" t="n"/>
      <c r="R3453" s="27" t="n"/>
      <c r="S3453" s="27" t="n"/>
      <c r="T3453" s="27" t="n"/>
    </row>
    <row r="3454" ht="13.8" customFormat="1" customHeight="1" s="70">
      <c r="M3454" s="27" t="n"/>
      <c r="N3454" s="27" t="n"/>
      <c r="O3454" s="27" t="n"/>
      <c r="P3454" s="27" t="n"/>
      <c r="Q3454" s="27" t="n"/>
      <c r="R3454" s="27" t="n"/>
      <c r="S3454" s="27" t="n"/>
      <c r="T3454" s="27" t="n"/>
    </row>
    <row r="3455" ht="13.8" customFormat="1" customHeight="1" s="70">
      <c r="M3455" s="27" t="n"/>
      <c r="N3455" s="27" t="n"/>
      <c r="O3455" s="27" t="n"/>
      <c r="P3455" s="27" t="n"/>
      <c r="Q3455" s="27" t="n"/>
      <c r="R3455" s="27" t="n"/>
      <c r="S3455" s="27" t="n"/>
      <c r="T3455" s="27" t="n"/>
    </row>
    <row r="3456" ht="13.8" customFormat="1" customHeight="1" s="70">
      <c r="M3456" s="27" t="n"/>
      <c r="N3456" s="27" t="n"/>
      <c r="O3456" s="27" t="n"/>
      <c r="P3456" s="27" t="n"/>
      <c r="Q3456" s="27" t="n"/>
      <c r="R3456" s="27" t="n"/>
      <c r="S3456" s="27" t="n"/>
      <c r="T3456" s="27" t="n"/>
    </row>
    <row r="3457" ht="13.8" customFormat="1" customHeight="1" s="70">
      <c r="M3457" s="27" t="n"/>
      <c r="N3457" s="27" t="n"/>
      <c r="O3457" s="27" t="n"/>
      <c r="P3457" s="27" t="n"/>
      <c r="Q3457" s="27" t="n"/>
      <c r="R3457" s="27" t="n"/>
      <c r="S3457" s="27" t="n"/>
      <c r="T3457" s="27" t="n"/>
    </row>
    <row r="3458" ht="13.8" customFormat="1" customHeight="1" s="70">
      <c r="M3458" s="27" t="n"/>
      <c r="N3458" s="27" t="n"/>
      <c r="O3458" s="27" t="n"/>
      <c r="P3458" s="27" t="n"/>
      <c r="Q3458" s="27" t="n"/>
      <c r="R3458" s="27" t="n"/>
      <c r="S3458" s="27" t="n"/>
      <c r="T3458" s="27" t="n"/>
    </row>
    <row r="3459" ht="13.8" customFormat="1" customHeight="1" s="70">
      <c r="M3459" s="27" t="n"/>
      <c r="N3459" s="27" t="n"/>
      <c r="O3459" s="27" t="n"/>
      <c r="P3459" s="27" t="n"/>
      <c r="Q3459" s="27" t="n"/>
      <c r="R3459" s="27" t="n"/>
      <c r="S3459" s="27" t="n"/>
      <c r="T3459" s="27" t="n"/>
    </row>
    <row r="3460" ht="13.8" customFormat="1" customHeight="1" s="70">
      <c r="M3460" s="27" t="n"/>
      <c r="N3460" s="27" t="n"/>
      <c r="O3460" s="27" t="n"/>
      <c r="P3460" s="27" t="n"/>
      <c r="Q3460" s="27" t="n"/>
      <c r="R3460" s="27" t="n"/>
      <c r="S3460" s="27" t="n"/>
      <c r="T3460" s="27" t="n"/>
    </row>
    <row r="3461" ht="13.8" customFormat="1" customHeight="1" s="70">
      <c r="M3461" s="27" t="n"/>
      <c r="N3461" s="27" t="n"/>
      <c r="O3461" s="27" t="n"/>
      <c r="P3461" s="27" t="n"/>
      <c r="Q3461" s="27" t="n"/>
      <c r="R3461" s="27" t="n"/>
      <c r="S3461" s="27" t="n"/>
      <c r="T3461" s="27" t="n"/>
    </row>
    <row r="3462" ht="13.8" customFormat="1" customHeight="1" s="70">
      <c r="M3462" s="27" t="n"/>
      <c r="N3462" s="27" t="n"/>
      <c r="O3462" s="27" t="n"/>
      <c r="P3462" s="27" t="n"/>
      <c r="Q3462" s="27" t="n"/>
      <c r="R3462" s="27" t="n"/>
      <c r="S3462" s="27" t="n"/>
      <c r="T3462" s="27" t="n"/>
    </row>
    <row r="3463" ht="13.8" customFormat="1" customHeight="1" s="70">
      <c r="M3463" s="27" t="n"/>
      <c r="N3463" s="27" t="n"/>
      <c r="O3463" s="27" t="n"/>
      <c r="P3463" s="27" t="n"/>
      <c r="Q3463" s="27" t="n"/>
      <c r="R3463" s="27" t="n"/>
      <c r="S3463" s="27" t="n"/>
      <c r="T3463" s="27" t="n"/>
    </row>
    <row r="3464" ht="13.8" customFormat="1" customHeight="1" s="70">
      <c r="M3464" s="27" t="n"/>
      <c r="N3464" s="27" t="n"/>
      <c r="O3464" s="27" t="n"/>
      <c r="P3464" s="27" t="n"/>
      <c r="Q3464" s="27" t="n"/>
      <c r="R3464" s="27" t="n"/>
      <c r="S3464" s="27" t="n"/>
      <c r="T3464" s="27" t="n"/>
    </row>
    <row r="3465" ht="13.8" customFormat="1" customHeight="1" s="70">
      <c r="M3465" s="27" t="n"/>
      <c r="N3465" s="27" t="n"/>
      <c r="O3465" s="27" t="n"/>
      <c r="P3465" s="27" t="n"/>
      <c r="Q3465" s="27" t="n"/>
      <c r="R3465" s="27" t="n"/>
      <c r="S3465" s="27" t="n"/>
      <c r="T3465" s="27" t="n"/>
    </row>
    <row r="3466" ht="13.8" customFormat="1" customHeight="1" s="70">
      <c r="M3466" s="27" t="n"/>
      <c r="N3466" s="27" t="n"/>
      <c r="O3466" s="27" t="n"/>
      <c r="P3466" s="27" t="n"/>
      <c r="Q3466" s="27" t="n"/>
      <c r="R3466" s="27" t="n"/>
      <c r="S3466" s="27" t="n"/>
      <c r="T3466" s="27" t="n"/>
    </row>
    <row r="3467" ht="13.8" customFormat="1" customHeight="1" s="70">
      <c r="M3467" s="27" t="n"/>
      <c r="N3467" s="27" t="n"/>
      <c r="O3467" s="27" t="n"/>
      <c r="P3467" s="27" t="n"/>
      <c r="Q3467" s="27" t="n"/>
      <c r="R3467" s="27" t="n"/>
      <c r="S3467" s="27" t="n"/>
      <c r="T3467" s="27" t="n"/>
    </row>
    <row r="3468" ht="13.8" customFormat="1" customHeight="1" s="70">
      <c r="M3468" s="27" t="n"/>
      <c r="N3468" s="27" t="n"/>
      <c r="O3468" s="27" t="n"/>
      <c r="P3468" s="27" t="n"/>
      <c r="Q3468" s="27" t="n"/>
      <c r="R3468" s="27" t="n"/>
      <c r="S3468" s="27" t="n"/>
      <c r="T3468" s="27" t="n"/>
    </row>
    <row r="3469" ht="13.8" customFormat="1" customHeight="1" s="70">
      <c r="M3469" s="27" t="n"/>
      <c r="N3469" s="27" t="n"/>
      <c r="O3469" s="27" t="n"/>
      <c r="P3469" s="27" t="n"/>
      <c r="Q3469" s="27" t="n"/>
      <c r="R3469" s="27" t="n"/>
      <c r="S3469" s="27" t="n"/>
      <c r="T3469" s="27" t="n"/>
    </row>
    <row r="3470" ht="13.8" customFormat="1" customHeight="1" s="70">
      <c r="M3470" s="27" t="n"/>
      <c r="N3470" s="27" t="n"/>
      <c r="O3470" s="27" t="n"/>
      <c r="P3470" s="27" t="n"/>
      <c r="Q3470" s="27" t="n"/>
      <c r="R3470" s="27" t="n"/>
      <c r="S3470" s="27" t="n"/>
      <c r="T3470" s="27" t="n"/>
    </row>
    <row r="3471" ht="13.8" customFormat="1" customHeight="1" s="70">
      <c r="M3471" s="27" t="n"/>
      <c r="N3471" s="27" t="n"/>
      <c r="O3471" s="27" t="n"/>
      <c r="P3471" s="27" t="n"/>
      <c r="Q3471" s="27" t="n"/>
      <c r="R3471" s="27" t="n"/>
      <c r="S3471" s="27" t="n"/>
      <c r="T3471" s="27" t="n"/>
    </row>
    <row r="3472" ht="13.8" customFormat="1" customHeight="1" s="70">
      <c r="M3472" s="27" t="n"/>
      <c r="N3472" s="27" t="n"/>
      <c r="O3472" s="27" t="n"/>
      <c r="P3472" s="27" t="n"/>
      <c r="Q3472" s="27" t="n"/>
      <c r="R3472" s="27" t="n"/>
      <c r="S3472" s="27" t="n"/>
      <c r="T3472" s="27" t="n"/>
    </row>
    <row r="3473" ht="13.8" customFormat="1" customHeight="1" s="70">
      <c r="M3473" s="27" t="n"/>
      <c r="N3473" s="27" t="n"/>
      <c r="O3473" s="27" t="n"/>
      <c r="P3473" s="27" t="n"/>
      <c r="Q3473" s="27" t="n"/>
      <c r="R3473" s="27" t="n"/>
      <c r="S3473" s="27" t="n"/>
      <c r="T3473" s="27" t="n"/>
    </row>
    <row r="3474" ht="13.8" customFormat="1" customHeight="1" s="70">
      <c r="M3474" s="27" t="n"/>
      <c r="N3474" s="27" t="n"/>
      <c r="O3474" s="27" t="n"/>
      <c r="P3474" s="27" t="n"/>
      <c r="Q3474" s="27" t="n"/>
      <c r="R3474" s="27" t="n"/>
      <c r="S3474" s="27" t="n"/>
      <c r="T3474" s="27" t="n"/>
    </row>
    <row r="3475" ht="13.8" customFormat="1" customHeight="1" s="70">
      <c r="M3475" s="27" t="n"/>
      <c r="N3475" s="27" t="n"/>
      <c r="O3475" s="27" t="n"/>
      <c r="P3475" s="27" t="n"/>
      <c r="Q3475" s="27" t="n"/>
      <c r="R3475" s="27" t="n"/>
      <c r="S3475" s="27" t="n"/>
      <c r="T3475" s="27" t="n"/>
    </row>
    <row r="3476" ht="13.8" customFormat="1" customHeight="1" s="70">
      <c r="M3476" s="27" t="n"/>
      <c r="N3476" s="27" t="n"/>
      <c r="O3476" s="27" t="n"/>
      <c r="P3476" s="27" t="n"/>
      <c r="Q3476" s="27" t="n"/>
      <c r="R3476" s="27" t="n"/>
      <c r="S3476" s="27" t="n"/>
      <c r="T3476" s="27" t="n"/>
    </row>
    <row r="3477" ht="13.8" customFormat="1" customHeight="1" s="70">
      <c r="M3477" s="27" t="n"/>
      <c r="N3477" s="27" t="n"/>
      <c r="O3477" s="27" t="n"/>
      <c r="P3477" s="27" t="n"/>
      <c r="Q3477" s="27" t="n"/>
      <c r="R3477" s="27" t="n"/>
      <c r="S3477" s="27" t="n"/>
      <c r="T3477" s="27" t="n"/>
    </row>
    <row r="3478" ht="13.8" customFormat="1" customHeight="1" s="70">
      <c r="M3478" s="27" t="n"/>
      <c r="N3478" s="27" t="n"/>
      <c r="O3478" s="27" t="n"/>
      <c r="P3478" s="27" t="n"/>
      <c r="Q3478" s="27" t="n"/>
      <c r="R3478" s="27" t="n"/>
      <c r="S3478" s="27" t="n"/>
      <c r="T3478" s="27" t="n"/>
    </row>
    <row r="3479" ht="13.8" customFormat="1" customHeight="1" s="70">
      <c r="M3479" s="27" t="n"/>
      <c r="N3479" s="27" t="n"/>
      <c r="O3479" s="27" t="n"/>
      <c r="P3479" s="27" t="n"/>
      <c r="Q3479" s="27" t="n"/>
      <c r="R3479" s="27" t="n"/>
      <c r="S3479" s="27" t="n"/>
      <c r="T3479" s="27" t="n"/>
    </row>
    <row r="3480" ht="13.8" customFormat="1" customHeight="1" s="70">
      <c r="M3480" s="27" t="n"/>
      <c r="N3480" s="27" t="n"/>
      <c r="O3480" s="27" t="n"/>
      <c r="P3480" s="27" t="n"/>
      <c r="Q3480" s="27" t="n"/>
      <c r="R3480" s="27" t="n"/>
      <c r="S3480" s="27" t="n"/>
      <c r="T3480" s="27" t="n"/>
    </row>
    <row r="3481" ht="13.8" customFormat="1" customHeight="1" s="70">
      <c r="M3481" s="27" t="n"/>
      <c r="N3481" s="27" t="n"/>
      <c r="O3481" s="27" t="n"/>
      <c r="P3481" s="27" t="n"/>
      <c r="Q3481" s="27" t="n"/>
      <c r="R3481" s="27" t="n"/>
      <c r="S3481" s="27" t="n"/>
      <c r="T3481" s="27" t="n"/>
    </row>
    <row r="3482" ht="13.8" customFormat="1" customHeight="1" s="70">
      <c r="M3482" s="27" t="n"/>
      <c r="N3482" s="27" t="n"/>
      <c r="O3482" s="27" t="n"/>
      <c r="P3482" s="27" t="n"/>
      <c r="Q3482" s="27" t="n"/>
      <c r="R3482" s="27" t="n"/>
      <c r="S3482" s="27" t="n"/>
      <c r="T3482" s="27" t="n"/>
    </row>
    <row r="3483" ht="13.8" customFormat="1" customHeight="1" s="70">
      <c r="M3483" s="27" t="n"/>
      <c r="N3483" s="27" t="n"/>
      <c r="O3483" s="27" t="n"/>
      <c r="P3483" s="27" t="n"/>
      <c r="Q3483" s="27" t="n"/>
      <c r="R3483" s="27" t="n"/>
      <c r="S3483" s="27" t="n"/>
      <c r="T3483" s="27" t="n"/>
    </row>
    <row r="3484" ht="13.8" customFormat="1" customHeight="1" s="70">
      <c r="M3484" s="27" t="n"/>
      <c r="N3484" s="27" t="n"/>
      <c r="O3484" s="27" t="n"/>
      <c r="P3484" s="27" t="n"/>
      <c r="Q3484" s="27" t="n"/>
      <c r="R3484" s="27" t="n"/>
      <c r="S3484" s="27" t="n"/>
      <c r="T3484" s="27" t="n"/>
    </row>
    <row r="3485" ht="13.8" customFormat="1" customHeight="1" s="70">
      <c r="M3485" s="27" t="n"/>
      <c r="N3485" s="27" t="n"/>
      <c r="O3485" s="27" t="n"/>
      <c r="P3485" s="27" t="n"/>
      <c r="Q3485" s="27" t="n"/>
      <c r="R3485" s="27" t="n"/>
      <c r="S3485" s="27" t="n"/>
      <c r="T3485" s="27" t="n"/>
    </row>
    <row r="3486" ht="13.8" customFormat="1" customHeight="1" s="70">
      <c r="M3486" s="27" t="n"/>
      <c r="N3486" s="27" t="n"/>
      <c r="O3486" s="27" t="n"/>
      <c r="P3486" s="27" t="n"/>
      <c r="Q3486" s="27" t="n"/>
      <c r="R3486" s="27" t="n"/>
      <c r="S3486" s="27" t="n"/>
      <c r="T3486" s="27" t="n"/>
    </row>
    <row r="3487" ht="13.8" customFormat="1" customHeight="1" s="70">
      <c r="M3487" s="27" t="n"/>
      <c r="N3487" s="27" t="n"/>
      <c r="O3487" s="27" t="n"/>
      <c r="P3487" s="27" t="n"/>
      <c r="Q3487" s="27" t="n"/>
      <c r="R3487" s="27" t="n"/>
      <c r="S3487" s="27" t="n"/>
      <c r="T3487" s="27" t="n"/>
    </row>
    <row r="3488" ht="13.8" customFormat="1" customHeight="1" s="70">
      <c r="M3488" s="27" t="n"/>
      <c r="N3488" s="27" t="n"/>
      <c r="O3488" s="27" t="n"/>
      <c r="P3488" s="27" t="n"/>
      <c r="Q3488" s="27" t="n"/>
      <c r="R3488" s="27" t="n"/>
      <c r="S3488" s="27" t="n"/>
      <c r="T3488" s="27" t="n"/>
    </row>
    <row r="3489" ht="13.8" customFormat="1" customHeight="1" s="70">
      <c r="M3489" s="27" t="n"/>
      <c r="N3489" s="27" t="n"/>
      <c r="O3489" s="27" t="n"/>
      <c r="P3489" s="27" t="n"/>
      <c r="Q3489" s="27" t="n"/>
      <c r="R3489" s="27" t="n"/>
      <c r="S3489" s="27" t="n"/>
      <c r="T3489" s="27" t="n"/>
    </row>
    <row r="3490" ht="13.8" customFormat="1" customHeight="1" s="70">
      <c r="M3490" s="27" t="n"/>
      <c r="N3490" s="27" t="n"/>
      <c r="O3490" s="27" t="n"/>
      <c r="P3490" s="27" t="n"/>
      <c r="Q3490" s="27" t="n"/>
      <c r="R3490" s="27" t="n"/>
      <c r="S3490" s="27" t="n"/>
      <c r="T3490" s="27" t="n"/>
    </row>
    <row r="3491" ht="13.8" customFormat="1" customHeight="1" s="70">
      <c r="M3491" s="27" t="n"/>
      <c r="N3491" s="27" t="n"/>
      <c r="O3491" s="27" t="n"/>
      <c r="P3491" s="27" t="n"/>
      <c r="Q3491" s="27" t="n"/>
      <c r="R3491" s="27" t="n"/>
      <c r="S3491" s="27" t="n"/>
      <c r="T3491" s="27" t="n"/>
    </row>
    <row r="3492" ht="13.8" customFormat="1" customHeight="1" s="70">
      <c r="M3492" s="27" t="n"/>
      <c r="N3492" s="27" t="n"/>
      <c r="O3492" s="27" t="n"/>
      <c r="P3492" s="27" t="n"/>
      <c r="Q3492" s="27" t="n"/>
      <c r="R3492" s="27" t="n"/>
      <c r="S3492" s="27" t="n"/>
      <c r="T3492" s="27" t="n"/>
    </row>
    <row r="3493" ht="13.8" customFormat="1" customHeight="1" s="70">
      <c r="M3493" s="27" t="n"/>
      <c r="N3493" s="27" t="n"/>
      <c r="O3493" s="27" t="n"/>
      <c r="P3493" s="27" t="n"/>
      <c r="Q3493" s="27" t="n"/>
      <c r="R3493" s="27" t="n"/>
      <c r="S3493" s="27" t="n"/>
      <c r="T3493" s="27" t="n"/>
    </row>
    <row r="3494" ht="13.8" customFormat="1" customHeight="1" s="70">
      <c r="M3494" s="27" t="n"/>
      <c r="N3494" s="27" t="n"/>
      <c r="O3494" s="27" t="n"/>
      <c r="P3494" s="27" t="n"/>
      <c r="Q3494" s="27" t="n"/>
      <c r="R3494" s="27" t="n"/>
      <c r="S3494" s="27" t="n"/>
      <c r="T3494" s="27" t="n"/>
    </row>
    <row r="3495" ht="13.8" customFormat="1" customHeight="1" s="70">
      <c r="M3495" s="27" t="n"/>
      <c r="N3495" s="27" t="n"/>
      <c r="O3495" s="27" t="n"/>
      <c r="P3495" s="27" t="n"/>
      <c r="Q3495" s="27" t="n"/>
      <c r="R3495" s="27" t="n"/>
      <c r="S3495" s="27" t="n"/>
      <c r="T3495" s="27" t="n"/>
    </row>
    <row r="3496" ht="13.8" customFormat="1" customHeight="1" s="70">
      <c r="M3496" s="27" t="n"/>
      <c r="N3496" s="27" t="n"/>
      <c r="O3496" s="27" t="n"/>
      <c r="P3496" s="27" t="n"/>
      <c r="Q3496" s="27" t="n"/>
      <c r="R3496" s="27" t="n"/>
      <c r="S3496" s="27" t="n"/>
      <c r="T3496" s="27" t="n"/>
    </row>
    <row r="3497" ht="13.8" customFormat="1" customHeight="1" s="70">
      <c r="M3497" s="27" t="n"/>
      <c r="N3497" s="27" t="n"/>
      <c r="O3497" s="27" t="n"/>
      <c r="P3497" s="27" t="n"/>
      <c r="Q3497" s="27" t="n"/>
      <c r="R3497" s="27" t="n"/>
      <c r="S3497" s="27" t="n"/>
      <c r="T3497" s="27" t="n"/>
    </row>
    <row r="3498" ht="13.8" customFormat="1" customHeight="1" s="70">
      <c r="M3498" s="27" t="n"/>
      <c r="N3498" s="27" t="n"/>
      <c r="O3498" s="27" t="n"/>
      <c r="P3498" s="27" t="n"/>
      <c r="Q3498" s="27" t="n"/>
      <c r="R3498" s="27" t="n"/>
      <c r="S3498" s="27" t="n"/>
      <c r="T3498" s="27" t="n"/>
    </row>
    <row r="3499" ht="13.8" customFormat="1" customHeight="1" s="70">
      <c r="M3499" s="27" t="n"/>
      <c r="N3499" s="27" t="n"/>
      <c r="O3499" s="27" t="n"/>
      <c r="P3499" s="27" t="n"/>
      <c r="Q3499" s="27" t="n"/>
      <c r="R3499" s="27" t="n"/>
      <c r="S3499" s="27" t="n"/>
      <c r="T3499" s="27" t="n"/>
    </row>
    <row r="3500" ht="13.8" customFormat="1" customHeight="1" s="70">
      <c r="M3500" s="27" t="n"/>
      <c r="N3500" s="27" t="n"/>
      <c r="O3500" s="27" t="n"/>
      <c r="P3500" s="27" t="n"/>
      <c r="Q3500" s="27" t="n"/>
      <c r="R3500" s="27" t="n"/>
      <c r="S3500" s="27" t="n"/>
      <c r="T3500" s="27" t="n"/>
    </row>
    <row r="3501" ht="13.8" customFormat="1" customHeight="1" s="70">
      <c r="M3501" s="27" t="n"/>
      <c r="N3501" s="27" t="n"/>
      <c r="O3501" s="27" t="n"/>
      <c r="P3501" s="27" t="n"/>
      <c r="Q3501" s="27" t="n"/>
      <c r="R3501" s="27" t="n"/>
      <c r="S3501" s="27" t="n"/>
      <c r="T3501" s="27" t="n"/>
    </row>
    <row r="3502" ht="13.8" customFormat="1" customHeight="1" s="70">
      <c r="M3502" s="27" t="n"/>
      <c r="N3502" s="27" t="n"/>
      <c r="O3502" s="27" t="n"/>
      <c r="P3502" s="27" t="n"/>
      <c r="Q3502" s="27" t="n"/>
      <c r="R3502" s="27" t="n"/>
      <c r="S3502" s="27" t="n"/>
      <c r="T3502" s="27" t="n"/>
    </row>
    <row r="3503" ht="13.8" customFormat="1" customHeight="1" s="70">
      <c r="M3503" s="27" t="n"/>
      <c r="N3503" s="27" t="n"/>
      <c r="O3503" s="27" t="n"/>
      <c r="P3503" s="27" t="n"/>
      <c r="Q3503" s="27" t="n"/>
      <c r="R3503" s="27" t="n"/>
      <c r="S3503" s="27" t="n"/>
      <c r="T3503" s="27" t="n"/>
    </row>
    <row r="3504" ht="13.8" customFormat="1" customHeight="1" s="70">
      <c r="M3504" s="27" t="n"/>
      <c r="N3504" s="27" t="n"/>
      <c r="O3504" s="27" t="n"/>
      <c r="P3504" s="27" t="n"/>
      <c r="Q3504" s="27" t="n"/>
      <c r="R3504" s="27" t="n"/>
      <c r="S3504" s="27" t="n"/>
      <c r="T3504" s="27" t="n"/>
    </row>
    <row r="3505" ht="13.8" customFormat="1" customHeight="1" s="70">
      <c r="M3505" s="27" t="n"/>
      <c r="N3505" s="27" t="n"/>
      <c r="O3505" s="27" t="n"/>
      <c r="P3505" s="27" t="n"/>
      <c r="Q3505" s="27" t="n"/>
      <c r="R3505" s="27" t="n"/>
      <c r="S3505" s="27" t="n"/>
      <c r="T3505" s="27" t="n"/>
    </row>
    <row r="3506" ht="13.8" customFormat="1" customHeight="1" s="70">
      <c r="M3506" s="27" t="n"/>
      <c r="N3506" s="27" t="n"/>
      <c r="O3506" s="27" t="n"/>
      <c r="P3506" s="27" t="n"/>
      <c r="Q3506" s="27" t="n"/>
      <c r="R3506" s="27" t="n"/>
      <c r="S3506" s="27" t="n"/>
      <c r="T3506" s="27" t="n"/>
    </row>
    <row r="3507" ht="13.8" customFormat="1" customHeight="1" s="70">
      <c r="M3507" s="27" t="n"/>
      <c r="N3507" s="27" t="n"/>
      <c r="O3507" s="27" t="n"/>
      <c r="P3507" s="27" t="n"/>
      <c r="Q3507" s="27" t="n"/>
      <c r="R3507" s="27" t="n"/>
      <c r="S3507" s="27" t="n"/>
      <c r="T3507" s="27" t="n"/>
    </row>
    <row r="3508" ht="13.8" customFormat="1" customHeight="1" s="70">
      <c r="M3508" s="27" t="n"/>
      <c r="N3508" s="27" t="n"/>
      <c r="O3508" s="27" t="n"/>
      <c r="P3508" s="27" t="n"/>
      <c r="Q3508" s="27" t="n"/>
      <c r="R3508" s="27" t="n"/>
      <c r="S3508" s="27" t="n"/>
      <c r="T3508" s="27" t="n"/>
    </row>
    <row r="3509" ht="13.8" customFormat="1" customHeight="1" s="70">
      <c r="M3509" s="27" t="n"/>
      <c r="N3509" s="27" t="n"/>
      <c r="O3509" s="27" t="n"/>
      <c r="P3509" s="27" t="n"/>
      <c r="Q3509" s="27" t="n"/>
      <c r="R3509" s="27" t="n"/>
      <c r="S3509" s="27" t="n"/>
      <c r="T3509" s="27" t="n"/>
    </row>
    <row r="3510" ht="13.8" customFormat="1" customHeight="1" s="70">
      <c r="M3510" s="27" t="n"/>
      <c r="N3510" s="27" t="n"/>
      <c r="O3510" s="27" t="n"/>
      <c r="P3510" s="27" t="n"/>
      <c r="Q3510" s="27" t="n"/>
      <c r="R3510" s="27" t="n"/>
      <c r="S3510" s="27" t="n"/>
      <c r="T3510" s="27" t="n"/>
    </row>
    <row r="3511" ht="13.8" customFormat="1" customHeight="1" s="70">
      <c r="M3511" s="27" t="n"/>
      <c r="N3511" s="27" t="n"/>
      <c r="O3511" s="27" t="n"/>
      <c r="P3511" s="27" t="n"/>
      <c r="Q3511" s="27" t="n"/>
      <c r="R3511" s="27" t="n"/>
      <c r="S3511" s="27" t="n"/>
      <c r="T3511" s="27" t="n"/>
    </row>
    <row r="3512" ht="13.8" customFormat="1" customHeight="1" s="70">
      <c r="M3512" s="27" t="n"/>
      <c r="N3512" s="27" t="n"/>
      <c r="O3512" s="27" t="n"/>
      <c r="P3512" s="27" t="n"/>
      <c r="Q3512" s="27" t="n"/>
      <c r="R3512" s="27" t="n"/>
      <c r="S3512" s="27" t="n"/>
      <c r="T3512" s="27" t="n"/>
    </row>
    <row r="3513" ht="13.8" customFormat="1" customHeight="1" s="70">
      <c r="M3513" s="27" t="n"/>
      <c r="N3513" s="27" t="n"/>
      <c r="O3513" s="27" t="n"/>
      <c r="P3513" s="27" t="n"/>
      <c r="Q3513" s="27" t="n"/>
      <c r="R3513" s="27" t="n"/>
      <c r="S3513" s="27" t="n"/>
      <c r="T3513" s="27" t="n"/>
    </row>
    <row r="3514" ht="13.8" customFormat="1" customHeight="1" s="70">
      <c r="M3514" s="27" t="n"/>
      <c r="N3514" s="27" t="n"/>
      <c r="O3514" s="27" t="n"/>
      <c r="P3514" s="27" t="n"/>
      <c r="Q3514" s="27" t="n"/>
      <c r="R3514" s="27" t="n"/>
      <c r="S3514" s="27" t="n"/>
      <c r="T3514" s="27" t="n"/>
    </row>
    <row r="3515" ht="13.8" customFormat="1" customHeight="1" s="70">
      <c r="M3515" s="27" t="n"/>
      <c r="N3515" s="27" t="n"/>
      <c r="O3515" s="27" t="n"/>
      <c r="P3515" s="27" t="n"/>
      <c r="Q3515" s="27" t="n"/>
      <c r="R3515" s="27" t="n"/>
      <c r="S3515" s="27" t="n"/>
      <c r="T3515" s="27" t="n"/>
    </row>
    <row r="3516" ht="13.8" customFormat="1" customHeight="1" s="70">
      <c r="M3516" s="27" t="n"/>
      <c r="N3516" s="27" t="n"/>
      <c r="O3516" s="27" t="n"/>
      <c r="P3516" s="27" t="n"/>
      <c r="Q3516" s="27" t="n"/>
      <c r="R3516" s="27" t="n"/>
      <c r="S3516" s="27" t="n"/>
      <c r="T3516" s="27" t="n"/>
    </row>
    <row r="3517" ht="13.8" customFormat="1" customHeight="1" s="70">
      <c r="M3517" s="27" t="n"/>
      <c r="N3517" s="27" t="n"/>
      <c r="O3517" s="27" t="n"/>
      <c r="P3517" s="27" t="n"/>
      <c r="Q3517" s="27" t="n"/>
      <c r="R3517" s="27" t="n"/>
      <c r="S3517" s="27" t="n"/>
      <c r="T3517" s="27" t="n"/>
    </row>
    <row r="3518" ht="13.8" customFormat="1" customHeight="1" s="70">
      <c r="M3518" s="27" t="n"/>
      <c r="N3518" s="27" t="n"/>
      <c r="O3518" s="27" t="n"/>
      <c r="P3518" s="27" t="n"/>
      <c r="Q3518" s="27" t="n"/>
      <c r="R3518" s="27" t="n"/>
      <c r="S3518" s="27" t="n"/>
      <c r="T3518" s="27" t="n"/>
    </row>
    <row r="3519" ht="13.8" customFormat="1" customHeight="1" s="70">
      <c r="M3519" s="27" t="n"/>
      <c r="N3519" s="27" t="n"/>
      <c r="O3519" s="27" t="n"/>
      <c r="P3519" s="27" t="n"/>
      <c r="Q3519" s="27" t="n"/>
      <c r="R3519" s="27" t="n"/>
      <c r="S3519" s="27" t="n"/>
      <c r="T3519" s="27" t="n"/>
    </row>
    <row r="3520" ht="13.8" customFormat="1" customHeight="1" s="70">
      <c r="M3520" s="27" t="n"/>
      <c r="N3520" s="27" t="n"/>
      <c r="O3520" s="27" t="n"/>
      <c r="P3520" s="27" t="n"/>
      <c r="Q3520" s="27" t="n"/>
      <c r="R3520" s="27" t="n"/>
      <c r="S3520" s="27" t="n"/>
      <c r="T3520" s="27" t="n"/>
    </row>
    <row r="3521" ht="13.8" customFormat="1" customHeight="1" s="70">
      <c r="M3521" s="27" t="n"/>
      <c r="N3521" s="27" t="n"/>
      <c r="O3521" s="27" t="n"/>
      <c r="P3521" s="27" t="n"/>
      <c r="Q3521" s="27" t="n"/>
      <c r="R3521" s="27" t="n"/>
      <c r="S3521" s="27" t="n"/>
      <c r="T3521" s="27" t="n"/>
    </row>
    <row r="3522" ht="13.8" customFormat="1" customHeight="1" s="70">
      <c r="M3522" s="27" t="n"/>
      <c r="N3522" s="27" t="n"/>
      <c r="O3522" s="27" t="n"/>
      <c r="P3522" s="27" t="n"/>
      <c r="Q3522" s="27" t="n"/>
      <c r="R3522" s="27" t="n"/>
      <c r="S3522" s="27" t="n"/>
      <c r="T3522" s="27" t="n"/>
    </row>
    <row r="3523" ht="13.8" customFormat="1" customHeight="1" s="70">
      <c r="M3523" s="27" t="n"/>
      <c r="N3523" s="27" t="n"/>
      <c r="O3523" s="27" t="n"/>
      <c r="P3523" s="27" t="n"/>
      <c r="Q3523" s="27" t="n"/>
      <c r="R3523" s="27" t="n"/>
      <c r="S3523" s="27" t="n"/>
      <c r="T3523" s="27" t="n"/>
    </row>
    <row r="3524" ht="13.8" customFormat="1" customHeight="1" s="70">
      <c r="M3524" s="27" t="n"/>
      <c r="N3524" s="27" t="n"/>
      <c r="O3524" s="27" t="n"/>
      <c r="P3524" s="27" t="n"/>
      <c r="Q3524" s="27" t="n"/>
      <c r="R3524" s="27" t="n"/>
      <c r="S3524" s="27" t="n"/>
      <c r="T3524" s="27" t="n"/>
    </row>
    <row r="3525" ht="13.8" customFormat="1" customHeight="1" s="70">
      <c r="M3525" s="27" t="n"/>
      <c r="N3525" s="27" t="n"/>
      <c r="O3525" s="27" t="n"/>
      <c r="P3525" s="27" t="n"/>
      <c r="Q3525" s="27" t="n"/>
      <c r="R3525" s="27" t="n"/>
      <c r="S3525" s="27" t="n"/>
      <c r="T3525" s="27" t="n"/>
    </row>
    <row r="3526" ht="13.8" customFormat="1" customHeight="1" s="70">
      <c r="M3526" s="27" t="n"/>
      <c r="N3526" s="27" t="n"/>
      <c r="O3526" s="27" t="n"/>
      <c r="P3526" s="27" t="n"/>
      <c r="Q3526" s="27" t="n"/>
      <c r="R3526" s="27" t="n"/>
      <c r="S3526" s="27" t="n"/>
      <c r="T3526" s="27" t="n"/>
    </row>
    <row r="3527" ht="13.8" customFormat="1" customHeight="1" s="70">
      <c r="M3527" s="27" t="n"/>
      <c r="N3527" s="27" t="n"/>
      <c r="O3527" s="27" t="n"/>
      <c r="P3527" s="27" t="n"/>
      <c r="Q3527" s="27" t="n"/>
      <c r="R3527" s="27" t="n"/>
      <c r="S3527" s="27" t="n"/>
      <c r="T3527" s="27" t="n"/>
    </row>
    <row r="3528" ht="13.8" customFormat="1" customHeight="1" s="70">
      <c r="M3528" s="27" t="n"/>
      <c r="N3528" s="27" t="n"/>
      <c r="O3528" s="27" t="n"/>
      <c r="P3528" s="27" t="n"/>
      <c r="Q3528" s="27" t="n"/>
      <c r="R3528" s="27" t="n"/>
      <c r="S3528" s="27" t="n"/>
      <c r="T3528" s="27" t="n"/>
    </row>
    <row r="3529" ht="13.8" customFormat="1" customHeight="1" s="70">
      <c r="M3529" s="27" t="n"/>
      <c r="N3529" s="27" t="n"/>
      <c r="O3529" s="27" t="n"/>
      <c r="P3529" s="27" t="n"/>
      <c r="Q3529" s="27" t="n"/>
      <c r="R3529" s="27" t="n"/>
      <c r="S3529" s="27" t="n"/>
      <c r="T3529" s="27" t="n"/>
    </row>
    <row r="3530" ht="13.8" customFormat="1" customHeight="1" s="70">
      <c r="M3530" s="27" t="n"/>
      <c r="N3530" s="27" t="n"/>
      <c r="O3530" s="27" t="n"/>
      <c r="P3530" s="27" t="n"/>
      <c r="Q3530" s="27" t="n"/>
      <c r="R3530" s="27" t="n"/>
      <c r="S3530" s="27" t="n"/>
      <c r="T3530" s="27" t="n"/>
    </row>
    <row r="3531" ht="13.8" customFormat="1" customHeight="1" s="70">
      <c r="M3531" s="27" t="n"/>
      <c r="N3531" s="27" t="n"/>
      <c r="O3531" s="27" t="n"/>
      <c r="P3531" s="27" t="n"/>
      <c r="Q3531" s="27" t="n"/>
      <c r="R3531" s="27" t="n"/>
      <c r="S3531" s="27" t="n"/>
      <c r="T3531" s="27" t="n"/>
    </row>
    <row r="3532" ht="13.8" customFormat="1" customHeight="1" s="70">
      <c r="M3532" s="27" t="n"/>
      <c r="N3532" s="27" t="n"/>
      <c r="O3532" s="27" t="n"/>
      <c r="P3532" s="27" t="n"/>
      <c r="Q3532" s="27" t="n"/>
      <c r="R3532" s="27" t="n"/>
      <c r="S3532" s="27" t="n"/>
      <c r="T3532" s="27" t="n"/>
    </row>
    <row r="3533" ht="13.8" customFormat="1" customHeight="1" s="70">
      <c r="M3533" s="27" t="n"/>
      <c r="N3533" s="27" t="n"/>
      <c r="O3533" s="27" t="n"/>
      <c r="P3533" s="27" t="n"/>
      <c r="Q3533" s="27" t="n"/>
      <c r="R3533" s="27" t="n"/>
      <c r="S3533" s="27" t="n"/>
      <c r="T3533" s="27" t="n"/>
    </row>
    <row r="3534" ht="13.8" customFormat="1" customHeight="1" s="70">
      <c r="M3534" s="27" t="n"/>
      <c r="N3534" s="27" t="n"/>
      <c r="O3534" s="27" t="n"/>
      <c r="P3534" s="27" t="n"/>
      <c r="Q3534" s="27" t="n"/>
      <c r="R3534" s="27" t="n"/>
      <c r="S3534" s="27" t="n"/>
      <c r="T3534" s="27" t="n"/>
    </row>
    <row r="3535" ht="13.8" customFormat="1" customHeight="1" s="70">
      <c r="M3535" s="27" t="n"/>
      <c r="N3535" s="27" t="n"/>
      <c r="O3535" s="27" t="n"/>
      <c r="P3535" s="27" t="n"/>
      <c r="Q3535" s="27" t="n"/>
      <c r="R3535" s="27" t="n"/>
      <c r="S3535" s="27" t="n"/>
      <c r="T3535" s="27" t="n"/>
    </row>
    <row r="3536" ht="13.8" customFormat="1" customHeight="1" s="70">
      <c r="M3536" s="27" t="n"/>
      <c r="N3536" s="27" t="n"/>
      <c r="O3536" s="27" t="n"/>
      <c r="P3536" s="27" t="n"/>
      <c r="Q3536" s="27" t="n"/>
      <c r="R3536" s="27" t="n"/>
      <c r="S3536" s="27" t="n"/>
      <c r="T3536" s="27" t="n"/>
    </row>
    <row r="3537" ht="13.8" customFormat="1" customHeight="1" s="70">
      <c r="M3537" s="27" t="n"/>
      <c r="N3537" s="27" t="n"/>
      <c r="O3537" s="27" t="n"/>
      <c r="P3537" s="27" t="n"/>
      <c r="Q3537" s="27" t="n"/>
      <c r="R3537" s="27" t="n"/>
      <c r="S3537" s="27" t="n"/>
      <c r="T3537" s="27" t="n"/>
    </row>
    <row r="3538" ht="13.8" customFormat="1" customHeight="1" s="70">
      <c r="M3538" s="27" t="n"/>
      <c r="N3538" s="27" t="n"/>
      <c r="O3538" s="27" t="n"/>
      <c r="P3538" s="27" t="n"/>
      <c r="Q3538" s="27" t="n"/>
      <c r="R3538" s="27" t="n"/>
      <c r="S3538" s="27" t="n"/>
      <c r="T3538" s="27" t="n"/>
    </row>
    <row r="3539" ht="13.8" customFormat="1" customHeight="1" s="70">
      <c r="M3539" s="27" t="n"/>
      <c r="N3539" s="27" t="n"/>
      <c r="O3539" s="27" t="n"/>
      <c r="P3539" s="27" t="n"/>
      <c r="Q3539" s="27" t="n"/>
      <c r="R3539" s="27" t="n"/>
      <c r="S3539" s="27" t="n"/>
      <c r="T3539" s="27" t="n"/>
    </row>
    <row r="3540" ht="13.8" customFormat="1" customHeight="1" s="70">
      <c r="M3540" s="27" t="n"/>
      <c r="N3540" s="27" t="n"/>
      <c r="O3540" s="27" t="n"/>
      <c r="P3540" s="27" t="n"/>
      <c r="Q3540" s="27" t="n"/>
      <c r="R3540" s="27" t="n"/>
      <c r="S3540" s="27" t="n"/>
      <c r="T3540" s="27" t="n"/>
    </row>
    <row r="3541" ht="13.8" customFormat="1" customHeight="1" s="70">
      <c r="M3541" s="27" t="n"/>
      <c r="N3541" s="27" t="n"/>
      <c r="O3541" s="27" t="n"/>
      <c r="P3541" s="27" t="n"/>
      <c r="Q3541" s="27" t="n"/>
      <c r="R3541" s="27" t="n"/>
      <c r="S3541" s="27" t="n"/>
      <c r="T3541" s="27" t="n"/>
    </row>
    <row r="3542" ht="13.8" customFormat="1" customHeight="1" s="70">
      <c r="M3542" s="27" t="n"/>
      <c r="N3542" s="27" t="n"/>
      <c r="O3542" s="27" t="n"/>
      <c r="P3542" s="27" t="n"/>
      <c r="Q3542" s="27" t="n"/>
      <c r="R3542" s="27" t="n"/>
      <c r="S3542" s="27" t="n"/>
      <c r="T3542" s="27" t="n"/>
    </row>
    <row r="3543" ht="13.8" customFormat="1" customHeight="1" s="70">
      <c r="M3543" s="27" t="n"/>
      <c r="N3543" s="27" t="n"/>
      <c r="O3543" s="27" t="n"/>
      <c r="P3543" s="27" t="n"/>
      <c r="Q3543" s="27" t="n"/>
      <c r="R3543" s="27" t="n"/>
      <c r="S3543" s="27" t="n"/>
      <c r="T3543" s="27" t="n"/>
    </row>
    <row r="3544" ht="13.8" customFormat="1" customHeight="1" s="70">
      <c r="M3544" s="27" t="n"/>
      <c r="N3544" s="27" t="n"/>
      <c r="O3544" s="27" t="n"/>
      <c r="P3544" s="27" t="n"/>
      <c r="Q3544" s="27" t="n"/>
      <c r="R3544" s="27" t="n"/>
      <c r="S3544" s="27" t="n"/>
      <c r="T3544" s="27" t="n"/>
    </row>
    <row r="3545" ht="13.8" customFormat="1" customHeight="1" s="70">
      <c r="M3545" s="27" t="n"/>
      <c r="N3545" s="27" t="n"/>
      <c r="O3545" s="27" t="n"/>
      <c r="P3545" s="27" t="n"/>
      <c r="Q3545" s="27" t="n"/>
      <c r="R3545" s="27" t="n"/>
      <c r="S3545" s="27" t="n"/>
      <c r="T3545" s="27" t="n"/>
    </row>
    <row r="3546" ht="13.8" customFormat="1" customHeight="1" s="70">
      <c r="M3546" s="27" t="n"/>
      <c r="N3546" s="27" t="n"/>
      <c r="O3546" s="27" t="n"/>
      <c r="P3546" s="27" t="n"/>
      <c r="Q3546" s="27" t="n"/>
      <c r="R3546" s="27" t="n"/>
      <c r="S3546" s="27" t="n"/>
      <c r="T3546" s="27" t="n"/>
    </row>
    <row r="3547" ht="13.8" customFormat="1" customHeight="1" s="70">
      <c r="M3547" s="27" t="n"/>
      <c r="N3547" s="27" t="n"/>
      <c r="O3547" s="27" t="n"/>
      <c r="P3547" s="27" t="n"/>
      <c r="Q3547" s="27" t="n"/>
      <c r="R3547" s="27" t="n"/>
      <c r="S3547" s="27" t="n"/>
      <c r="T3547" s="27" t="n"/>
    </row>
    <row r="3548" ht="13.8" customFormat="1" customHeight="1" s="70">
      <c r="M3548" s="27" t="n"/>
      <c r="N3548" s="27" t="n"/>
      <c r="O3548" s="27" t="n"/>
      <c r="P3548" s="27" t="n"/>
      <c r="Q3548" s="27" t="n"/>
      <c r="R3548" s="27" t="n"/>
      <c r="S3548" s="27" t="n"/>
      <c r="T3548" s="27" t="n"/>
    </row>
    <row r="3549" ht="13.8" customFormat="1" customHeight="1" s="70">
      <c r="M3549" s="27" t="n"/>
      <c r="N3549" s="27" t="n"/>
      <c r="O3549" s="27" t="n"/>
      <c r="P3549" s="27" t="n"/>
      <c r="Q3549" s="27" t="n"/>
      <c r="R3549" s="27" t="n"/>
      <c r="S3549" s="27" t="n"/>
      <c r="T3549" s="27" t="n"/>
    </row>
    <row r="3550" ht="13.8" customFormat="1" customHeight="1" s="70">
      <c r="M3550" s="27" t="n"/>
      <c r="N3550" s="27" t="n"/>
      <c r="O3550" s="27" t="n"/>
      <c r="P3550" s="27" t="n"/>
      <c r="Q3550" s="27" t="n"/>
      <c r="R3550" s="27" t="n"/>
      <c r="S3550" s="27" t="n"/>
      <c r="T3550" s="27" t="n"/>
    </row>
    <row r="3551" ht="13.8" customFormat="1" customHeight="1" s="70">
      <c r="M3551" s="27" t="n"/>
      <c r="N3551" s="27" t="n"/>
      <c r="O3551" s="27" t="n"/>
      <c r="P3551" s="27" t="n"/>
      <c r="Q3551" s="27" t="n"/>
      <c r="R3551" s="27" t="n"/>
      <c r="S3551" s="27" t="n"/>
      <c r="T3551" s="27" t="n"/>
    </row>
    <row r="3552" ht="13.8" customFormat="1" customHeight="1" s="70">
      <c r="M3552" s="27" t="n"/>
      <c r="N3552" s="27" t="n"/>
      <c r="O3552" s="27" t="n"/>
      <c r="P3552" s="27" t="n"/>
      <c r="Q3552" s="27" t="n"/>
      <c r="R3552" s="27" t="n"/>
      <c r="S3552" s="27" t="n"/>
      <c r="T3552" s="27" t="n"/>
    </row>
    <row r="3553" ht="13.8" customFormat="1" customHeight="1" s="70">
      <c r="M3553" s="27" t="n"/>
      <c r="N3553" s="27" t="n"/>
      <c r="O3553" s="27" t="n"/>
      <c r="P3553" s="27" t="n"/>
      <c r="Q3553" s="27" t="n"/>
      <c r="R3553" s="27" t="n"/>
      <c r="S3553" s="27" t="n"/>
      <c r="T3553" s="27" t="n"/>
    </row>
    <row r="3554" ht="13.8" customFormat="1" customHeight="1" s="70">
      <c r="M3554" s="27" t="n"/>
      <c r="N3554" s="27" t="n"/>
      <c r="O3554" s="27" t="n"/>
      <c r="P3554" s="27" t="n"/>
      <c r="Q3554" s="27" t="n"/>
      <c r="R3554" s="27" t="n"/>
      <c r="S3554" s="27" t="n"/>
      <c r="T3554" s="27" t="n"/>
    </row>
    <row r="3555" ht="13.8" customFormat="1" customHeight="1" s="70">
      <c r="M3555" s="27" t="n"/>
      <c r="N3555" s="27" t="n"/>
      <c r="O3555" s="27" t="n"/>
      <c r="P3555" s="27" t="n"/>
      <c r="Q3555" s="27" t="n"/>
      <c r="R3555" s="27" t="n"/>
      <c r="S3555" s="27" t="n"/>
      <c r="T3555" s="27" t="n"/>
    </row>
    <row r="3556" ht="13.8" customFormat="1" customHeight="1" s="70">
      <c r="M3556" s="27" t="n"/>
      <c r="N3556" s="27" t="n"/>
      <c r="O3556" s="27" t="n"/>
      <c r="P3556" s="27" t="n"/>
      <c r="Q3556" s="27" t="n"/>
      <c r="R3556" s="27" t="n"/>
      <c r="S3556" s="27" t="n"/>
      <c r="T3556" s="27" t="n"/>
    </row>
    <row r="3557" ht="13.8" customFormat="1" customHeight="1" s="70">
      <c r="M3557" s="27" t="n"/>
      <c r="N3557" s="27" t="n"/>
      <c r="O3557" s="27" t="n"/>
      <c r="P3557" s="27" t="n"/>
      <c r="Q3557" s="27" t="n"/>
      <c r="R3557" s="27" t="n"/>
      <c r="S3557" s="27" t="n"/>
      <c r="T3557" s="27" t="n"/>
    </row>
    <row r="3558" ht="13.8" customFormat="1" customHeight="1" s="70">
      <c r="M3558" s="27" t="n"/>
      <c r="N3558" s="27" t="n"/>
      <c r="O3558" s="27" t="n"/>
      <c r="P3558" s="27" t="n"/>
      <c r="Q3558" s="27" t="n"/>
      <c r="R3558" s="27" t="n"/>
      <c r="S3558" s="27" t="n"/>
      <c r="T3558" s="27" t="n"/>
    </row>
    <row r="3559" ht="13.8" customFormat="1" customHeight="1" s="70">
      <c r="M3559" s="27" t="n"/>
      <c r="N3559" s="27" t="n"/>
      <c r="O3559" s="27" t="n"/>
      <c r="P3559" s="27" t="n"/>
      <c r="Q3559" s="27" t="n"/>
      <c r="R3559" s="27" t="n"/>
      <c r="S3559" s="27" t="n"/>
      <c r="T3559" s="27" t="n"/>
    </row>
    <row r="3560" ht="13.8" customFormat="1" customHeight="1" s="70">
      <c r="M3560" s="27" t="n"/>
      <c r="N3560" s="27" t="n"/>
      <c r="O3560" s="27" t="n"/>
      <c r="P3560" s="27" t="n"/>
      <c r="Q3560" s="27" t="n"/>
      <c r="R3560" s="27" t="n"/>
      <c r="S3560" s="27" t="n"/>
      <c r="T3560" s="27" t="n"/>
    </row>
    <row r="3561" ht="13.8" customFormat="1" customHeight="1" s="70">
      <c r="M3561" s="27" t="n"/>
      <c r="N3561" s="27" t="n"/>
      <c r="O3561" s="27" t="n"/>
      <c r="P3561" s="27" t="n"/>
      <c r="Q3561" s="27" t="n"/>
      <c r="R3561" s="27" t="n"/>
      <c r="S3561" s="27" t="n"/>
      <c r="T3561" s="27" t="n"/>
    </row>
    <row r="3562" ht="13.8" customFormat="1" customHeight="1" s="70">
      <c r="M3562" s="27" t="n"/>
      <c r="N3562" s="27" t="n"/>
      <c r="O3562" s="27" t="n"/>
      <c r="P3562" s="27" t="n"/>
      <c r="Q3562" s="27" t="n"/>
      <c r="R3562" s="27" t="n"/>
      <c r="S3562" s="27" t="n"/>
      <c r="T3562" s="27" t="n"/>
    </row>
    <row r="3563" ht="13.8" customFormat="1" customHeight="1" s="70">
      <c r="M3563" s="27" t="n"/>
      <c r="N3563" s="27" t="n"/>
      <c r="O3563" s="27" t="n"/>
      <c r="P3563" s="27" t="n"/>
      <c r="Q3563" s="27" t="n"/>
      <c r="R3563" s="27" t="n"/>
      <c r="S3563" s="27" t="n"/>
      <c r="T3563" s="27" t="n"/>
    </row>
    <row r="3564" ht="13.8" customFormat="1" customHeight="1" s="70">
      <c r="M3564" s="27" t="n"/>
      <c r="N3564" s="27" t="n"/>
      <c r="O3564" s="27" t="n"/>
      <c r="P3564" s="27" t="n"/>
      <c r="Q3564" s="27" t="n"/>
      <c r="R3564" s="27" t="n"/>
      <c r="S3564" s="27" t="n"/>
      <c r="T3564" s="27" t="n"/>
    </row>
    <row r="3565" ht="13.8" customFormat="1" customHeight="1" s="70">
      <c r="M3565" s="27" t="n"/>
      <c r="N3565" s="27" t="n"/>
      <c r="O3565" s="27" t="n"/>
      <c r="P3565" s="27" t="n"/>
      <c r="Q3565" s="27" t="n"/>
      <c r="R3565" s="27" t="n"/>
      <c r="S3565" s="27" t="n"/>
      <c r="T3565" s="27" t="n"/>
    </row>
    <row r="3566" ht="13.8" customFormat="1" customHeight="1" s="70">
      <c r="M3566" s="27" t="n"/>
      <c r="N3566" s="27" t="n"/>
      <c r="O3566" s="27" t="n"/>
      <c r="P3566" s="27" t="n"/>
      <c r="Q3566" s="27" t="n"/>
      <c r="R3566" s="27" t="n"/>
      <c r="S3566" s="27" t="n"/>
      <c r="T3566" s="27" t="n"/>
    </row>
    <row r="3567" ht="13.8" customFormat="1" customHeight="1" s="70">
      <c r="M3567" s="27" t="n"/>
      <c r="N3567" s="27" t="n"/>
      <c r="O3567" s="27" t="n"/>
      <c r="P3567" s="27" t="n"/>
      <c r="Q3567" s="27" t="n"/>
      <c r="R3567" s="27" t="n"/>
      <c r="S3567" s="27" t="n"/>
      <c r="T3567" s="27" t="n"/>
    </row>
    <row r="3568" ht="13.8" customFormat="1" customHeight="1" s="70">
      <c r="M3568" s="27" t="n"/>
      <c r="N3568" s="27" t="n"/>
      <c r="O3568" s="27" t="n"/>
      <c r="P3568" s="27" t="n"/>
      <c r="Q3568" s="27" t="n"/>
      <c r="R3568" s="27" t="n"/>
      <c r="S3568" s="27" t="n"/>
      <c r="T3568" s="27" t="n"/>
    </row>
    <row r="3569" ht="13.8" customFormat="1" customHeight="1" s="70">
      <c r="M3569" s="27" t="n"/>
      <c r="N3569" s="27" t="n"/>
      <c r="O3569" s="27" t="n"/>
      <c r="P3569" s="27" t="n"/>
      <c r="Q3569" s="27" t="n"/>
      <c r="R3569" s="27" t="n"/>
      <c r="S3569" s="27" t="n"/>
      <c r="T3569" s="27" t="n"/>
    </row>
    <row r="3570" ht="13.8" customFormat="1" customHeight="1" s="70">
      <c r="M3570" s="27" t="n"/>
      <c r="N3570" s="27" t="n"/>
      <c r="O3570" s="27" t="n"/>
      <c r="P3570" s="27" t="n"/>
      <c r="Q3570" s="27" t="n"/>
      <c r="R3570" s="27" t="n"/>
      <c r="S3570" s="27" t="n"/>
      <c r="T3570" s="27" t="n"/>
    </row>
    <row r="3571" ht="13.8" customFormat="1" customHeight="1" s="70">
      <c r="M3571" s="27" t="n"/>
      <c r="N3571" s="27" t="n"/>
      <c r="O3571" s="27" t="n"/>
      <c r="P3571" s="27" t="n"/>
      <c r="Q3571" s="27" t="n"/>
      <c r="R3571" s="27" t="n"/>
      <c r="S3571" s="27" t="n"/>
      <c r="T3571" s="27" t="n"/>
    </row>
    <row r="3572" ht="13.8" customFormat="1" customHeight="1" s="70">
      <c r="M3572" s="27" t="n"/>
      <c r="N3572" s="27" t="n"/>
      <c r="O3572" s="27" t="n"/>
      <c r="P3572" s="27" t="n"/>
      <c r="Q3572" s="27" t="n"/>
      <c r="R3572" s="27" t="n"/>
      <c r="S3572" s="27" t="n"/>
      <c r="T3572" s="27" t="n"/>
    </row>
    <row r="3573" ht="13.8" customFormat="1" customHeight="1" s="70">
      <c r="M3573" s="27" t="n"/>
      <c r="N3573" s="27" t="n"/>
      <c r="O3573" s="27" t="n"/>
      <c r="P3573" s="27" t="n"/>
      <c r="Q3573" s="27" t="n"/>
      <c r="R3573" s="27" t="n"/>
      <c r="S3573" s="27" t="n"/>
      <c r="T3573" s="27" t="n"/>
    </row>
    <row r="3574" ht="13.8" customFormat="1" customHeight="1" s="70">
      <c r="M3574" s="27" t="n"/>
      <c r="N3574" s="27" t="n"/>
      <c r="O3574" s="27" t="n"/>
      <c r="P3574" s="27" t="n"/>
      <c r="Q3574" s="27" t="n"/>
      <c r="R3574" s="27" t="n"/>
      <c r="S3574" s="27" t="n"/>
      <c r="T3574" s="27" t="n"/>
    </row>
    <row r="3575" ht="13.8" customFormat="1" customHeight="1" s="70">
      <c r="M3575" s="27" t="n"/>
      <c r="N3575" s="27" t="n"/>
      <c r="O3575" s="27" t="n"/>
      <c r="P3575" s="27" t="n"/>
      <c r="Q3575" s="27" t="n"/>
      <c r="R3575" s="27" t="n"/>
      <c r="S3575" s="27" t="n"/>
      <c r="T3575" s="27" t="n"/>
    </row>
    <row r="3576" ht="13.8" customFormat="1" customHeight="1" s="70">
      <c r="M3576" s="27" t="n"/>
      <c r="N3576" s="27" t="n"/>
      <c r="O3576" s="27" t="n"/>
      <c r="P3576" s="27" t="n"/>
      <c r="Q3576" s="27" t="n"/>
      <c r="R3576" s="27" t="n"/>
      <c r="S3576" s="27" t="n"/>
      <c r="T3576" s="27" t="n"/>
    </row>
    <row r="3577" ht="13.8" customFormat="1" customHeight="1" s="70">
      <c r="M3577" s="27" t="n"/>
      <c r="N3577" s="27" t="n"/>
      <c r="O3577" s="27" t="n"/>
      <c r="P3577" s="27" t="n"/>
      <c r="Q3577" s="27" t="n"/>
      <c r="R3577" s="27" t="n"/>
      <c r="S3577" s="27" t="n"/>
      <c r="T3577" s="27" t="n"/>
    </row>
    <row r="3578" ht="13.8" customFormat="1" customHeight="1" s="70">
      <c r="M3578" s="27" t="n"/>
      <c r="N3578" s="27" t="n"/>
      <c r="O3578" s="27" t="n"/>
      <c r="P3578" s="27" t="n"/>
      <c r="Q3578" s="27" t="n"/>
      <c r="R3578" s="27" t="n"/>
      <c r="S3578" s="27" t="n"/>
      <c r="T3578" s="27" t="n"/>
    </row>
    <row r="3579" ht="13.8" customFormat="1" customHeight="1" s="70">
      <c r="M3579" s="27" t="n"/>
      <c r="N3579" s="27" t="n"/>
      <c r="O3579" s="27" t="n"/>
      <c r="P3579" s="27" t="n"/>
      <c r="Q3579" s="27" t="n"/>
      <c r="R3579" s="27" t="n"/>
      <c r="S3579" s="27" t="n"/>
      <c r="T3579" s="27" t="n"/>
    </row>
    <row r="3580" ht="13.8" customFormat="1" customHeight="1" s="70">
      <c r="M3580" s="27" t="n"/>
      <c r="N3580" s="27" t="n"/>
      <c r="O3580" s="27" t="n"/>
      <c r="P3580" s="27" t="n"/>
      <c r="Q3580" s="27" t="n"/>
      <c r="R3580" s="27" t="n"/>
      <c r="S3580" s="27" t="n"/>
      <c r="T3580" s="27" t="n"/>
    </row>
    <row r="3581" ht="13.8" customFormat="1" customHeight="1" s="70">
      <c r="M3581" s="27" t="n"/>
      <c r="N3581" s="27" t="n"/>
      <c r="O3581" s="27" t="n"/>
      <c r="P3581" s="27" t="n"/>
      <c r="Q3581" s="27" t="n"/>
      <c r="R3581" s="27" t="n"/>
      <c r="S3581" s="27" t="n"/>
      <c r="T3581" s="27" t="n"/>
    </row>
    <row r="3582" ht="13.8" customFormat="1" customHeight="1" s="70">
      <c r="M3582" s="27" t="n"/>
      <c r="N3582" s="27" t="n"/>
      <c r="O3582" s="27" t="n"/>
      <c r="P3582" s="27" t="n"/>
      <c r="Q3582" s="27" t="n"/>
      <c r="R3582" s="27" t="n"/>
      <c r="S3582" s="27" t="n"/>
      <c r="T3582" s="27" t="n"/>
    </row>
    <row r="3583" ht="13.8" customFormat="1" customHeight="1" s="70">
      <c r="M3583" s="27" t="n"/>
      <c r="N3583" s="27" t="n"/>
      <c r="O3583" s="27" t="n"/>
      <c r="P3583" s="27" t="n"/>
      <c r="Q3583" s="27" t="n"/>
      <c r="R3583" s="27" t="n"/>
      <c r="S3583" s="27" t="n"/>
      <c r="T3583" s="27" t="n"/>
    </row>
    <row r="3584" ht="13.8" customFormat="1" customHeight="1" s="70">
      <c r="M3584" s="27" t="n"/>
      <c r="N3584" s="27" t="n"/>
      <c r="O3584" s="27" t="n"/>
      <c r="P3584" s="27" t="n"/>
      <c r="Q3584" s="27" t="n"/>
      <c r="R3584" s="27" t="n"/>
      <c r="S3584" s="27" t="n"/>
      <c r="T3584" s="27" t="n"/>
    </row>
    <row r="3585" ht="13.8" customFormat="1" customHeight="1" s="70">
      <c r="M3585" s="27" t="n"/>
      <c r="N3585" s="27" t="n"/>
      <c r="O3585" s="27" t="n"/>
      <c r="P3585" s="27" t="n"/>
      <c r="Q3585" s="27" t="n"/>
      <c r="R3585" s="27" t="n"/>
      <c r="S3585" s="27" t="n"/>
      <c r="T3585" s="27" t="n"/>
    </row>
    <row r="3586" ht="13.8" customFormat="1" customHeight="1" s="70">
      <c r="M3586" s="27" t="n"/>
      <c r="N3586" s="27" t="n"/>
      <c r="O3586" s="27" t="n"/>
      <c r="P3586" s="27" t="n"/>
      <c r="Q3586" s="27" t="n"/>
      <c r="R3586" s="27" t="n"/>
      <c r="S3586" s="27" t="n"/>
      <c r="T3586" s="27" t="n"/>
    </row>
    <row r="3587" ht="13.8" customFormat="1" customHeight="1" s="70">
      <c r="M3587" s="27" t="n"/>
      <c r="N3587" s="27" t="n"/>
      <c r="O3587" s="27" t="n"/>
      <c r="P3587" s="27" t="n"/>
      <c r="Q3587" s="27" t="n"/>
      <c r="R3587" s="27" t="n"/>
      <c r="S3587" s="27" t="n"/>
      <c r="T3587" s="27" t="n"/>
    </row>
    <row r="3588" ht="13.8" customFormat="1" customHeight="1" s="70">
      <c r="M3588" s="27" t="n"/>
      <c r="N3588" s="27" t="n"/>
      <c r="O3588" s="27" t="n"/>
      <c r="P3588" s="27" t="n"/>
      <c r="Q3588" s="27" t="n"/>
      <c r="R3588" s="27" t="n"/>
      <c r="S3588" s="27" t="n"/>
      <c r="T3588" s="27" t="n"/>
    </row>
    <row r="3589" ht="13.8" customFormat="1" customHeight="1" s="70">
      <c r="M3589" s="27" t="n"/>
      <c r="N3589" s="27" t="n"/>
      <c r="O3589" s="27" t="n"/>
      <c r="P3589" s="27" t="n"/>
      <c r="Q3589" s="27" t="n"/>
      <c r="R3589" s="27" t="n"/>
      <c r="S3589" s="27" t="n"/>
      <c r="T3589" s="27" t="n"/>
    </row>
    <row r="3590" ht="13.8" customFormat="1" customHeight="1" s="70">
      <c r="M3590" s="27" t="n"/>
      <c r="N3590" s="27" t="n"/>
      <c r="O3590" s="27" t="n"/>
      <c r="P3590" s="27" t="n"/>
      <c r="Q3590" s="27" t="n"/>
      <c r="R3590" s="27" t="n"/>
      <c r="S3590" s="27" t="n"/>
      <c r="T3590" s="27" t="n"/>
    </row>
    <row r="3591" ht="13.8" customFormat="1" customHeight="1" s="70">
      <c r="M3591" s="27" t="n"/>
      <c r="N3591" s="27" t="n"/>
      <c r="O3591" s="27" t="n"/>
      <c r="P3591" s="27" t="n"/>
      <c r="Q3591" s="27" t="n"/>
      <c r="R3591" s="27" t="n"/>
      <c r="S3591" s="27" t="n"/>
      <c r="T3591" s="27" t="n"/>
    </row>
    <row r="3592" ht="13.8" customFormat="1" customHeight="1" s="70">
      <c r="M3592" s="27" t="n"/>
      <c r="N3592" s="27" t="n"/>
      <c r="O3592" s="27" t="n"/>
      <c r="P3592" s="27" t="n"/>
      <c r="Q3592" s="27" t="n"/>
      <c r="R3592" s="27" t="n"/>
      <c r="S3592" s="27" t="n"/>
      <c r="T3592" s="27" t="n"/>
    </row>
    <row r="3593" ht="13.8" customFormat="1" customHeight="1" s="70">
      <c r="M3593" s="27" t="n"/>
      <c r="N3593" s="27" t="n"/>
      <c r="O3593" s="27" t="n"/>
      <c r="P3593" s="27" t="n"/>
      <c r="Q3593" s="27" t="n"/>
      <c r="R3593" s="27" t="n"/>
      <c r="S3593" s="27" t="n"/>
      <c r="T3593" s="27" t="n"/>
    </row>
    <row r="3594" ht="13.8" customFormat="1" customHeight="1" s="70">
      <c r="M3594" s="27" t="n"/>
      <c r="N3594" s="27" t="n"/>
      <c r="O3594" s="27" t="n"/>
      <c r="P3594" s="27" t="n"/>
      <c r="Q3594" s="27" t="n"/>
      <c r="R3594" s="27" t="n"/>
      <c r="S3594" s="27" t="n"/>
      <c r="T3594" s="27" t="n"/>
    </row>
    <row r="3595" ht="13.8" customFormat="1" customHeight="1" s="70">
      <c r="M3595" s="27" t="n"/>
      <c r="N3595" s="27" t="n"/>
      <c r="O3595" s="27" t="n"/>
      <c r="P3595" s="27" t="n"/>
      <c r="Q3595" s="27" t="n"/>
      <c r="R3595" s="27" t="n"/>
      <c r="S3595" s="27" t="n"/>
      <c r="T3595" s="27" t="n"/>
    </row>
    <row r="3596" ht="13.8" customFormat="1" customHeight="1" s="70">
      <c r="M3596" s="27" t="n"/>
      <c r="N3596" s="27" t="n"/>
      <c r="O3596" s="27" t="n"/>
      <c r="P3596" s="27" t="n"/>
      <c r="Q3596" s="27" t="n"/>
      <c r="R3596" s="27" t="n"/>
      <c r="S3596" s="27" t="n"/>
      <c r="T3596" s="27" t="n"/>
    </row>
    <row r="3597" ht="13.8" customFormat="1" customHeight="1" s="70">
      <c r="M3597" s="27" t="n"/>
      <c r="N3597" s="27" t="n"/>
      <c r="O3597" s="27" t="n"/>
      <c r="P3597" s="27" t="n"/>
      <c r="Q3597" s="27" t="n"/>
      <c r="R3597" s="27" t="n"/>
      <c r="S3597" s="27" t="n"/>
      <c r="T3597" s="27" t="n"/>
    </row>
    <row r="3598" ht="13.8" customFormat="1" customHeight="1" s="70">
      <c r="M3598" s="27" t="n"/>
      <c r="N3598" s="27" t="n"/>
      <c r="O3598" s="27" t="n"/>
      <c r="P3598" s="27" t="n"/>
      <c r="Q3598" s="27" t="n"/>
      <c r="R3598" s="27" t="n"/>
      <c r="S3598" s="27" t="n"/>
      <c r="T3598" s="27" t="n"/>
    </row>
    <row r="3599" ht="13.8" customFormat="1" customHeight="1" s="70">
      <c r="M3599" s="27" t="n"/>
      <c r="N3599" s="27" t="n"/>
      <c r="O3599" s="27" t="n"/>
      <c r="P3599" s="27" t="n"/>
      <c r="Q3599" s="27" t="n"/>
      <c r="R3599" s="27" t="n"/>
      <c r="S3599" s="27" t="n"/>
      <c r="T3599" s="27" t="n"/>
    </row>
    <row r="3600" ht="13.8" customFormat="1" customHeight="1" s="70">
      <c r="M3600" s="27" t="n"/>
      <c r="N3600" s="27" t="n"/>
      <c r="O3600" s="27" t="n"/>
      <c r="P3600" s="27" t="n"/>
      <c r="Q3600" s="27" t="n"/>
      <c r="R3600" s="27" t="n"/>
      <c r="S3600" s="27" t="n"/>
      <c r="T3600" s="27" t="n"/>
    </row>
    <row r="3601" ht="13.8" customFormat="1" customHeight="1" s="70">
      <c r="M3601" s="27" t="n"/>
      <c r="N3601" s="27" t="n"/>
      <c r="O3601" s="27" t="n"/>
      <c r="P3601" s="27" t="n"/>
      <c r="Q3601" s="27" t="n"/>
      <c r="R3601" s="27" t="n"/>
      <c r="S3601" s="27" t="n"/>
      <c r="T3601" s="27" t="n"/>
    </row>
    <row r="3602" ht="13.8" customFormat="1" customHeight="1" s="70">
      <c r="M3602" s="27" t="n"/>
      <c r="N3602" s="27" t="n"/>
      <c r="O3602" s="27" t="n"/>
      <c r="P3602" s="27" t="n"/>
      <c r="Q3602" s="27" t="n"/>
      <c r="R3602" s="27" t="n"/>
      <c r="S3602" s="27" t="n"/>
      <c r="T3602" s="27" t="n"/>
    </row>
    <row r="3603" ht="13.8" customFormat="1" customHeight="1" s="70">
      <c r="M3603" s="27" t="n"/>
      <c r="N3603" s="27" t="n"/>
      <c r="O3603" s="27" t="n"/>
      <c r="P3603" s="27" t="n"/>
      <c r="Q3603" s="27" t="n"/>
      <c r="R3603" s="27" t="n"/>
      <c r="S3603" s="27" t="n"/>
      <c r="T3603" s="27" t="n"/>
    </row>
    <row r="3604" ht="13.8" customFormat="1" customHeight="1" s="70">
      <c r="M3604" s="27" t="n"/>
      <c r="N3604" s="27" t="n"/>
      <c r="O3604" s="27" t="n"/>
      <c r="P3604" s="27" t="n"/>
      <c r="Q3604" s="27" t="n"/>
      <c r="R3604" s="27" t="n"/>
      <c r="S3604" s="27" t="n"/>
      <c r="T3604" s="27" t="n"/>
    </row>
    <row r="3605" ht="13.8" customFormat="1" customHeight="1" s="70">
      <c r="M3605" s="27" t="n"/>
      <c r="N3605" s="27" t="n"/>
      <c r="O3605" s="27" t="n"/>
      <c r="P3605" s="27" t="n"/>
      <c r="Q3605" s="27" t="n"/>
      <c r="R3605" s="27" t="n"/>
      <c r="S3605" s="27" t="n"/>
      <c r="T3605" s="27" t="n"/>
    </row>
    <row r="3606" ht="13.8" customFormat="1" customHeight="1" s="70">
      <c r="M3606" s="27" t="n"/>
      <c r="N3606" s="27" t="n"/>
      <c r="O3606" s="27" t="n"/>
      <c r="P3606" s="27" t="n"/>
      <c r="Q3606" s="27" t="n"/>
      <c r="R3606" s="27" t="n"/>
      <c r="S3606" s="27" t="n"/>
      <c r="T3606" s="27" t="n"/>
    </row>
    <row r="3607" ht="13.8" customFormat="1" customHeight="1" s="70">
      <c r="M3607" s="27" t="n"/>
      <c r="N3607" s="27" t="n"/>
      <c r="O3607" s="27" t="n"/>
      <c r="P3607" s="27" t="n"/>
      <c r="Q3607" s="27" t="n"/>
      <c r="R3607" s="27" t="n"/>
      <c r="S3607" s="27" t="n"/>
      <c r="T3607" s="27" t="n"/>
    </row>
    <row r="3608" ht="13.8" customFormat="1" customHeight="1" s="70">
      <c r="M3608" s="27" t="n"/>
      <c r="N3608" s="27" t="n"/>
      <c r="O3608" s="27" t="n"/>
      <c r="P3608" s="27" t="n"/>
      <c r="Q3608" s="27" t="n"/>
      <c r="R3608" s="27" t="n"/>
      <c r="S3608" s="27" t="n"/>
      <c r="T3608" s="27" t="n"/>
    </row>
    <row r="3609" ht="13.8" customFormat="1" customHeight="1" s="70">
      <c r="M3609" s="27" t="n"/>
      <c r="N3609" s="27" t="n"/>
      <c r="O3609" s="27" t="n"/>
      <c r="P3609" s="27" t="n"/>
      <c r="Q3609" s="27" t="n"/>
      <c r="R3609" s="27" t="n"/>
      <c r="S3609" s="27" t="n"/>
      <c r="T3609" s="27" t="n"/>
    </row>
    <row r="3610" ht="13.8" customFormat="1" customHeight="1" s="70">
      <c r="M3610" s="27" t="n"/>
      <c r="N3610" s="27" t="n"/>
      <c r="O3610" s="27" t="n"/>
      <c r="P3610" s="27" t="n"/>
      <c r="Q3610" s="27" t="n"/>
      <c r="R3610" s="27" t="n"/>
      <c r="S3610" s="27" t="n"/>
      <c r="T3610" s="27" t="n"/>
    </row>
    <row r="3611" ht="13.8" customFormat="1" customHeight="1" s="70">
      <c r="M3611" s="27" t="n"/>
      <c r="N3611" s="27" t="n"/>
      <c r="O3611" s="27" t="n"/>
      <c r="P3611" s="27" t="n"/>
      <c r="Q3611" s="27" t="n"/>
      <c r="R3611" s="27" t="n"/>
      <c r="S3611" s="27" t="n"/>
      <c r="T3611" s="27" t="n"/>
    </row>
    <row r="3612" ht="13.8" customFormat="1" customHeight="1" s="70">
      <c r="M3612" s="27" t="n"/>
      <c r="N3612" s="27" t="n"/>
      <c r="O3612" s="27" t="n"/>
      <c r="P3612" s="27" t="n"/>
      <c r="Q3612" s="27" t="n"/>
      <c r="R3612" s="27" t="n"/>
      <c r="S3612" s="27" t="n"/>
      <c r="T3612" s="27" t="n"/>
    </row>
    <row r="3613" ht="13.8" customFormat="1" customHeight="1" s="70">
      <c r="M3613" s="27" t="n"/>
      <c r="N3613" s="27" t="n"/>
      <c r="O3613" s="27" t="n"/>
      <c r="P3613" s="27" t="n"/>
      <c r="Q3613" s="27" t="n"/>
      <c r="R3613" s="27" t="n"/>
      <c r="S3613" s="27" t="n"/>
      <c r="T3613" s="27" t="n"/>
    </row>
    <row r="3614" ht="13.8" customFormat="1" customHeight="1" s="70">
      <c r="M3614" s="27" t="n"/>
      <c r="N3614" s="27" t="n"/>
      <c r="O3614" s="27" t="n"/>
      <c r="P3614" s="27" t="n"/>
      <c r="Q3614" s="27" t="n"/>
      <c r="R3614" s="27" t="n"/>
      <c r="S3614" s="27" t="n"/>
      <c r="T3614" s="27" t="n"/>
    </row>
    <row r="3615" ht="13.8" customFormat="1" customHeight="1" s="70">
      <c r="M3615" s="27" t="n"/>
      <c r="N3615" s="27" t="n"/>
      <c r="O3615" s="27" t="n"/>
      <c r="P3615" s="27" t="n"/>
      <c r="Q3615" s="27" t="n"/>
      <c r="R3615" s="27" t="n"/>
      <c r="S3615" s="27" t="n"/>
      <c r="T3615" s="27" t="n"/>
    </row>
    <row r="3616" ht="13.8" customFormat="1" customHeight="1" s="70">
      <c r="M3616" s="27" t="n"/>
      <c r="N3616" s="27" t="n"/>
      <c r="O3616" s="27" t="n"/>
      <c r="P3616" s="27" t="n"/>
      <c r="Q3616" s="27" t="n"/>
      <c r="R3616" s="27" t="n"/>
      <c r="S3616" s="27" t="n"/>
      <c r="T3616" s="27" t="n"/>
    </row>
    <row r="3617" ht="13.8" customFormat="1" customHeight="1" s="70">
      <c r="M3617" s="27" t="n"/>
      <c r="N3617" s="27" t="n"/>
      <c r="O3617" s="27" t="n"/>
      <c r="P3617" s="27" t="n"/>
      <c r="Q3617" s="27" t="n"/>
      <c r="R3617" s="27" t="n"/>
      <c r="S3617" s="27" t="n"/>
      <c r="T3617" s="27" t="n"/>
    </row>
    <row r="3618" ht="13.8" customFormat="1" customHeight="1" s="70">
      <c r="M3618" s="27" t="n"/>
      <c r="N3618" s="27" t="n"/>
      <c r="O3618" s="27" t="n"/>
      <c r="P3618" s="27" t="n"/>
      <c r="Q3618" s="27" t="n"/>
      <c r="R3618" s="27" t="n"/>
      <c r="S3618" s="27" t="n"/>
      <c r="T3618" s="27" t="n"/>
    </row>
    <row r="3619" ht="13.8" customFormat="1" customHeight="1" s="70">
      <c r="M3619" s="27" t="n"/>
      <c r="N3619" s="27" t="n"/>
      <c r="O3619" s="27" t="n"/>
      <c r="P3619" s="27" t="n"/>
      <c r="Q3619" s="27" t="n"/>
      <c r="R3619" s="27" t="n"/>
      <c r="S3619" s="27" t="n"/>
      <c r="T3619" s="27" t="n"/>
    </row>
    <row r="3620" ht="13.8" customFormat="1" customHeight="1" s="70">
      <c r="M3620" s="27" t="n"/>
      <c r="N3620" s="27" t="n"/>
      <c r="O3620" s="27" t="n"/>
      <c r="P3620" s="27" t="n"/>
      <c r="Q3620" s="27" t="n"/>
      <c r="R3620" s="27" t="n"/>
      <c r="S3620" s="27" t="n"/>
      <c r="T3620" s="27" t="n"/>
    </row>
    <row r="3621" ht="13.8" customFormat="1" customHeight="1" s="70">
      <c r="M3621" s="27" t="n"/>
      <c r="N3621" s="27" t="n"/>
      <c r="O3621" s="27" t="n"/>
      <c r="P3621" s="27" t="n"/>
      <c r="Q3621" s="27" t="n"/>
      <c r="R3621" s="27" t="n"/>
      <c r="S3621" s="27" t="n"/>
      <c r="T3621" s="27" t="n"/>
    </row>
    <row r="3622" ht="13.8" customFormat="1" customHeight="1" s="70">
      <c r="M3622" s="27" t="n"/>
      <c r="N3622" s="27" t="n"/>
      <c r="O3622" s="27" t="n"/>
      <c r="P3622" s="27" t="n"/>
      <c r="Q3622" s="27" t="n"/>
      <c r="R3622" s="27" t="n"/>
      <c r="S3622" s="27" t="n"/>
      <c r="T3622" s="27" t="n"/>
    </row>
    <row r="3623" ht="13.8" customFormat="1" customHeight="1" s="70">
      <c r="M3623" s="27" t="n"/>
      <c r="N3623" s="27" t="n"/>
      <c r="O3623" s="27" t="n"/>
      <c r="P3623" s="27" t="n"/>
      <c r="Q3623" s="27" t="n"/>
      <c r="R3623" s="27" t="n"/>
      <c r="S3623" s="27" t="n"/>
      <c r="T3623" s="27" t="n"/>
    </row>
    <row r="3624" ht="13.8" customFormat="1" customHeight="1" s="70">
      <c r="M3624" s="27" t="n"/>
      <c r="N3624" s="27" t="n"/>
      <c r="O3624" s="27" t="n"/>
      <c r="P3624" s="27" t="n"/>
      <c r="Q3624" s="27" t="n"/>
      <c r="R3624" s="27" t="n"/>
      <c r="S3624" s="27" t="n"/>
      <c r="T3624" s="27" t="n"/>
    </row>
    <row r="3625" ht="13.8" customFormat="1" customHeight="1" s="70">
      <c r="M3625" s="27" t="n"/>
      <c r="N3625" s="27" t="n"/>
      <c r="O3625" s="27" t="n"/>
      <c r="P3625" s="27" t="n"/>
      <c r="Q3625" s="27" t="n"/>
      <c r="R3625" s="27" t="n"/>
      <c r="S3625" s="27" t="n"/>
      <c r="T3625" s="27" t="n"/>
    </row>
    <row r="3626" ht="13.8" customFormat="1" customHeight="1" s="70">
      <c r="M3626" s="27" t="n"/>
      <c r="N3626" s="27" t="n"/>
      <c r="O3626" s="27" t="n"/>
      <c r="P3626" s="27" t="n"/>
      <c r="Q3626" s="27" t="n"/>
      <c r="R3626" s="27" t="n"/>
      <c r="S3626" s="27" t="n"/>
      <c r="T3626" s="27" t="n"/>
    </row>
    <row r="3627" ht="13.8" customFormat="1" customHeight="1" s="70">
      <c r="M3627" s="27" t="n"/>
      <c r="N3627" s="27" t="n"/>
      <c r="O3627" s="27" t="n"/>
      <c r="P3627" s="27" t="n"/>
      <c r="Q3627" s="27" t="n"/>
      <c r="R3627" s="27" t="n"/>
      <c r="S3627" s="27" t="n"/>
      <c r="T3627" s="27" t="n"/>
    </row>
    <row r="3628" ht="13.8" customFormat="1" customHeight="1" s="70">
      <c r="M3628" s="27" t="n"/>
      <c r="N3628" s="27" t="n"/>
      <c r="O3628" s="27" t="n"/>
      <c r="P3628" s="27" t="n"/>
      <c r="Q3628" s="27" t="n"/>
      <c r="R3628" s="27" t="n"/>
      <c r="S3628" s="27" t="n"/>
      <c r="T3628" s="27" t="n"/>
    </row>
    <row r="3629" ht="13.8" customFormat="1" customHeight="1" s="70">
      <c r="M3629" s="27" t="n"/>
      <c r="N3629" s="27" t="n"/>
      <c r="O3629" s="27" t="n"/>
      <c r="P3629" s="27" t="n"/>
      <c r="Q3629" s="27" t="n"/>
      <c r="R3629" s="27" t="n"/>
      <c r="S3629" s="27" t="n"/>
      <c r="T3629" s="27" t="n"/>
    </row>
    <row r="3630" ht="13.8" customFormat="1" customHeight="1" s="70">
      <c r="M3630" s="27" t="n"/>
      <c r="N3630" s="27" t="n"/>
      <c r="O3630" s="27" t="n"/>
      <c r="P3630" s="27" t="n"/>
      <c r="Q3630" s="27" t="n"/>
      <c r="R3630" s="27" t="n"/>
      <c r="S3630" s="27" t="n"/>
      <c r="T3630" s="27" t="n"/>
    </row>
    <row r="3631" ht="13.8" customFormat="1" customHeight="1" s="70">
      <c r="M3631" s="27" t="n"/>
      <c r="N3631" s="27" t="n"/>
      <c r="O3631" s="27" t="n"/>
      <c r="P3631" s="27" t="n"/>
      <c r="Q3631" s="27" t="n"/>
      <c r="R3631" s="27" t="n"/>
      <c r="S3631" s="27" t="n"/>
      <c r="T3631" s="27" t="n"/>
    </row>
    <row r="3632" ht="13.8" customFormat="1" customHeight="1" s="70">
      <c r="M3632" s="27" t="n"/>
      <c r="N3632" s="27" t="n"/>
      <c r="O3632" s="27" t="n"/>
      <c r="P3632" s="27" t="n"/>
      <c r="Q3632" s="27" t="n"/>
      <c r="R3632" s="27" t="n"/>
      <c r="S3632" s="27" t="n"/>
      <c r="T3632" s="27" t="n"/>
    </row>
    <row r="3633" ht="13.8" customFormat="1" customHeight="1" s="70">
      <c r="M3633" s="27" t="n"/>
      <c r="N3633" s="27" t="n"/>
      <c r="O3633" s="27" t="n"/>
      <c r="P3633" s="27" t="n"/>
      <c r="Q3633" s="27" t="n"/>
      <c r="R3633" s="27" t="n"/>
      <c r="S3633" s="27" t="n"/>
      <c r="T3633" s="27" t="n"/>
    </row>
    <row r="3634" ht="13.8" customFormat="1" customHeight="1" s="70">
      <c r="M3634" s="27" t="n"/>
      <c r="N3634" s="27" t="n"/>
      <c r="O3634" s="27" t="n"/>
      <c r="P3634" s="27" t="n"/>
      <c r="Q3634" s="27" t="n"/>
      <c r="R3634" s="27" t="n"/>
      <c r="S3634" s="27" t="n"/>
      <c r="T3634" s="27" t="n"/>
    </row>
    <row r="3635" ht="13.8" customFormat="1" customHeight="1" s="70">
      <c r="M3635" s="27" t="n"/>
      <c r="N3635" s="27" t="n"/>
      <c r="O3635" s="27" t="n"/>
      <c r="P3635" s="27" t="n"/>
      <c r="Q3635" s="27" t="n"/>
      <c r="R3635" s="27" t="n"/>
      <c r="S3635" s="27" t="n"/>
      <c r="T3635" s="27" t="n"/>
    </row>
    <row r="3636" ht="13.8" customFormat="1" customHeight="1" s="70">
      <c r="M3636" s="27" t="n"/>
      <c r="N3636" s="27" t="n"/>
      <c r="O3636" s="27" t="n"/>
      <c r="P3636" s="27" t="n"/>
      <c r="Q3636" s="27" t="n"/>
      <c r="R3636" s="27" t="n"/>
      <c r="S3636" s="27" t="n"/>
      <c r="T3636" s="27" t="n"/>
    </row>
    <row r="3637" ht="13.8" customFormat="1" customHeight="1" s="70">
      <c r="M3637" s="27" t="n"/>
      <c r="N3637" s="27" t="n"/>
      <c r="O3637" s="27" t="n"/>
      <c r="P3637" s="27" t="n"/>
      <c r="Q3637" s="27" t="n"/>
      <c r="R3637" s="27" t="n"/>
      <c r="S3637" s="27" t="n"/>
      <c r="T3637" s="27" t="n"/>
    </row>
    <row r="3638" ht="13.8" customFormat="1" customHeight="1" s="70">
      <c r="M3638" s="27" t="n"/>
      <c r="N3638" s="27" t="n"/>
      <c r="O3638" s="27" t="n"/>
      <c r="P3638" s="27" t="n"/>
      <c r="Q3638" s="27" t="n"/>
      <c r="R3638" s="27" t="n"/>
      <c r="S3638" s="27" t="n"/>
      <c r="T3638" s="27" t="n"/>
    </row>
    <row r="3639" ht="13.8" customFormat="1" customHeight="1" s="70">
      <c r="M3639" s="27" t="n"/>
      <c r="N3639" s="27" t="n"/>
      <c r="O3639" s="27" t="n"/>
      <c r="P3639" s="27" t="n"/>
      <c r="Q3639" s="27" t="n"/>
      <c r="R3639" s="27" t="n"/>
      <c r="S3639" s="27" t="n"/>
      <c r="T3639" s="27" t="n"/>
    </row>
    <row r="3640" ht="13.8" customFormat="1" customHeight="1" s="70">
      <c r="M3640" s="27" t="n"/>
      <c r="N3640" s="27" t="n"/>
      <c r="O3640" s="27" t="n"/>
      <c r="P3640" s="27" t="n"/>
      <c r="Q3640" s="27" t="n"/>
      <c r="R3640" s="27" t="n"/>
      <c r="S3640" s="27" t="n"/>
      <c r="T3640" s="27" t="n"/>
    </row>
    <row r="3641" ht="13.8" customFormat="1" customHeight="1" s="70">
      <c r="M3641" s="27" t="n"/>
      <c r="N3641" s="27" t="n"/>
      <c r="O3641" s="27" t="n"/>
      <c r="P3641" s="27" t="n"/>
      <c r="Q3641" s="27" t="n"/>
      <c r="R3641" s="27" t="n"/>
      <c r="S3641" s="27" t="n"/>
      <c r="T3641" s="27" t="n"/>
    </row>
    <row r="3642" ht="13.8" customFormat="1" customHeight="1" s="70">
      <c r="M3642" s="27" t="n"/>
      <c r="N3642" s="27" t="n"/>
      <c r="O3642" s="27" t="n"/>
      <c r="P3642" s="27" t="n"/>
      <c r="Q3642" s="27" t="n"/>
      <c r="R3642" s="27" t="n"/>
      <c r="S3642" s="27" t="n"/>
      <c r="T3642" s="27" t="n"/>
    </row>
    <row r="3643" ht="13.8" customFormat="1" customHeight="1" s="70">
      <c r="M3643" s="27" t="n"/>
      <c r="N3643" s="27" t="n"/>
      <c r="O3643" s="27" t="n"/>
      <c r="P3643" s="27" t="n"/>
      <c r="Q3643" s="27" t="n"/>
      <c r="R3643" s="27" t="n"/>
      <c r="S3643" s="27" t="n"/>
      <c r="T3643" s="27" t="n"/>
    </row>
    <row r="3644" ht="13.8" customFormat="1" customHeight="1" s="70">
      <c r="M3644" s="27" t="n"/>
      <c r="N3644" s="27" t="n"/>
      <c r="O3644" s="27" t="n"/>
      <c r="P3644" s="27" t="n"/>
      <c r="Q3644" s="27" t="n"/>
      <c r="R3644" s="27" t="n"/>
      <c r="S3644" s="27" t="n"/>
      <c r="T3644" s="27" t="n"/>
    </row>
    <row r="3645" ht="13.8" customFormat="1" customHeight="1" s="70">
      <c r="M3645" s="27" t="n"/>
      <c r="N3645" s="27" t="n"/>
      <c r="O3645" s="27" t="n"/>
      <c r="P3645" s="27" t="n"/>
      <c r="Q3645" s="27" t="n"/>
      <c r="R3645" s="27" t="n"/>
      <c r="S3645" s="27" t="n"/>
      <c r="T3645" s="27" t="n"/>
    </row>
    <row r="3646" ht="13.8" customFormat="1" customHeight="1" s="70">
      <c r="M3646" s="27" t="n"/>
      <c r="N3646" s="27" t="n"/>
      <c r="O3646" s="27" t="n"/>
      <c r="P3646" s="27" t="n"/>
      <c r="Q3646" s="27" t="n"/>
      <c r="R3646" s="27" t="n"/>
      <c r="S3646" s="27" t="n"/>
      <c r="T3646" s="27" t="n"/>
    </row>
    <row r="3647" ht="13.8" customFormat="1" customHeight="1" s="70">
      <c r="M3647" s="27" t="n"/>
      <c r="N3647" s="27" t="n"/>
      <c r="O3647" s="27" t="n"/>
      <c r="P3647" s="27" t="n"/>
      <c r="Q3647" s="27" t="n"/>
      <c r="R3647" s="27" t="n"/>
      <c r="S3647" s="27" t="n"/>
      <c r="T3647" s="27" t="n"/>
    </row>
    <row r="3648" ht="13.8" customFormat="1" customHeight="1" s="70">
      <c r="M3648" s="27" t="n"/>
      <c r="N3648" s="27" t="n"/>
      <c r="O3648" s="27" t="n"/>
      <c r="P3648" s="27" t="n"/>
      <c r="Q3648" s="27" t="n"/>
      <c r="R3648" s="27" t="n"/>
      <c r="S3648" s="27" t="n"/>
      <c r="T3648" s="27" t="n"/>
    </row>
    <row r="3649" ht="13.8" customFormat="1" customHeight="1" s="70">
      <c r="M3649" s="27" t="n"/>
      <c r="N3649" s="27" t="n"/>
      <c r="O3649" s="27" t="n"/>
      <c r="P3649" s="27" t="n"/>
      <c r="Q3649" s="27" t="n"/>
      <c r="R3649" s="27" t="n"/>
      <c r="S3649" s="27" t="n"/>
      <c r="T3649" s="27" t="n"/>
    </row>
    <row r="3650" ht="13.8" customFormat="1" customHeight="1" s="70">
      <c r="M3650" s="27" t="n"/>
      <c r="N3650" s="27" t="n"/>
      <c r="O3650" s="27" t="n"/>
      <c r="P3650" s="27" t="n"/>
      <c r="Q3650" s="27" t="n"/>
      <c r="R3650" s="27" t="n"/>
      <c r="S3650" s="27" t="n"/>
      <c r="T3650" s="27" t="n"/>
    </row>
    <row r="3651" ht="13.8" customFormat="1" customHeight="1" s="70">
      <c r="M3651" s="27" t="n"/>
      <c r="N3651" s="27" t="n"/>
      <c r="O3651" s="27" t="n"/>
      <c r="P3651" s="27" t="n"/>
      <c r="Q3651" s="27" t="n"/>
      <c r="R3651" s="27" t="n"/>
      <c r="S3651" s="27" t="n"/>
      <c r="T3651" s="27" t="n"/>
    </row>
    <row r="3652" ht="13.8" customFormat="1" customHeight="1" s="70">
      <c r="M3652" s="27" t="n"/>
      <c r="N3652" s="27" t="n"/>
      <c r="O3652" s="27" t="n"/>
      <c r="P3652" s="27" t="n"/>
      <c r="Q3652" s="27" t="n"/>
      <c r="R3652" s="27" t="n"/>
      <c r="S3652" s="27" t="n"/>
      <c r="T3652" s="27" t="n"/>
    </row>
    <row r="3653" ht="13.8" customFormat="1" customHeight="1" s="70">
      <c r="M3653" s="27" t="n"/>
      <c r="N3653" s="27" t="n"/>
      <c r="O3653" s="27" t="n"/>
      <c r="P3653" s="27" t="n"/>
      <c r="Q3653" s="27" t="n"/>
      <c r="R3653" s="27" t="n"/>
      <c r="S3653" s="27" t="n"/>
      <c r="T3653" s="27" t="n"/>
    </row>
    <row r="3654" ht="13.8" customFormat="1" customHeight="1" s="70">
      <c r="M3654" s="27" t="n"/>
      <c r="N3654" s="27" t="n"/>
      <c r="O3654" s="27" t="n"/>
      <c r="P3654" s="27" t="n"/>
      <c r="Q3654" s="27" t="n"/>
      <c r="R3654" s="27" t="n"/>
      <c r="S3654" s="27" t="n"/>
      <c r="T3654" s="27" t="n"/>
    </row>
    <row r="3655" ht="13.8" customFormat="1" customHeight="1" s="70">
      <c r="M3655" s="27" t="n"/>
      <c r="N3655" s="27" t="n"/>
      <c r="O3655" s="27" t="n"/>
      <c r="P3655" s="27" t="n"/>
      <c r="Q3655" s="27" t="n"/>
      <c r="R3655" s="27" t="n"/>
      <c r="S3655" s="27" t="n"/>
      <c r="T3655" s="27" t="n"/>
    </row>
    <row r="3656" ht="13.8" customFormat="1" customHeight="1" s="70">
      <c r="M3656" s="27" t="n"/>
      <c r="N3656" s="27" t="n"/>
      <c r="O3656" s="27" t="n"/>
      <c r="P3656" s="27" t="n"/>
      <c r="Q3656" s="27" t="n"/>
      <c r="R3656" s="27" t="n"/>
      <c r="S3656" s="27" t="n"/>
      <c r="T3656" s="27" t="n"/>
    </row>
    <row r="3657" ht="13.8" customFormat="1" customHeight="1" s="70">
      <c r="M3657" s="27" t="n"/>
      <c r="N3657" s="27" t="n"/>
      <c r="O3657" s="27" t="n"/>
      <c r="P3657" s="27" t="n"/>
      <c r="Q3657" s="27" t="n"/>
      <c r="R3657" s="27" t="n"/>
      <c r="S3657" s="27" t="n"/>
      <c r="T3657" s="27" t="n"/>
    </row>
    <row r="3658" ht="13.8" customFormat="1" customHeight="1" s="70">
      <c r="M3658" s="27" t="n"/>
      <c r="N3658" s="27" t="n"/>
      <c r="O3658" s="27" t="n"/>
      <c r="P3658" s="27" t="n"/>
      <c r="Q3658" s="27" t="n"/>
      <c r="R3658" s="27" t="n"/>
      <c r="S3658" s="27" t="n"/>
      <c r="T3658" s="27" t="n"/>
    </row>
    <row r="3659" ht="13.8" customFormat="1" customHeight="1" s="70">
      <c r="M3659" s="27" t="n"/>
      <c r="N3659" s="27" t="n"/>
      <c r="O3659" s="27" t="n"/>
      <c r="P3659" s="27" t="n"/>
      <c r="Q3659" s="27" t="n"/>
      <c r="R3659" s="27" t="n"/>
      <c r="S3659" s="27" t="n"/>
      <c r="T3659" s="27" t="n"/>
    </row>
    <row r="3660" ht="13.8" customFormat="1" customHeight="1" s="70">
      <c r="M3660" s="27" t="n"/>
      <c r="N3660" s="27" t="n"/>
      <c r="O3660" s="27" t="n"/>
      <c r="P3660" s="27" t="n"/>
      <c r="Q3660" s="27" t="n"/>
      <c r="R3660" s="27" t="n"/>
      <c r="S3660" s="27" t="n"/>
      <c r="T3660" s="27" t="n"/>
    </row>
    <row r="3661" ht="13.8" customFormat="1" customHeight="1" s="70">
      <c r="M3661" s="27" t="n"/>
      <c r="N3661" s="27" t="n"/>
      <c r="O3661" s="27" t="n"/>
      <c r="P3661" s="27" t="n"/>
      <c r="Q3661" s="27" t="n"/>
      <c r="R3661" s="27" t="n"/>
      <c r="S3661" s="27" t="n"/>
      <c r="T3661" s="27" t="n"/>
    </row>
    <row r="3662" ht="13.8" customFormat="1" customHeight="1" s="70">
      <c r="M3662" s="27" t="n"/>
      <c r="N3662" s="27" t="n"/>
      <c r="O3662" s="27" t="n"/>
      <c r="P3662" s="27" t="n"/>
      <c r="Q3662" s="27" t="n"/>
      <c r="R3662" s="27" t="n"/>
      <c r="S3662" s="27" t="n"/>
      <c r="T3662" s="27" t="n"/>
    </row>
    <row r="3663" ht="13.8" customFormat="1" customHeight="1" s="70">
      <c r="M3663" s="27" t="n"/>
      <c r="N3663" s="27" t="n"/>
      <c r="O3663" s="27" t="n"/>
      <c r="P3663" s="27" t="n"/>
      <c r="Q3663" s="27" t="n"/>
      <c r="R3663" s="27" t="n"/>
      <c r="S3663" s="27" t="n"/>
      <c r="T3663" s="27" t="n"/>
    </row>
    <row r="3664" ht="13.8" customFormat="1" customHeight="1" s="70">
      <c r="M3664" s="27" t="n"/>
      <c r="N3664" s="27" t="n"/>
      <c r="O3664" s="27" t="n"/>
      <c r="P3664" s="27" t="n"/>
      <c r="Q3664" s="27" t="n"/>
      <c r="R3664" s="27" t="n"/>
      <c r="S3664" s="27" t="n"/>
      <c r="T3664" s="27" t="n"/>
    </row>
    <row r="3665" ht="13.8" customFormat="1" customHeight="1" s="70">
      <c r="M3665" s="27" t="n"/>
      <c r="N3665" s="27" t="n"/>
      <c r="O3665" s="27" t="n"/>
      <c r="P3665" s="27" t="n"/>
      <c r="Q3665" s="27" t="n"/>
      <c r="R3665" s="27" t="n"/>
      <c r="S3665" s="27" t="n"/>
      <c r="T3665" s="27" t="n"/>
    </row>
    <row r="3666" ht="13.8" customFormat="1" customHeight="1" s="70">
      <c r="M3666" s="27" t="n"/>
      <c r="N3666" s="27" t="n"/>
      <c r="O3666" s="27" t="n"/>
      <c r="P3666" s="27" t="n"/>
      <c r="Q3666" s="27" t="n"/>
      <c r="R3666" s="27" t="n"/>
      <c r="S3666" s="27" t="n"/>
      <c r="T3666" s="27" t="n"/>
    </row>
    <row r="3667" ht="13.8" customFormat="1" customHeight="1" s="70">
      <c r="M3667" s="27" t="n"/>
      <c r="N3667" s="27" t="n"/>
      <c r="O3667" s="27" t="n"/>
      <c r="P3667" s="27" t="n"/>
      <c r="Q3667" s="27" t="n"/>
      <c r="R3667" s="27" t="n"/>
      <c r="S3667" s="27" t="n"/>
      <c r="T3667" s="27" t="n"/>
    </row>
    <row r="3668" ht="13.8" customFormat="1" customHeight="1" s="70">
      <c r="M3668" s="27" t="n"/>
      <c r="N3668" s="27" t="n"/>
      <c r="O3668" s="27" t="n"/>
      <c r="P3668" s="27" t="n"/>
      <c r="Q3668" s="27" t="n"/>
      <c r="R3668" s="27" t="n"/>
      <c r="S3668" s="27" t="n"/>
      <c r="T3668" s="27" t="n"/>
    </row>
    <row r="3669" ht="13.8" customFormat="1" customHeight="1" s="70">
      <c r="M3669" s="27" t="n"/>
      <c r="N3669" s="27" t="n"/>
      <c r="O3669" s="27" t="n"/>
      <c r="P3669" s="27" t="n"/>
      <c r="Q3669" s="27" t="n"/>
      <c r="R3669" s="27" t="n"/>
      <c r="S3669" s="27" t="n"/>
      <c r="T3669" s="27" t="n"/>
    </row>
    <row r="3670" ht="13.8" customFormat="1" customHeight="1" s="70">
      <c r="M3670" s="27" t="n"/>
      <c r="N3670" s="27" t="n"/>
      <c r="O3670" s="27" t="n"/>
      <c r="P3670" s="27" t="n"/>
      <c r="Q3670" s="27" t="n"/>
      <c r="R3670" s="27" t="n"/>
      <c r="S3670" s="27" t="n"/>
      <c r="T3670" s="27" t="n"/>
    </row>
    <row r="3671" ht="13.8" customFormat="1" customHeight="1" s="70">
      <c r="M3671" s="27" t="n"/>
      <c r="N3671" s="27" t="n"/>
      <c r="O3671" s="27" t="n"/>
      <c r="P3671" s="27" t="n"/>
      <c r="Q3671" s="27" t="n"/>
      <c r="R3671" s="27" t="n"/>
      <c r="S3671" s="27" t="n"/>
      <c r="T3671" s="27" t="n"/>
    </row>
    <row r="3672" ht="13.8" customFormat="1" customHeight="1" s="70">
      <c r="M3672" s="27" t="n"/>
      <c r="N3672" s="27" t="n"/>
      <c r="O3672" s="27" t="n"/>
      <c r="P3672" s="27" t="n"/>
      <c r="Q3672" s="27" t="n"/>
      <c r="R3672" s="27" t="n"/>
      <c r="S3672" s="27" t="n"/>
      <c r="T3672" s="27" t="n"/>
    </row>
    <row r="3673" ht="13.8" customFormat="1" customHeight="1" s="70">
      <c r="M3673" s="27" t="n"/>
      <c r="N3673" s="27" t="n"/>
      <c r="O3673" s="27" t="n"/>
      <c r="P3673" s="27" t="n"/>
      <c r="Q3673" s="27" t="n"/>
      <c r="R3673" s="27" t="n"/>
      <c r="S3673" s="27" t="n"/>
      <c r="T3673" s="27" t="n"/>
    </row>
    <row r="3674" ht="13.8" customFormat="1" customHeight="1" s="70">
      <c r="M3674" s="27" t="n"/>
      <c r="N3674" s="27" t="n"/>
      <c r="O3674" s="27" t="n"/>
      <c r="P3674" s="27" t="n"/>
      <c r="Q3674" s="27" t="n"/>
      <c r="R3674" s="27" t="n"/>
      <c r="S3674" s="27" t="n"/>
      <c r="T3674" s="27" t="n"/>
    </row>
    <row r="3675" ht="13.8" customFormat="1" customHeight="1" s="70">
      <c r="M3675" s="27" t="n"/>
      <c r="N3675" s="27" t="n"/>
      <c r="O3675" s="27" t="n"/>
      <c r="P3675" s="27" t="n"/>
      <c r="Q3675" s="27" t="n"/>
      <c r="R3675" s="27" t="n"/>
      <c r="S3675" s="27" t="n"/>
      <c r="T3675" s="27" t="n"/>
    </row>
    <row r="3676" ht="13.8" customFormat="1" customHeight="1" s="70">
      <c r="M3676" s="27" t="n"/>
      <c r="N3676" s="27" t="n"/>
      <c r="O3676" s="27" t="n"/>
      <c r="P3676" s="27" t="n"/>
      <c r="Q3676" s="27" t="n"/>
      <c r="R3676" s="27" t="n"/>
      <c r="S3676" s="27" t="n"/>
      <c r="T3676" s="27" t="n"/>
    </row>
    <row r="3677" ht="13.8" customFormat="1" customHeight="1" s="70">
      <c r="M3677" s="27" t="n"/>
      <c r="N3677" s="27" t="n"/>
      <c r="O3677" s="27" t="n"/>
      <c r="P3677" s="27" t="n"/>
      <c r="Q3677" s="27" t="n"/>
      <c r="R3677" s="27" t="n"/>
      <c r="S3677" s="27" t="n"/>
      <c r="T3677" s="27" t="n"/>
    </row>
    <row r="3678" ht="13.8" customFormat="1" customHeight="1" s="70">
      <c r="M3678" s="27" t="n"/>
      <c r="N3678" s="27" t="n"/>
      <c r="O3678" s="27" t="n"/>
      <c r="P3678" s="27" t="n"/>
      <c r="Q3678" s="27" t="n"/>
      <c r="R3678" s="27" t="n"/>
      <c r="S3678" s="27" t="n"/>
      <c r="T3678" s="27" t="n"/>
    </row>
    <row r="3679" ht="13.8" customFormat="1" customHeight="1" s="70">
      <c r="M3679" s="27" t="n"/>
      <c r="N3679" s="27" t="n"/>
      <c r="O3679" s="27" t="n"/>
      <c r="P3679" s="27" t="n"/>
      <c r="Q3679" s="27" t="n"/>
      <c r="R3679" s="27" t="n"/>
      <c r="S3679" s="27" t="n"/>
      <c r="T3679" s="27" t="n"/>
    </row>
    <row r="3680" ht="13.8" customFormat="1" customHeight="1" s="70">
      <c r="M3680" s="27" t="n"/>
      <c r="N3680" s="27" t="n"/>
      <c r="O3680" s="27" t="n"/>
      <c r="P3680" s="27" t="n"/>
      <c r="Q3680" s="27" t="n"/>
      <c r="R3680" s="27" t="n"/>
      <c r="S3680" s="27" t="n"/>
      <c r="T3680" s="27" t="n"/>
    </row>
    <row r="3681" ht="13.8" customFormat="1" customHeight="1" s="70">
      <c r="M3681" s="27" t="n"/>
      <c r="N3681" s="27" t="n"/>
      <c r="O3681" s="27" t="n"/>
      <c r="P3681" s="27" t="n"/>
      <c r="Q3681" s="27" t="n"/>
      <c r="R3681" s="27" t="n"/>
      <c r="S3681" s="27" t="n"/>
      <c r="T3681" s="27" t="n"/>
    </row>
    <row r="3682" ht="13.8" customFormat="1" customHeight="1" s="70">
      <c r="M3682" s="27" t="n"/>
      <c r="N3682" s="27" t="n"/>
      <c r="O3682" s="27" t="n"/>
      <c r="P3682" s="27" t="n"/>
      <c r="Q3682" s="27" t="n"/>
      <c r="R3682" s="27" t="n"/>
      <c r="S3682" s="27" t="n"/>
      <c r="T3682" s="27" t="n"/>
    </row>
    <row r="3683" ht="13.8" customFormat="1" customHeight="1" s="70">
      <c r="M3683" s="27" t="n"/>
      <c r="N3683" s="27" t="n"/>
      <c r="O3683" s="27" t="n"/>
      <c r="P3683" s="27" t="n"/>
      <c r="Q3683" s="27" t="n"/>
      <c r="R3683" s="27" t="n"/>
      <c r="S3683" s="27" t="n"/>
      <c r="T3683" s="27" t="n"/>
    </row>
    <row r="3684" ht="13.8" customFormat="1" customHeight="1" s="70">
      <c r="M3684" s="27" t="n"/>
      <c r="N3684" s="27" t="n"/>
      <c r="O3684" s="27" t="n"/>
      <c r="P3684" s="27" t="n"/>
      <c r="Q3684" s="27" t="n"/>
      <c r="R3684" s="27" t="n"/>
      <c r="S3684" s="27" t="n"/>
      <c r="T3684" s="27" t="n"/>
    </row>
    <row r="3685" ht="13.8" customFormat="1" customHeight="1" s="70">
      <c r="M3685" s="27" t="n"/>
      <c r="N3685" s="27" t="n"/>
      <c r="O3685" s="27" t="n"/>
      <c r="P3685" s="27" t="n"/>
      <c r="Q3685" s="27" t="n"/>
      <c r="R3685" s="27" t="n"/>
      <c r="S3685" s="27" t="n"/>
      <c r="T3685" s="27" t="n"/>
    </row>
    <row r="3686" ht="13.8" customFormat="1" customHeight="1" s="70">
      <c r="M3686" s="27" t="n"/>
      <c r="N3686" s="27" t="n"/>
      <c r="O3686" s="27" t="n"/>
      <c r="P3686" s="27" t="n"/>
      <c r="Q3686" s="27" t="n"/>
      <c r="R3686" s="27" t="n"/>
      <c r="S3686" s="27" t="n"/>
      <c r="T3686" s="27" t="n"/>
    </row>
    <row r="3687" ht="13.8" customFormat="1" customHeight="1" s="70">
      <c r="M3687" s="27" t="n"/>
      <c r="N3687" s="27" t="n"/>
      <c r="O3687" s="27" t="n"/>
      <c r="P3687" s="27" t="n"/>
      <c r="Q3687" s="27" t="n"/>
      <c r="R3687" s="27" t="n"/>
      <c r="S3687" s="27" t="n"/>
      <c r="T3687" s="27" t="n"/>
    </row>
    <row r="3688" ht="13.8" customFormat="1" customHeight="1" s="70">
      <c r="M3688" s="27" t="n"/>
      <c r="N3688" s="27" t="n"/>
      <c r="O3688" s="27" t="n"/>
      <c r="P3688" s="27" t="n"/>
      <c r="Q3688" s="27" t="n"/>
      <c r="R3688" s="27" t="n"/>
      <c r="S3688" s="27" t="n"/>
      <c r="T3688" s="27" t="n"/>
    </row>
    <row r="3689" ht="13.8" customFormat="1" customHeight="1" s="70">
      <c r="M3689" s="27" t="n"/>
      <c r="N3689" s="27" t="n"/>
      <c r="O3689" s="27" t="n"/>
      <c r="P3689" s="27" t="n"/>
      <c r="Q3689" s="27" t="n"/>
      <c r="R3689" s="27" t="n"/>
      <c r="S3689" s="27" t="n"/>
      <c r="T3689" s="27" t="n"/>
    </row>
    <row r="3690" ht="13.8" customFormat="1" customHeight="1" s="70">
      <c r="M3690" s="27" t="n"/>
      <c r="N3690" s="27" t="n"/>
      <c r="O3690" s="27" t="n"/>
      <c r="P3690" s="27" t="n"/>
      <c r="Q3690" s="27" t="n"/>
      <c r="R3690" s="27" t="n"/>
      <c r="S3690" s="27" t="n"/>
      <c r="T3690" s="27" t="n"/>
    </row>
    <row r="3691" ht="13.8" customFormat="1" customHeight="1" s="70">
      <c r="M3691" s="27" t="n"/>
      <c r="N3691" s="27" t="n"/>
      <c r="O3691" s="27" t="n"/>
      <c r="P3691" s="27" t="n"/>
      <c r="Q3691" s="27" t="n"/>
      <c r="R3691" s="27" t="n"/>
      <c r="S3691" s="27" t="n"/>
      <c r="T3691" s="27" t="n"/>
    </row>
    <row r="3692" ht="13.8" customFormat="1" customHeight="1" s="70">
      <c r="M3692" s="27" t="n"/>
      <c r="N3692" s="27" t="n"/>
      <c r="O3692" s="27" t="n"/>
      <c r="P3692" s="27" t="n"/>
      <c r="Q3692" s="27" t="n"/>
      <c r="R3692" s="27" t="n"/>
      <c r="S3692" s="27" t="n"/>
      <c r="T3692" s="27" t="n"/>
    </row>
    <row r="3693" ht="13.8" customFormat="1" customHeight="1" s="70">
      <c r="M3693" s="27" t="n"/>
      <c r="N3693" s="27" t="n"/>
      <c r="O3693" s="27" t="n"/>
      <c r="P3693" s="27" t="n"/>
      <c r="Q3693" s="27" t="n"/>
      <c r="R3693" s="27" t="n"/>
      <c r="S3693" s="27" t="n"/>
      <c r="T3693" s="27" t="n"/>
    </row>
    <row r="3694" ht="13.8" customFormat="1" customHeight="1" s="70">
      <c r="M3694" s="27" t="n"/>
      <c r="N3694" s="27" t="n"/>
      <c r="O3694" s="27" t="n"/>
      <c r="P3694" s="27" t="n"/>
      <c r="Q3694" s="27" t="n"/>
      <c r="R3694" s="27" t="n"/>
      <c r="S3694" s="27" t="n"/>
      <c r="T3694" s="27" t="n"/>
    </row>
    <row r="3695" ht="13.8" customFormat="1" customHeight="1" s="70">
      <c r="M3695" s="27" t="n"/>
      <c r="N3695" s="27" t="n"/>
      <c r="O3695" s="27" t="n"/>
      <c r="P3695" s="27" t="n"/>
      <c r="Q3695" s="27" t="n"/>
      <c r="R3695" s="27" t="n"/>
      <c r="S3695" s="27" t="n"/>
      <c r="T3695" s="27" t="n"/>
    </row>
    <row r="3696" ht="13.8" customFormat="1" customHeight="1" s="70">
      <c r="M3696" s="27" t="n"/>
      <c r="N3696" s="27" t="n"/>
      <c r="O3696" s="27" t="n"/>
      <c r="P3696" s="27" t="n"/>
      <c r="Q3696" s="27" t="n"/>
      <c r="R3696" s="27" t="n"/>
      <c r="S3696" s="27" t="n"/>
      <c r="T3696" s="27" t="n"/>
    </row>
    <row r="3697" ht="13.8" customFormat="1" customHeight="1" s="70">
      <c r="M3697" s="27" t="n"/>
      <c r="N3697" s="27" t="n"/>
      <c r="O3697" s="27" t="n"/>
      <c r="P3697" s="27" t="n"/>
      <c r="Q3697" s="27" t="n"/>
      <c r="R3697" s="27" t="n"/>
      <c r="S3697" s="27" t="n"/>
      <c r="T3697" s="27" t="n"/>
    </row>
    <row r="3698" ht="13.8" customFormat="1" customHeight="1" s="70">
      <c r="M3698" s="27" t="n"/>
      <c r="N3698" s="27" t="n"/>
      <c r="O3698" s="27" t="n"/>
      <c r="P3698" s="27" t="n"/>
      <c r="Q3698" s="27" t="n"/>
      <c r="R3698" s="27" t="n"/>
      <c r="S3698" s="27" t="n"/>
      <c r="T3698" s="27" t="n"/>
    </row>
    <row r="3699" ht="13.8" customFormat="1" customHeight="1" s="70">
      <c r="M3699" s="27" t="n"/>
      <c r="N3699" s="27" t="n"/>
      <c r="O3699" s="27" t="n"/>
      <c r="P3699" s="27" t="n"/>
      <c r="Q3699" s="27" t="n"/>
      <c r="R3699" s="27" t="n"/>
      <c r="S3699" s="27" t="n"/>
      <c r="T3699" s="27" t="n"/>
    </row>
    <row r="3700" ht="13.8" customFormat="1" customHeight="1" s="70">
      <c r="M3700" s="27" t="n"/>
      <c r="N3700" s="27" t="n"/>
      <c r="O3700" s="27" t="n"/>
      <c r="P3700" s="27" t="n"/>
      <c r="Q3700" s="27" t="n"/>
      <c r="R3700" s="27" t="n"/>
      <c r="S3700" s="27" t="n"/>
      <c r="T3700" s="27" t="n"/>
    </row>
    <row r="3701" ht="13.8" customFormat="1" customHeight="1" s="70">
      <c r="M3701" s="27" t="n"/>
      <c r="N3701" s="27" t="n"/>
      <c r="O3701" s="27" t="n"/>
      <c r="P3701" s="27" t="n"/>
      <c r="Q3701" s="27" t="n"/>
      <c r="R3701" s="27" t="n"/>
      <c r="S3701" s="27" t="n"/>
      <c r="T3701" s="27" t="n"/>
    </row>
    <row r="3702" ht="13.8" customFormat="1" customHeight="1" s="70">
      <c r="M3702" s="27" t="n"/>
      <c r="N3702" s="27" t="n"/>
      <c r="O3702" s="27" t="n"/>
      <c r="P3702" s="27" t="n"/>
      <c r="Q3702" s="27" t="n"/>
      <c r="R3702" s="27" t="n"/>
      <c r="S3702" s="27" t="n"/>
      <c r="T3702" s="27" t="n"/>
    </row>
    <row r="3703" ht="13.8" customFormat="1" customHeight="1" s="70">
      <c r="M3703" s="27" t="n"/>
      <c r="N3703" s="27" t="n"/>
      <c r="O3703" s="27" t="n"/>
      <c r="P3703" s="27" t="n"/>
      <c r="Q3703" s="27" t="n"/>
      <c r="R3703" s="27" t="n"/>
      <c r="S3703" s="27" t="n"/>
      <c r="T3703" s="27" t="n"/>
    </row>
    <row r="3704" ht="13.8" customFormat="1" customHeight="1" s="70">
      <c r="M3704" s="27" t="n"/>
      <c r="N3704" s="27" t="n"/>
      <c r="O3704" s="27" t="n"/>
      <c r="P3704" s="27" t="n"/>
      <c r="Q3704" s="27" t="n"/>
      <c r="R3704" s="27" t="n"/>
      <c r="S3704" s="27" t="n"/>
      <c r="T3704" s="27" t="n"/>
    </row>
    <row r="3705" ht="13.8" customFormat="1" customHeight="1" s="70">
      <c r="M3705" s="27" t="n"/>
      <c r="N3705" s="27" t="n"/>
      <c r="O3705" s="27" t="n"/>
      <c r="P3705" s="27" t="n"/>
      <c r="Q3705" s="27" t="n"/>
      <c r="R3705" s="27" t="n"/>
      <c r="S3705" s="27" t="n"/>
      <c r="T3705" s="27" t="n"/>
    </row>
    <row r="3706" ht="13.8" customFormat="1" customHeight="1" s="70">
      <c r="M3706" s="27" t="n"/>
      <c r="N3706" s="27" t="n"/>
      <c r="O3706" s="27" t="n"/>
      <c r="P3706" s="27" t="n"/>
      <c r="Q3706" s="27" t="n"/>
      <c r="R3706" s="27" t="n"/>
      <c r="S3706" s="27" t="n"/>
      <c r="T3706" s="27" t="n"/>
    </row>
    <row r="3707" ht="13.8" customFormat="1" customHeight="1" s="70">
      <c r="M3707" s="27" t="n"/>
      <c r="N3707" s="27" t="n"/>
      <c r="O3707" s="27" t="n"/>
      <c r="P3707" s="27" t="n"/>
      <c r="Q3707" s="27" t="n"/>
      <c r="R3707" s="27" t="n"/>
      <c r="S3707" s="27" t="n"/>
      <c r="T3707" s="27" t="n"/>
    </row>
    <row r="3708" ht="13.8" customFormat="1" customHeight="1" s="70">
      <c r="M3708" s="27" t="n"/>
      <c r="N3708" s="27" t="n"/>
      <c r="O3708" s="27" t="n"/>
      <c r="P3708" s="27" t="n"/>
      <c r="Q3708" s="27" t="n"/>
      <c r="R3708" s="27" t="n"/>
      <c r="S3708" s="27" t="n"/>
      <c r="T3708" s="27" t="n"/>
    </row>
    <row r="3709" ht="13.8" customFormat="1" customHeight="1" s="70">
      <c r="M3709" s="27" t="n"/>
      <c r="N3709" s="27" t="n"/>
      <c r="O3709" s="27" t="n"/>
      <c r="P3709" s="27" t="n"/>
      <c r="Q3709" s="27" t="n"/>
      <c r="R3709" s="27" t="n"/>
      <c r="S3709" s="27" t="n"/>
      <c r="T3709" s="27" t="n"/>
    </row>
    <row r="3710" ht="13.8" customFormat="1" customHeight="1" s="70">
      <c r="M3710" s="27" t="n"/>
      <c r="N3710" s="27" t="n"/>
      <c r="O3710" s="27" t="n"/>
      <c r="P3710" s="27" t="n"/>
      <c r="Q3710" s="27" t="n"/>
      <c r="R3710" s="27" t="n"/>
      <c r="S3710" s="27" t="n"/>
      <c r="T3710" s="27" t="n"/>
    </row>
    <row r="3711" ht="13.8" customFormat="1" customHeight="1" s="70">
      <c r="M3711" s="27" t="n"/>
      <c r="N3711" s="27" t="n"/>
      <c r="O3711" s="27" t="n"/>
      <c r="P3711" s="27" t="n"/>
      <c r="Q3711" s="27" t="n"/>
      <c r="R3711" s="27" t="n"/>
      <c r="S3711" s="27" t="n"/>
      <c r="T3711" s="27" t="n"/>
    </row>
    <row r="3712" ht="13.8" customFormat="1" customHeight="1" s="70">
      <c r="M3712" s="27" t="n"/>
      <c r="N3712" s="27" t="n"/>
      <c r="O3712" s="27" t="n"/>
      <c r="P3712" s="27" t="n"/>
      <c r="Q3712" s="27" t="n"/>
      <c r="R3712" s="27" t="n"/>
      <c r="S3712" s="27" t="n"/>
      <c r="T3712" s="27" t="n"/>
    </row>
    <row r="3713" ht="13.8" customFormat="1" customHeight="1" s="70">
      <c r="M3713" s="27" t="n"/>
      <c r="N3713" s="27" t="n"/>
      <c r="O3713" s="27" t="n"/>
      <c r="P3713" s="27" t="n"/>
      <c r="Q3713" s="27" t="n"/>
      <c r="R3713" s="27" t="n"/>
      <c r="S3713" s="27" t="n"/>
      <c r="T3713" s="27" t="n"/>
    </row>
    <row r="3714" ht="13.8" customFormat="1" customHeight="1" s="70">
      <c r="M3714" s="27" t="n"/>
      <c r="N3714" s="27" t="n"/>
      <c r="O3714" s="27" t="n"/>
      <c r="P3714" s="27" t="n"/>
      <c r="Q3714" s="27" t="n"/>
      <c r="R3714" s="27" t="n"/>
      <c r="S3714" s="27" t="n"/>
      <c r="T3714" s="27" t="n"/>
    </row>
    <row r="3715" ht="13.8" customFormat="1" customHeight="1" s="70">
      <c r="M3715" s="27" t="n"/>
      <c r="N3715" s="27" t="n"/>
      <c r="O3715" s="27" t="n"/>
      <c r="P3715" s="27" t="n"/>
      <c r="Q3715" s="27" t="n"/>
      <c r="R3715" s="27" t="n"/>
      <c r="S3715" s="27" t="n"/>
      <c r="T3715" s="27" t="n"/>
    </row>
    <row r="3716" ht="13.8" customFormat="1" customHeight="1" s="70">
      <c r="M3716" s="27" t="n"/>
      <c r="N3716" s="27" t="n"/>
      <c r="O3716" s="27" t="n"/>
      <c r="P3716" s="27" t="n"/>
      <c r="Q3716" s="27" t="n"/>
      <c r="R3716" s="27" t="n"/>
      <c r="S3716" s="27" t="n"/>
      <c r="T3716" s="27" t="n"/>
    </row>
    <row r="3717" ht="13.8" customFormat="1" customHeight="1" s="70">
      <c r="M3717" s="27" t="n"/>
      <c r="N3717" s="27" t="n"/>
      <c r="O3717" s="27" t="n"/>
      <c r="P3717" s="27" t="n"/>
      <c r="Q3717" s="27" t="n"/>
      <c r="R3717" s="27" t="n"/>
      <c r="S3717" s="27" t="n"/>
      <c r="T3717" s="27" t="n"/>
    </row>
    <row r="3718" ht="13.8" customFormat="1" customHeight="1" s="70">
      <c r="M3718" s="27" t="n"/>
      <c r="N3718" s="27" t="n"/>
      <c r="O3718" s="27" t="n"/>
      <c r="P3718" s="27" t="n"/>
      <c r="Q3718" s="27" t="n"/>
      <c r="R3718" s="27" t="n"/>
      <c r="S3718" s="27" t="n"/>
      <c r="T3718" s="27" t="n"/>
    </row>
    <row r="3719" ht="13.8" customFormat="1" customHeight="1" s="70">
      <c r="M3719" s="27" t="n"/>
      <c r="N3719" s="27" t="n"/>
      <c r="O3719" s="27" t="n"/>
      <c r="P3719" s="27" t="n"/>
      <c r="Q3719" s="27" t="n"/>
      <c r="R3719" s="27" t="n"/>
      <c r="S3719" s="27" t="n"/>
      <c r="T3719" s="27" t="n"/>
    </row>
    <row r="3720" ht="13.8" customFormat="1" customHeight="1" s="70">
      <c r="M3720" s="27" t="n"/>
      <c r="N3720" s="27" t="n"/>
      <c r="O3720" s="27" t="n"/>
      <c r="P3720" s="27" t="n"/>
      <c r="Q3720" s="27" t="n"/>
      <c r="R3720" s="27" t="n"/>
      <c r="S3720" s="27" t="n"/>
      <c r="T3720" s="27" t="n"/>
    </row>
    <row r="3721" ht="13.8" customFormat="1" customHeight="1" s="70">
      <c r="M3721" s="27" t="n"/>
      <c r="N3721" s="27" t="n"/>
      <c r="O3721" s="27" t="n"/>
      <c r="P3721" s="27" t="n"/>
      <c r="Q3721" s="27" t="n"/>
      <c r="R3721" s="27" t="n"/>
      <c r="S3721" s="27" t="n"/>
      <c r="T3721" s="27" t="n"/>
    </row>
    <row r="3722" ht="13.8" customFormat="1" customHeight="1" s="70">
      <c r="M3722" s="27" t="n"/>
      <c r="N3722" s="27" t="n"/>
      <c r="O3722" s="27" t="n"/>
      <c r="P3722" s="27" t="n"/>
      <c r="Q3722" s="27" t="n"/>
      <c r="R3722" s="27" t="n"/>
      <c r="S3722" s="27" t="n"/>
      <c r="T3722" s="27" t="n"/>
    </row>
    <row r="3723" ht="13.8" customFormat="1" customHeight="1" s="70">
      <c r="M3723" s="27" t="n"/>
      <c r="N3723" s="27" t="n"/>
      <c r="O3723" s="27" t="n"/>
      <c r="P3723" s="27" t="n"/>
      <c r="Q3723" s="27" t="n"/>
      <c r="R3723" s="27" t="n"/>
      <c r="S3723" s="27" t="n"/>
      <c r="T3723" s="27" t="n"/>
    </row>
    <row r="3724" ht="13.8" customFormat="1" customHeight="1" s="70">
      <c r="M3724" s="27" t="n"/>
      <c r="N3724" s="27" t="n"/>
      <c r="O3724" s="27" t="n"/>
      <c r="P3724" s="27" t="n"/>
      <c r="Q3724" s="27" t="n"/>
      <c r="R3724" s="27" t="n"/>
      <c r="S3724" s="27" t="n"/>
      <c r="T3724" s="27" t="n"/>
    </row>
    <row r="3725" ht="13.8" customFormat="1" customHeight="1" s="70">
      <c r="M3725" s="27" t="n"/>
      <c r="N3725" s="27" t="n"/>
      <c r="O3725" s="27" t="n"/>
      <c r="P3725" s="27" t="n"/>
      <c r="Q3725" s="27" t="n"/>
      <c r="R3725" s="27" t="n"/>
      <c r="S3725" s="27" t="n"/>
      <c r="T3725" s="27" t="n"/>
    </row>
    <row r="3726" ht="13.8" customFormat="1" customHeight="1" s="70">
      <c r="M3726" s="27" t="n"/>
      <c r="N3726" s="27" t="n"/>
      <c r="O3726" s="27" t="n"/>
      <c r="P3726" s="27" t="n"/>
      <c r="Q3726" s="27" t="n"/>
      <c r="R3726" s="27" t="n"/>
      <c r="S3726" s="27" t="n"/>
      <c r="T3726" s="27" t="n"/>
    </row>
    <row r="3727" ht="13.8" customFormat="1" customHeight="1" s="70">
      <c r="M3727" s="27" t="n"/>
      <c r="N3727" s="27" t="n"/>
      <c r="O3727" s="27" t="n"/>
      <c r="P3727" s="27" t="n"/>
      <c r="Q3727" s="27" t="n"/>
      <c r="R3727" s="27" t="n"/>
      <c r="S3727" s="27" t="n"/>
      <c r="T3727" s="27" t="n"/>
    </row>
    <row r="3728" ht="13.8" customFormat="1" customHeight="1" s="70">
      <c r="M3728" s="27" t="n"/>
      <c r="N3728" s="27" t="n"/>
      <c r="O3728" s="27" t="n"/>
      <c r="P3728" s="27" t="n"/>
      <c r="Q3728" s="27" t="n"/>
      <c r="R3728" s="27" t="n"/>
      <c r="S3728" s="27" t="n"/>
      <c r="T3728" s="27" t="n"/>
    </row>
    <row r="3729" ht="13.8" customFormat="1" customHeight="1" s="70">
      <c r="M3729" s="27" t="n"/>
      <c r="N3729" s="27" t="n"/>
      <c r="O3729" s="27" t="n"/>
      <c r="P3729" s="27" t="n"/>
      <c r="Q3729" s="27" t="n"/>
      <c r="R3729" s="27" t="n"/>
      <c r="S3729" s="27" t="n"/>
      <c r="T3729" s="27" t="n"/>
    </row>
    <row r="3730" ht="13.8" customFormat="1" customHeight="1" s="70">
      <c r="M3730" s="27" t="n"/>
      <c r="N3730" s="27" t="n"/>
      <c r="O3730" s="27" t="n"/>
      <c r="P3730" s="27" t="n"/>
      <c r="Q3730" s="27" t="n"/>
      <c r="R3730" s="27" t="n"/>
      <c r="S3730" s="27" t="n"/>
      <c r="T3730" s="27" t="n"/>
    </row>
    <row r="3731" ht="13.8" customFormat="1" customHeight="1" s="70">
      <c r="M3731" s="27" t="n"/>
      <c r="N3731" s="27" t="n"/>
      <c r="O3731" s="27" t="n"/>
      <c r="P3731" s="27" t="n"/>
      <c r="Q3731" s="27" t="n"/>
      <c r="R3731" s="27" t="n"/>
      <c r="S3731" s="27" t="n"/>
      <c r="T3731" s="27" t="n"/>
    </row>
    <row r="3732" ht="13.8" customFormat="1" customHeight="1" s="70">
      <c r="M3732" s="27" t="n"/>
      <c r="N3732" s="27" t="n"/>
      <c r="O3732" s="27" t="n"/>
      <c r="P3732" s="27" t="n"/>
      <c r="Q3732" s="27" t="n"/>
      <c r="R3732" s="27" t="n"/>
      <c r="S3732" s="27" t="n"/>
      <c r="T3732" s="27" t="n"/>
    </row>
    <row r="3733" ht="13.8" customFormat="1" customHeight="1" s="70">
      <c r="M3733" s="27" t="n"/>
      <c r="N3733" s="27" t="n"/>
      <c r="O3733" s="27" t="n"/>
      <c r="P3733" s="27" t="n"/>
      <c r="Q3733" s="27" t="n"/>
      <c r="R3733" s="27" t="n"/>
      <c r="S3733" s="27" t="n"/>
      <c r="T3733" s="27" t="n"/>
    </row>
    <row r="3734" ht="13.8" customFormat="1" customHeight="1" s="70">
      <c r="M3734" s="27" t="n"/>
      <c r="N3734" s="27" t="n"/>
      <c r="O3734" s="27" t="n"/>
      <c r="P3734" s="27" t="n"/>
      <c r="Q3734" s="27" t="n"/>
      <c r="R3734" s="27" t="n"/>
      <c r="S3734" s="27" t="n"/>
      <c r="T3734" s="27" t="n"/>
    </row>
    <row r="3735" ht="13.8" customFormat="1" customHeight="1" s="70">
      <c r="M3735" s="27" t="n"/>
      <c r="N3735" s="27" t="n"/>
      <c r="O3735" s="27" t="n"/>
      <c r="P3735" s="27" t="n"/>
      <c r="Q3735" s="27" t="n"/>
      <c r="R3735" s="27" t="n"/>
      <c r="S3735" s="27" t="n"/>
      <c r="T3735" s="27" t="n"/>
    </row>
    <row r="3736" ht="13.8" customFormat="1" customHeight="1" s="70">
      <c r="M3736" s="27" t="n"/>
      <c r="N3736" s="27" t="n"/>
      <c r="O3736" s="27" t="n"/>
      <c r="P3736" s="27" t="n"/>
      <c r="Q3736" s="27" t="n"/>
      <c r="R3736" s="27" t="n"/>
      <c r="S3736" s="27" t="n"/>
      <c r="T3736" s="27" t="n"/>
    </row>
    <row r="3737" ht="13.8" customFormat="1" customHeight="1" s="70">
      <c r="M3737" s="27" t="n"/>
      <c r="N3737" s="27" t="n"/>
      <c r="O3737" s="27" t="n"/>
      <c r="P3737" s="27" t="n"/>
      <c r="Q3737" s="27" t="n"/>
      <c r="R3737" s="27" t="n"/>
      <c r="S3737" s="27" t="n"/>
      <c r="T3737" s="27" t="n"/>
    </row>
    <row r="3738" ht="13.8" customFormat="1" customHeight="1" s="70">
      <c r="M3738" s="27" t="n"/>
      <c r="N3738" s="27" t="n"/>
      <c r="O3738" s="27" t="n"/>
      <c r="P3738" s="27" t="n"/>
      <c r="Q3738" s="27" t="n"/>
      <c r="R3738" s="27" t="n"/>
      <c r="S3738" s="27" t="n"/>
      <c r="T3738" s="27" t="n"/>
    </row>
    <row r="3739" ht="13.8" customFormat="1" customHeight="1" s="70">
      <c r="M3739" s="27" t="n"/>
      <c r="N3739" s="27" t="n"/>
      <c r="O3739" s="27" t="n"/>
      <c r="P3739" s="27" t="n"/>
      <c r="Q3739" s="27" t="n"/>
      <c r="R3739" s="27" t="n"/>
      <c r="S3739" s="27" t="n"/>
      <c r="T3739" s="27" t="n"/>
    </row>
    <row r="3740" ht="13.8" customFormat="1" customHeight="1" s="70">
      <c r="M3740" s="27" t="n"/>
      <c r="N3740" s="27" t="n"/>
      <c r="O3740" s="27" t="n"/>
      <c r="P3740" s="27" t="n"/>
      <c r="Q3740" s="27" t="n"/>
      <c r="R3740" s="27" t="n"/>
      <c r="S3740" s="27" t="n"/>
      <c r="T3740" s="27" t="n"/>
    </row>
    <row r="3741" ht="13.8" customFormat="1" customHeight="1" s="70">
      <c r="M3741" s="27" t="n"/>
      <c r="N3741" s="27" t="n"/>
      <c r="O3741" s="27" t="n"/>
      <c r="P3741" s="27" t="n"/>
      <c r="Q3741" s="27" t="n"/>
      <c r="R3741" s="27" t="n"/>
      <c r="S3741" s="27" t="n"/>
      <c r="T3741" s="27" t="n"/>
    </row>
    <row r="3742" ht="13.8" customFormat="1" customHeight="1" s="70">
      <c r="M3742" s="27" t="n"/>
      <c r="N3742" s="27" t="n"/>
      <c r="O3742" s="27" t="n"/>
      <c r="P3742" s="27" t="n"/>
      <c r="Q3742" s="27" t="n"/>
      <c r="R3742" s="27" t="n"/>
      <c r="S3742" s="27" t="n"/>
      <c r="T3742" s="27" t="n"/>
    </row>
    <row r="3743" ht="13.8" customFormat="1" customHeight="1" s="70">
      <c r="M3743" s="27" t="n"/>
      <c r="N3743" s="27" t="n"/>
      <c r="O3743" s="27" t="n"/>
      <c r="P3743" s="27" t="n"/>
      <c r="Q3743" s="27" t="n"/>
      <c r="R3743" s="27" t="n"/>
      <c r="S3743" s="27" t="n"/>
      <c r="T3743" s="27" t="n"/>
    </row>
    <row r="3744" ht="13.8" customFormat="1" customHeight="1" s="70">
      <c r="M3744" s="27" t="n"/>
      <c r="N3744" s="27" t="n"/>
      <c r="O3744" s="27" t="n"/>
      <c r="P3744" s="27" t="n"/>
      <c r="Q3744" s="27" t="n"/>
      <c r="R3744" s="27" t="n"/>
      <c r="S3744" s="27" t="n"/>
      <c r="T3744" s="27" t="n"/>
    </row>
    <row r="3745" ht="13.8" customFormat="1" customHeight="1" s="70">
      <c r="M3745" s="27" t="n"/>
      <c r="N3745" s="27" t="n"/>
      <c r="O3745" s="27" t="n"/>
      <c r="P3745" s="27" t="n"/>
      <c r="Q3745" s="27" t="n"/>
      <c r="R3745" s="27" t="n"/>
      <c r="S3745" s="27" t="n"/>
      <c r="T3745" s="27" t="n"/>
    </row>
    <row r="3746" ht="13.8" customFormat="1" customHeight="1" s="70">
      <c r="M3746" s="27" t="n"/>
      <c r="N3746" s="27" t="n"/>
      <c r="O3746" s="27" t="n"/>
      <c r="P3746" s="27" t="n"/>
      <c r="Q3746" s="27" t="n"/>
      <c r="R3746" s="27" t="n"/>
      <c r="S3746" s="27" t="n"/>
      <c r="T3746" s="27" t="n"/>
    </row>
    <row r="3747" ht="13.8" customFormat="1" customHeight="1" s="70">
      <c r="M3747" s="27" t="n"/>
      <c r="N3747" s="27" t="n"/>
      <c r="O3747" s="27" t="n"/>
      <c r="P3747" s="27" t="n"/>
      <c r="Q3747" s="27" t="n"/>
      <c r="R3747" s="27" t="n"/>
      <c r="S3747" s="27" t="n"/>
      <c r="T3747" s="27" t="n"/>
    </row>
    <row r="3748" ht="13.8" customFormat="1" customHeight="1" s="70">
      <c r="M3748" s="27" t="n"/>
      <c r="N3748" s="27" t="n"/>
      <c r="O3748" s="27" t="n"/>
      <c r="P3748" s="27" t="n"/>
      <c r="Q3748" s="27" t="n"/>
      <c r="R3748" s="27" t="n"/>
      <c r="S3748" s="27" t="n"/>
      <c r="T3748" s="27" t="n"/>
    </row>
    <row r="3749" ht="13.8" customFormat="1" customHeight="1" s="70">
      <c r="M3749" s="27" t="n"/>
      <c r="N3749" s="27" t="n"/>
      <c r="O3749" s="27" t="n"/>
      <c r="P3749" s="27" t="n"/>
      <c r="Q3749" s="27" t="n"/>
      <c r="R3749" s="27" t="n"/>
      <c r="S3749" s="27" t="n"/>
      <c r="T3749" s="27" t="n"/>
    </row>
    <row r="3750" ht="13.8" customFormat="1" customHeight="1" s="70">
      <c r="M3750" s="27" t="n"/>
      <c r="N3750" s="27" t="n"/>
      <c r="O3750" s="27" t="n"/>
      <c r="P3750" s="27" t="n"/>
      <c r="Q3750" s="27" t="n"/>
      <c r="R3750" s="27" t="n"/>
      <c r="S3750" s="27" t="n"/>
      <c r="T3750" s="27" t="n"/>
    </row>
    <row r="3751" ht="13.8" customFormat="1" customHeight="1" s="70">
      <c r="M3751" s="27" t="n"/>
      <c r="N3751" s="27" t="n"/>
      <c r="O3751" s="27" t="n"/>
      <c r="P3751" s="27" t="n"/>
      <c r="Q3751" s="27" t="n"/>
      <c r="R3751" s="27" t="n"/>
      <c r="S3751" s="27" t="n"/>
      <c r="T3751" s="27" t="n"/>
    </row>
    <row r="3752" ht="13.8" customFormat="1" customHeight="1" s="70">
      <c r="M3752" s="27" t="n"/>
      <c r="N3752" s="27" t="n"/>
      <c r="O3752" s="27" t="n"/>
      <c r="P3752" s="27" t="n"/>
      <c r="Q3752" s="27" t="n"/>
      <c r="R3752" s="27" t="n"/>
      <c r="S3752" s="27" t="n"/>
      <c r="T3752" s="27" t="n"/>
    </row>
    <row r="3753" ht="13.8" customFormat="1" customHeight="1" s="70">
      <c r="M3753" s="27" t="n"/>
      <c r="N3753" s="27" t="n"/>
      <c r="O3753" s="27" t="n"/>
      <c r="P3753" s="27" t="n"/>
      <c r="Q3753" s="27" t="n"/>
      <c r="R3753" s="27" t="n"/>
      <c r="S3753" s="27" t="n"/>
      <c r="T3753" s="27" t="n"/>
    </row>
    <row r="3754" ht="13.8" customFormat="1" customHeight="1" s="70">
      <c r="M3754" s="27" t="n"/>
      <c r="N3754" s="27" t="n"/>
      <c r="O3754" s="27" t="n"/>
      <c r="P3754" s="27" t="n"/>
      <c r="Q3754" s="27" t="n"/>
      <c r="R3754" s="27" t="n"/>
      <c r="S3754" s="27" t="n"/>
      <c r="T3754" s="27" t="n"/>
    </row>
    <row r="3755" ht="13.8" customFormat="1" customHeight="1" s="70">
      <c r="M3755" s="27" t="n"/>
      <c r="N3755" s="27" t="n"/>
      <c r="O3755" s="27" t="n"/>
      <c r="P3755" s="27" t="n"/>
      <c r="Q3755" s="27" t="n"/>
      <c r="R3755" s="27" t="n"/>
      <c r="S3755" s="27" t="n"/>
      <c r="T3755" s="27" t="n"/>
    </row>
    <row r="3756" ht="13.8" customFormat="1" customHeight="1" s="70">
      <c r="M3756" s="27" t="n"/>
      <c r="N3756" s="27" t="n"/>
      <c r="O3756" s="27" t="n"/>
      <c r="P3756" s="27" t="n"/>
      <c r="Q3756" s="27" t="n"/>
      <c r="R3756" s="27" t="n"/>
      <c r="S3756" s="27" t="n"/>
      <c r="T3756" s="27" t="n"/>
    </row>
    <row r="3757" ht="13.8" customFormat="1" customHeight="1" s="70">
      <c r="M3757" s="27" t="n"/>
      <c r="N3757" s="27" t="n"/>
      <c r="O3757" s="27" t="n"/>
      <c r="P3757" s="27" t="n"/>
      <c r="Q3757" s="27" t="n"/>
      <c r="R3757" s="27" t="n"/>
      <c r="S3757" s="27" t="n"/>
      <c r="T3757" s="27" t="n"/>
    </row>
    <row r="3758" ht="13.8" customFormat="1" customHeight="1" s="70">
      <c r="M3758" s="27" t="n"/>
      <c r="N3758" s="27" t="n"/>
      <c r="O3758" s="27" t="n"/>
      <c r="P3758" s="27" t="n"/>
      <c r="Q3758" s="27" t="n"/>
      <c r="R3758" s="27" t="n"/>
      <c r="S3758" s="27" t="n"/>
      <c r="T3758" s="27" t="n"/>
    </row>
    <row r="3759" ht="13.8" customFormat="1" customHeight="1" s="70">
      <c r="M3759" s="27" t="n"/>
      <c r="N3759" s="27" t="n"/>
      <c r="O3759" s="27" t="n"/>
      <c r="P3759" s="27" t="n"/>
      <c r="Q3759" s="27" t="n"/>
      <c r="R3759" s="27" t="n"/>
      <c r="S3759" s="27" t="n"/>
      <c r="T3759" s="27" t="n"/>
    </row>
    <row r="3760" ht="13.8" customFormat="1" customHeight="1" s="70">
      <c r="M3760" s="27" t="n"/>
      <c r="N3760" s="27" t="n"/>
      <c r="O3760" s="27" t="n"/>
      <c r="P3760" s="27" t="n"/>
      <c r="Q3760" s="27" t="n"/>
      <c r="R3760" s="27" t="n"/>
      <c r="S3760" s="27" t="n"/>
      <c r="T3760" s="27" t="n"/>
    </row>
    <row r="3761" ht="13.8" customFormat="1" customHeight="1" s="70">
      <c r="M3761" s="27" t="n"/>
      <c r="N3761" s="27" t="n"/>
      <c r="O3761" s="27" t="n"/>
      <c r="P3761" s="27" t="n"/>
      <c r="Q3761" s="27" t="n"/>
      <c r="R3761" s="27" t="n"/>
      <c r="S3761" s="27" t="n"/>
      <c r="T3761" s="27" t="n"/>
    </row>
    <row r="3762" ht="13.8" customFormat="1" customHeight="1" s="70">
      <c r="M3762" s="27" t="n"/>
      <c r="N3762" s="27" t="n"/>
      <c r="O3762" s="27" t="n"/>
      <c r="P3762" s="27" t="n"/>
      <c r="Q3762" s="27" t="n"/>
      <c r="R3762" s="27" t="n"/>
      <c r="S3762" s="27" t="n"/>
      <c r="T3762" s="27" t="n"/>
    </row>
    <row r="3763" ht="13.8" customFormat="1" customHeight="1" s="70">
      <c r="M3763" s="27" t="n"/>
      <c r="N3763" s="27" t="n"/>
      <c r="O3763" s="27" t="n"/>
      <c r="P3763" s="27" t="n"/>
      <c r="Q3763" s="27" t="n"/>
      <c r="R3763" s="27" t="n"/>
      <c r="S3763" s="27" t="n"/>
      <c r="T3763" s="27" t="n"/>
    </row>
    <row r="3764" ht="13.8" customFormat="1" customHeight="1" s="70">
      <c r="M3764" s="27" t="n"/>
      <c r="N3764" s="27" t="n"/>
      <c r="O3764" s="27" t="n"/>
      <c r="P3764" s="27" t="n"/>
      <c r="Q3764" s="27" t="n"/>
      <c r="R3764" s="27" t="n"/>
      <c r="S3764" s="27" t="n"/>
      <c r="T3764" s="27" t="n"/>
    </row>
    <row r="3765" ht="13.8" customFormat="1" customHeight="1" s="70">
      <c r="M3765" s="27" t="n"/>
      <c r="N3765" s="27" t="n"/>
      <c r="O3765" s="27" t="n"/>
      <c r="P3765" s="27" t="n"/>
      <c r="Q3765" s="27" t="n"/>
      <c r="R3765" s="27" t="n"/>
      <c r="S3765" s="27" t="n"/>
      <c r="T3765" s="27" t="n"/>
    </row>
    <row r="3766" ht="13.8" customFormat="1" customHeight="1" s="70">
      <c r="M3766" s="27" t="n"/>
      <c r="N3766" s="27" t="n"/>
      <c r="O3766" s="27" t="n"/>
      <c r="P3766" s="27" t="n"/>
      <c r="Q3766" s="27" t="n"/>
      <c r="R3766" s="27" t="n"/>
      <c r="S3766" s="27" t="n"/>
      <c r="T3766" s="27" t="n"/>
    </row>
    <row r="3767" ht="13.8" customFormat="1" customHeight="1" s="70">
      <c r="M3767" s="27" t="n"/>
      <c r="N3767" s="27" t="n"/>
      <c r="O3767" s="27" t="n"/>
      <c r="P3767" s="27" t="n"/>
      <c r="Q3767" s="27" t="n"/>
      <c r="R3767" s="27" t="n"/>
      <c r="S3767" s="27" t="n"/>
      <c r="T3767" s="27" t="n"/>
    </row>
    <row r="3768" ht="13.8" customFormat="1" customHeight="1" s="70">
      <c r="M3768" s="27" t="n"/>
      <c r="N3768" s="27" t="n"/>
      <c r="O3768" s="27" t="n"/>
      <c r="P3768" s="27" t="n"/>
      <c r="Q3768" s="27" t="n"/>
      <c r="R3768" s="27" t="n"/>
      <c r="S3768" s="27" t="n"/>
      <c r="T3768" s="27" t="n"/>
    </row>
    <row r="3769" ht="13.8" customFormat="1" customHeight="1" s="70">
      <c r="M3769" s="27" t="n"/>
      <c r="N3769" s="27" t="n"/>
      <c r="O3769" s="27" t="n"/>
      <c r="P3769" s="27" t="n"/>
      <c r="Q3769" s="27" t="n"/>
      <c r="R3769" s="27" t="n"/>
      <c r="S3769" s="27" t="n"/>
      <c r="T3769" s="27" t="n"/>
    </row>
    <row r="3770" ht="13.8" customFormat="1" customHeight="1" s="70">
      <c r="M3770" s="27" t="n"/>
      <c r="N3770" s="27" t="n"/>
      <c r="O3770" s="27" t="n"/>
      <c r="P3770" s="27" t="n"/>
      <c r="Q3770" s="27" t="n"/>
      <c r="R3770" s="27" t="n"/>
      <c r="S3770" s="27" t="n"/>
      <c r="T3770" s="27" t="n"/>
    </row>
    <row r="3771" ht="13.8" customFormat="1" customHeight="1" s="70">
      <c r="M3771" s="27" t="n"/>
      <c r="N3771" s="27" t="n"/>
      <c r="O3771" s="27" t="n"/>
      <c r="P3771" s="27" t="n"/>
      <c r="Q3771" s="27" t="n"/>
      <c r="R3771" s="27" t="n"/>
      <c r="S3771" s="27" t="n"/>
      <c r="T3771" s="27" t="n"/>
    </row>
    <row r="3772" ht="13.8" customFormat="1" customHeight="1" s="70">
      <c r="M3772" s="27" t="n"/>
      <c r="N3772" s="27" t="n"/>
      <c r="O3772" s="27" t="n"/>
      <c r="P3772" s="27" t="n"/>
      <c r="Q3772" s="27" t="n"/>
      <c r="R3772" s="27" t="n"/>
      <c r="S3772" s="27" t="n"/>
      <c r="T3772" s="27" t="n"/>
    </row>
    <row r="3773" ht="13.8" customFormat="1" customHeight="1" s="70">
      <c r="M3773" s="27" t="n"/>
      <c r="N3773" s="27" t="n"/>
      <c r="O3773" s="27" t="n"/>
      <c r="P3773" s="27" t="n"/>
      <c r="Q3773" s="27" t="n"/>
      <c r="R3773" s="27" t="n"/>
      <c r="S3773" s="27" t="n"/>
      <c r="T3773" s="27" t="n"/>
    </row>
    <row r="3774" ht="13.8" customFormat="1" customHeight="1" s="70">
      <c r="M3774" s="27" t="n"/>
      <c r="N3774" s="27" t="n"/>
      <c r="O3774" s="27" t="n"/>
      <c r="P3774" s="27" t="n"/>
      <c r="Q3774" s="27" t="n"/>
      <c r="R3774" s="27" t="n"/>
      <c r="S3774" s="27" t="n"/>
      <c r="T3774" s="27" t="n"/>
    </row>
    <row r="3775" ht="13.8" customFormat="1" customHeight="1" s="70">
      <c r="M3775" s="27" t="n"/>
      <c r="N3775" s="27" t="n"/>
      <c r="O3775" s="27" t="n"/>
      <c r="P3775" s="27" t="n"/>
      <c r="Q3775" s="27" t="n"/>
      <c r="R3775" s="27" t="n"/>
      <c r="S3775" s="27" t="n"/>
      <c r="T3775" s="27" t="n"/>
    </row>
    <row r="3776" ht="13.8" customFormat="1" customHeight="1" s="70">
      <c r="M3776" s="27" t="n"/>
      <c r="N3776" s="27" t="n"/>
      <c r="O3776" s="27" t="n"/>
      <c r="P3776" s="27" t="n"/>
      <c r="Q3776" s="27" t="n"/>
      <c r="R3776" s="27" t="n"/>
      <c r="S3776" s="27" t="n"/>
      <c r="T3776" s="27" t="n"/>
    </row>
    <row r="3777" ht="13.8" customFormat="1" customHeight="1" s="70">
      <c r="M3777" s="27" t="n"/>
      <c r="N3777" s="27" t="n"/>
      <c r="O3777" s="27" t="n"/>
      <c r="P3777" s="27" t="n"/>
      <c r="Q3777" s="27" t="n"/>
      <c r="R3777" s="27" t="n"/>
      <c r="S3777" s="27" t="n"/>
      <c r="T3777" s="27" t="n"/>
    </row>
    <row r="3778" ht="13.8" customFormat="1" customHeight="1" s="70">
      <c r="M3778" s="27" t="n"/>
      <c r="N3778" s="27" t="n"/>
      <c r="O3778" s="27" t="n"/>
      <c r="P3778" s="27" t="n"/>
      <c r="Q3778" s="27" t="n"/>
      <c r="R3778" s="27" t="n"/>
      <c r="S3778" s="27" t="n"/>
      <c r="T3778" s="27" t="n"/>
    </row>
    <row r="3779" ht="13.8" customFormat="1" customHeight="1" s="70">
      <c r="M3779" s="27" t="n"/>
      <c r="N3779" s="27" t="n"/>
      <c r="O3779" s="27" t="n"/>
      <c r="P3779" s="27" t="n"/>
      <c r="Q3779" s="27" t="n"/>
      <c r="R3779" s="27" t="n"/>
      <c r="S3779" s="27" t="n"/>
      <c r="T3779" s="27" t="n"/>
    </row>
    <row r="3780" ht="13.8" customFormat="1" customHeight="1" s="70">
      <c r="M3780" s="27" t="n"/>
      <c r="N3780" s="27" t="n"/>
      <c r="O3780" s="27" t="n"/>
      <c r="P3780" s="27" t="n"/>
      <c r="Q3780" s="27" t="n"/>
      <c r="R3780" s="27" t="n"/>
      <c r="S3780" s="27" t="n"/>
      <c r="T3780" s="27" t="n"/>
    </row>
    <row r="3781" ht="13.8" customFormat="1" customHeight="1" s="70">
      <c r="M3781" s="27" t="n"/>
      <c r="N3781" s="27" t="n"/>
      <c r="O3781" s="27" t="n"/>
      <c r="P3781" s="27" t="n"/>
      <c r="Q3781" s="27" t="n"/>
      <c r="R3781" s="27" t="n"/>
      <c r="S3781" s="27" t="n"/>
      <c r="T3781" s="27" t="n"/>
    </row>
    <row r="3782" ht="13.8" customFormat="1" customHeight="1" s="70">
      <c r="M3782" s="27" t="n"/>
      <c r="N3782" s="27" t="n"/>
      <c r="O3782" s="27" t="n"/>
      <c r="P3782" s="27" t="n"/>
      <c r="Q3782" s="27" t="n"/>
      <c r="R3782" s="27" t="n"/>
      <c r="S3782" s="27" t="n"/>
      <c r="T3782" s="27" t="n"/>
    </row>
    <row r="3783" ht="13.8" customFormat="1" customHeight="1" s="70">
      <c r="M3783" s="27" t="n"/>
      <c r="N3783" s="27" t="n"/>
      <c r="O3783" s="27" t="n"/>
      <c r="P3783" s="27" t="n"/>
      <c r="Q3783" s="27" t="n"/>
      <c r="R3783" s="27" t="n"/>
      <c r="S3783" s="27" t="n"/>
      <c r="T3783" s="27" t="n"/>
    </row>
    <row r="3784" ht="13.8" customFormat="1" customHeight="1" s="70">
      <c r="M3784" s="27" t="n"/>
      <c r="N3784" s="27" t="n"/>
      <c r="O3784" s="27" t="n"/>
      <c r="P3784" s="27" t="n"/>
      <c r="Q3784" s="27" t="n"/>
      <c r="R3784" s="27" t="n"/>
      <c r="S3784" s="27" t="n"/>
      <c r="T3784" s="27" t="n"/>
    </row>
    <row r="3785" ht="13.8" customFormat="1" customHeight="1" s="70">
      <c r="M3785" s="27" t="n"/>
      <c r="N3785" s="27" t="n"/>
      <c r="O3785" s="27" t="n"/>
      <c r="P3785" s="27" t="n"/>
      <c r="Q3785" s="27" t="n"/>
      <c r="R3785" s="27" t="n"/>
      <c r="S3785" s="27" t="n"/>
      <c r="T3785" s="27" t="n"/>
    </row>
    <row r="3786" ht="13.8" customFormat="1" customHeight="1" s="70">
      <c r="M3786" s="27" t="n"/>
      <c r="N3786" s="27" t="n"/>
      <c r="O3786" s="27" t="n"/>
      <c r="P3786" s="27" t="n"/>
      <c r="Q3786" s="27" t="n"/>
      <c r="R3786" s="27" t="n"/>
      <c r="S3786" s="27" t="n"/>
      <c r="T3786" s="27" t="n"/>
    </row>
    <row r="3787" ht="13.8" customFormat="1" customHeight="1" s="70">
      <c r="M3787" s="27" t="n"/>
      <c r="N3787" s="27" t="n"/>
      <c r="O3787" s="27" t="n"/>
      <c r="P3787" s="27" t="n"/>
      <c r="Q3787" s="27" t="n"/>
      <c r="R3787" s="27" t="n"/>
      <c r="S3787" s="27" t="n"/>
      <c r="T3787" s="27" t="n"/>
    </row>
    <row r="3788" ht="13.8" customFormat="1" customHeight="1" s="70">
      <c r="M3788" s="27" t="n"/>
      <c r="N3788" s="27" t="n"/>
      <c r="O3788" s="27" t="n"/>
      <c r="P3788" s="27" t="n"/>
      <c r="Q3788" s="27" t="n"/>
      <c r="R3788" s="27" t="n"/>
      <c r="S3788" s="27" t="n"/>
      <c r="T3788" s="27" t="n"/>
    </row>
    <row r="3789" ht="13.8" customFormat="1" customHeight="1" s="70">
      <c r="M3789" s="27" t="n"/>
      <c r="N3789" s="27" t="n"/>
      <c r="O3789" s="27" t="n"/>
      <c r="P3789" s="27" t="n"/>
      <c r="Q3789" s="27" t="n"/>
      <c r="R3789" s="27" t="n"/>
      <c r="S3789" s="27" t="n"/>
      <c r="T3789" s="27" t="n"/>
    </row>
    <row r="3790" ht="13.8" customFormat="1" customHeight="1" s="70">
      <c r="M3790" s="27" t="n"/>
      <c r="N3790" s="27" t="n"/>
      <c r="O3790" s="27" t="n"/>
      <c r="P3790" s="27" t="n"/>
      <c r="Q3790" s="27" t="n"/>
      <c r="R3790" s="27" t="n"/>
      <c r="S3790" s="27" t="n"/>
      <c r="T3790" s="27" t="n"/>
    </row>
    <row r="3791" ht="13.8" customFormat="1" customHeight="1" s="70">
      <c r="M3791" s="27" t="n"/>
      <c r="N3791" s="27" t="n"/>
      <c r="O3791" s="27" t="n"/>
      <c r="P3791" s="27" t="n"/>
      <c r="Q3791" s="27" t="n"/>
      <c r="R3791" s="27" t="n"/>
      <c r="S3791" s="27" t="n"/>
      <c r="T3791" s="27" t="n"/>
    </row>
    <row r="3792" ht="13.8" customFormat="1" customHeight="1" s="70">
      <c r="M3792" s="27" t="n"/>
      <c r="N3792" s="27" t="n"/>
      <c r="O3792" s="27" t="n"/>
      <c r="P3792" s="27" t="n"/>
      <c r="Q3792" s="27" t="n"/>
      <c r="R3792" s="27" t="n"/>
      <c r="S3792" s="27" t="n"/>
      <c r="T3792" s="27" t="n"/>
    </row>
    <row r="3793" ht="13.8" customFormat="1" customHeight="1" s="70">
      <c r="M3793" s="27" t="n"/>
      <c r="N3793" s="27" t="n"/>
      <c r="O3793" s="27" t="n"/>
      <c r="P3793" s="27" t="n"/>
      <c r="Q3793" s="27" t="n"/>
      <c r="R3793" s="27" t="n"/>
      <c r="S3793" s="27" t="n"/>
      <c r="T3793" s="27" t="n"/>
    </row>
    <row r="3794" ht="13.8" customFormat="1" customHeight="1" s="70">
      <c r="M3794" s="27" t="n"/>
      <c r="N3794" s="27" t="n"/>
      <c r="O3794" s="27" t="n"/>
      <c r="P3794" s="27" t="n"/>
      <c r="Q3794" s="27" t="n"/>
      <c r="R3794" s="27" t="n"/>
      <c r="S3794" s="27" t="n"/>
      <c r="T3794" s="27" t="n"/>
    </row>
    <row r="3795" ht="13.8" customFormat="1" customHeight="1" s="70">
      <c r="M3795" s="27" t="n"/>
      <c r="N3795" s="27" t="n"/>
      <c r="O3795" s="27" t="n"/>
      <c r="P3795" s="27" t="n"/>
      <c r="Q3795" s="27" t="n"/>
      <c r="R3795" s="27" t="n"/>
      <c r="S3795" s="27" t="n"/>
      <c r="T3795" s="27" t="n"/>
    </row>
    <row r="3796" ht="13.8" customFormat="1" customHeight="1" s="70">
      <c r="M3796" s="27" t="n"/>
      <c r="N3796" s="27" t="n"/>
      <c r="O3796" s="27" t="n"/>
      <c r="P3796" s="27" t="n"/>
      <c r="Q3796" s="27" t="n"/>
      <c r="R3796" s="27" t="n"/>
      <c r="S3796" s="27" t="n"/>
      <c r="T3796" s="27" t="n"/>
    </row>
    <row r="3797" ht="13.8" customFormat="1" customHeight="1" s="70">
      <c r="M3797" s="27" t="n"/>
      <c r="N3797" s="27" t="n"/>
      <c r="O3797" s="27" t="n"/>
      <c r="P3797" s="27" t="n"/>
      <c r="Q3797" s="27" t="n"/>
      <c r="R3797" s="27" t="n"/>
      <c r="S3797" s="27" t="n"/>
      <c r="T3797" s="27" t="n"/>
    </row>
    <row r="3798" ht="13.8" customFormat="1" customHeight="1" s="70">
      <c r="M3798" s="27" t="n"/>
      <c r="N3798" s="27" t="n"/>
      <c r="O3798" s="27" t="n"/>
      <c r="P3798" s="27" t="n"/>
      <c r="Q3798" s="27" t="n"/>
      <c r="R3798" s="27" t="n"/>
      <c r="S3798" s="27" t="n"/>
      <c r="T3798" s="27" t="n"/>
    </row>
    <row r="3799" ht="13.8" customFormat="1" customHeight="1" s="70">
      <c r="M3799" s="27" t="n"/>
      <c r="N3799" s="27" t="n"/>
      <c r="O3799" s="27" t="n"/>
      <c r="P3799" s="27" t="n"/>
      <c r="Q3799" s="27" t="n"/>
      <c r="R3799" s="27" t="n"/>
      <c r="S3799" s="27" t="n"/>
      <c r="T3799" s="27" t="n"/>
    </row>
    <row r="3800" ht="13.8" customFormat="1" customHeight="1" s="70">
      <c r="M3800" s="27" t="n"/>
      <c r="N3800" s="27" t="n"/>
      <c r="O3800" s="27" t="n"/>
      <c r="P3800" s="27" t="n"/>
      <c r="Q3800" s="27" t="n"/>
      <c r="R3800" s="27" t="n"/>
      <c r="S3800" s="27" t="n"/>
      <c r="T3800" s="27" t="n"/>
    </row>
    <row r="3801" ht="13.8" customFormat="1" customHeight="1" s="70">
      <c r="M3801" s="27" t="n"/>
      <c r="N3801" s="27" t="n"/>
      <c r="O3801" s="27" t="n"/>
      <c r="P3801" s="27" t="n"/>
      <c r="Q3801" s="27" t="n"/>
      <c r="R3801" s="27" t="n"/>
      <c r="S3801" s="27" t="n"/>
      <c r="T3801" s="27" t="n"/>
    </row>
    <row r="3802" ht="13.8" customFormat="1" customHeight="1" s="70">
      <c r="M3802" s="27" t="n"/>
      <c r="N3802" s="27" t="n"/>
      <c r="O3802" s="27" t="n"/>
      <c r="P3802" s="27" t="n"/>
      <c r="Q3802" s="27" t="n"/>
      <c r="R3802" s="27" t="n"/>
      <c r="S3802" s="27" t="n"/>
      <c r="T3802" s="27" t="n"/>
    </row>
    <row r="3803" ht="13.8" customFormat="1" customHeight="1" s="70">
      <c r="M3803" s="27" t="n"/>
      <c r="N3803" s="27" t="n"/>
      <c r="O3803" s="27" t="n"/>
      <c r="P3803" s="27" t="n"/>
      <c r="Q3803" s="27" t="n"/>
      <c r="R3803" s="27" t="n"/>
      <c r="S3803" s="27" t="n"/>
      <c r="T3803" s="27" t="n"/>
    </row>
    <row r="3804" ht="13.8" customFormat="1" customHeight="1" s="70">
      <c r="M3804" s="27" t="n"/>
      <c r="N3804" s="27" t="n"/>
      <c r="O3804" s="27" t="n"/>
      <c r="P3804" s="27" t="n"/>
      <c r="Q3804" s="27" t="n"/>
      <c r="R3804" s="27" t="n"/>
      <c r="S3804" s="27" t="n"/>
      <c r="T3804" s="27" t="n"/>
    </row>
    <row r="3805" ht="13.8" customFormat="1" customHeight="1" s="70">
      <c r="M3805" s="27" t="n"/>
      <c r="N3805" s="27" t="n"/>
      <c r="O3805" s="27" t="n"/>
      <c r="P3805" s="27" t="n"/>
      <c r="Q3805" s="27" t="n"/>
      <c r="R3805" s="27" t="n"/>
      <c r="S3805" s="27" t="n"/>
      <c r="T3805" s="27" t="n"/>
    </row>
    <row r="3806" ht="13.8" customFormat="1" customHeight="1" s="70">
      <c r="M3806" s="27" t="n"/>
      <c r="N3806" s="27" t="n"/>
      <c r="O3806" s="27" t="n"/>
      <c r="P3806" s="27" t="n"/>
      <c r="Q3806" s="27" t="n"/>
      <c r="R3806" s="27" t="n"/>
      <c r="S3806" s="27" t="n"/>
      <c r="T3806" s="27" t="n"/>
    </row>
    <row r="3807" ht="13.8" customFormat="1" customHeight="1" s="70">
      <c r="M3807" s="27" t="n"/>
      <c r="N3807" s="27" t="n"/>
      <c r="O3807" s="27" t="n"/>
      <c r="P3807" s="27" t="n"/>
      <c r="Q3807" s="27" t="n"/>
      <c r="R3807" s="27" t="n"/>
      <c r="S3807" s="27" t="n"/>
      <c r="T3807" s="27" t="n"/>
    </row>
    <row r="3808" ht="13.8" customFormat="1" customHeight="1" s="70">
      <c r="M3808" s="27" t="n"/>
      <c r="N3808" s="27" t="n"/>
      <c r="O3808" s="27" t="n"/>
      <c r="P3808" s="27" t="n"/>
      <c r="Q3808" s="27" t="n"/>
      <c r="R3808" s="27" t="n"/>
      <c r="S3808" s="27" t="n"/>
      <c r="T3808" s="27" t="n"/>
    </row>
    <row r="3809" ht="13.8" customFormat="1" customHeight="1" s="70">
      <c r="M3809" s="27" t="n"/>
      <c r="N3809" s="27" t="n"/>
      <c r="O3809" s="27" t="n"/>
      <c r="P3809" s="27" t="n"/>
      <c r="Q3809" s="27" t="n"/>
      <c r="R3809" s="27" t="n"/>
      <c r="S3809" s="27" t="n"/>
      <c r="T3809" s="27" t="n"/>
    </row>
    <row r="3810" ht="13.8" customFormat="1" customHeight="1" s="70">
      <c r="M3810" s="27" t="n"/>
      <c r="N3810" s="27" t="n"/>
      <c r="O3810" s="27" t="n"/>
      <c r="P3810" s="27" t="n"/>
      <c r="Q3810" s="27" t="n"/>
      <c r="R3810" s="27" t="n"/>
      <c r="S3810" s="27" t="n"/>
      <c r="T3810" s="27" t="n"/>
    </row>
    <row r="3811" ht="13.8" customFormat="1" customHeight="1" s="70">
      <c r="M3811" s="27" t="n"/>
      <c r="N3811" s="27" t="n"/>
      <c r="O3811" s="27" t="n"/>
      <c r="P3811" s="27" t="n"/>
      <c r="Q3811" s="27" t="n"/>
      <c r="R3811" s="27" t="n"/>
      <c r="S3811" s="27" t="n"/>
      <c r="T3811" s="27" t="n"/>
    </row>
    <row r="3812" ht="13.8" customFormat="1" customHeight="1" s="70">
      <c r="M3812" s="27" t="n"/>
      <c r="N3812" s="27" t="n"/>
      <c r="O3812" s="27" t="n"/>
      <c r="P3812" s="27" t="n"/>
      <c r="Q3812" s="27" t="n"/>
      <c r="R3812" s="27" t="n"/>
      <c r="S3812" s="27" t="n"/>
      <c r="T3812" s="27" t="n"/>
    </row>
    <row r="3813" ht="13.8" customFormat="1" customHeight="1" s="70">
      <c r="M3813" s="27" t="n"/>
      <c r="N3813" s="27" t="n"/>
      <c r="O3813" s="27" t="n"/>
      <c r="P3813" s="27" t="n"/>
      <c r="Q3813" s="27" t="n"/>
      <c r="R3813" s="27" t="n"/>
      <c r="S3813" s="27" t="n"/>
      <c r="T3813" s="27" t="n"/>
    </row>
    <row r="3814" ht="13.8" customFormat="1" customHeight="1" s="70">
      <c r="M3814" s="27" t="n"/>
      <c r="N3814" s="27" t="n"/>
      <c r="O3814" s="27" t="n"/>
      <c r="P3814" s="27" t="n"/>
      <c r="Q3814" s="27" t="n"/>
      <c r="R3814" s="27" t="n"/>
      <c r="S3814" s="27" t="n"/>
      <c r="T3814" s="27" t="n"/>
    </row>
    <row r="3815" ht="13.8" customFormat="1" customHeight="1" s="70">
      <c r="M3815" s="27" t="n"/>
      <c r="N3815" s="27" t="n"/>
      <c r="O3815" s="27" t="n"/>
      <c r="P3815" s="27" t="n"/>
      <c r="Q3815" s="27" t="n"/>
      <c r="R3815" s="27" t="n"/>
      <c r="S3815" s="27" t="n"/>
      <c r="T3815" s="27" t="n"/>
    </row>
    <row r="3816" ht="13.8" customFormat="1" customHeight="1" s="70">
      <c r="M3816" s="27" t="n"/>
      <c r="N3816" s="27" t="n"/>
      <c r="O3816" s="27" t="n"/>
      <c r="P3816" s="27" t="n"/>
      <c r="Q3816" s="27" t="n"/>
      <c r="R3816" s="27" t="n"/>
      <c r="S3816" s="27" t="n"/>
      <c r="T3816" s="27" t="n"/>
    </row>
    <row r="3817" ht="13.8" customFormat="1" customHeight="1" s="70">
      <c r="M3817" s="27" t="n"/>
      <c r="N3817" s="27" t="n"/>
      <c r="O3817" s="27" t="n"/>
      <c r="P3817" s="27" t="n"/>
      <c r="Q3817" s="27" t="n"/>
      <c r="R3817" s="27" t="n"/>
      <c r="S3817" s="27" t="n"/>
      <c r="T3817" s="27" t="n"/>
    </row>
    <row r="3818" ht="13.8" customFormat="1" customHeight="1" s="70">
      <c r="M3818" s="27" t="n"/>
      <c r="N3818" s="27" t="n"/>
      <c r="O3818" s="27" t="n"/>
      <c r="P3818" s="27" t="n"/>
      <c r="Q3818" s="27" t="n"/>
      <c r="R3818" s="27" t="n"/>
      <c r="S3818" s="27" t="n"/>
      <c r="T3818" s="27" t="n"/>
    </row>
    <row r="3819" ht="13.8" customFormat="1" customHeight="1" s="70">
      <c r="M3819" s="27" t="n"/>
      <c r="N3819" s="27" t="n"/>
      <c r="O3819" s="27" t="n"/>
      <c r="P3819" s="27" t="n"/>
      <c r="Q3819" s="27" t="n"/>
      <c r="R3819" s="27" t="n"/>
      <c r="S3819" s="27" t="n"/>
      <c r="T3819" s="27" t="n"/>
    </row>
    <row r="3820" ht="13.8" customFormat="1" customHeight="1" s="70">
      <c r="M3820" s="27" t="n"/>
      <c r="N3820" s="27" t="n"/>
      <c r="O3820" s="27" t="n"/>
      <c r="P3820" s="27" t="n"/>
      <c r="Q3820" s="27" t="n"/>
      <c r="R3820" s="27" t="n"/>
      <c r="S3820" s="27" t="n"/>
      <c r="T3820" s="27" t="n"/>
    </row>
    <row r="3821" ht="13.8" customFormat="1" customHeight="1" s="70">
      <c r="M3821" s="27" t="n"/>
      <c r="N3821" s="27" t="n"/>
      <c r="O3821" s="27" t="n"/>
      <c r="P3821" s="27" t="n"/>
      <c r="Q3821" s="27" t="n"/>
      <c r="R3821" s="27" t="n"/>
      <c r="S3821" s="27" t="n"/>
      <c r="T3821" s="27" t="n"/>
    </row>
    <row r="3822" ht="13.8" customFormat="1" customHeight="1" s="70">
      <c r="M3822" s="27" t="n"/>
      <c r="N3822" s="27" t="n"/>
      <c r="O3822" s="27" t="n"/>
      <c r="P3822" s="27" t="n"/>
      <c r="Q3822" s="27" t="n"/>
      <c r="R3822" s="27" t="n"/>
      <c r="S3822" s="27" t="n"/>
      <c r="T3822" s="27" t="n"/>
    </row>
    <row r="3823" ht="13.8" customFormat="1" customHeight="1" s="70">
      <c r="M3823" s="27" t="n"/>
      <c r="N3823" s="27" t="n"/>
      <c r="O3823" s="27" t="n"/>
      <c r="P3823" s="27" t="n"/>
      <c r="Q3823" s="27" t="n"/>
      <c r="R3823" s="27" t="n"/>
      <c r="S3823" s="27" t="n"/>
      <c r="T3823" s="27" t="n"/>
    </row>
    <row r="3824" ht="13.8" customFormat="1" customHeight="1" s="70">
      <c r="M3824" s="27" t="n"/>
      <c r="N3824" s="27" t="n"/>
      <c r="O3824" s="27" t="n"/>
      <c r="P3824" s="27" t="n"/>
      <c r="Q3824" s="27" t="n"/>
      <c r="R3824" s="27" t="n"/>
      <c r="S3824" s="27" t="n"/>
      <c r="T3824" s="27" t="n"/>
    </row>
    <row r="3825" ht="13.8" customFormat="1" customHeight="1" s="70">
      <c r="M3825" s="27" t="n"/>
      <c r="N3825" s="27" t="n"/>
      <c r="O3825" s="27" t="n"/>
      <c r="P3825" s="27" t="n"/>
      <c r="Q3825" s="27" t="n"/>
      <c r="R3825" s="27" t="n"/>
      <c r="S3825" s="27" t="n"/>
      <c r="T3825" s="27" t="n"/>
    </row>
    <row r="3826" ht="13.8" customFormat="1" customHeight="1" s="70">
      <c r="M3826" s="27" t="n"/>
      <c r="N3826" s="27" t="n"/>
      <c r="O3826" s="27" t="n"/>
      <c r="P3826" s="27" t="n"/>
      <c r="Q3826" s="27" t="n"/>
      <c r="R3826" s="27" t="n"/>
      <c r="S3826" s="27" t="n"/>
      <c r="T3826" s="27" t="n"/>
    </row>
    <row r="3827" ht="13.8" customFormat="1" customHeight="1" s="70">
      <c r="M3827" s="27" t="n"/>
      <c r="N3827" s="27" t="n"/>
      <c r="O3827" s="27" t="n"/>
      <c r="P3827" s="27" t="n"/>
      <c r="Q3827" s="27" t="n"/>
      <c r="R3827" s="27" t="n"/>
      <c r="S3827" s="27" t="n"/>
      <c r="T3827" s="27" t="n"/>
    </row>
    <row r="3828" ht="13.8" customFormat="1" customHeight="1" s="70">
      <c r="M3828" s="27" t="n"/>
      <c r="N3828" s="27" t="n"/>
      <c r="O3828" s="27" t="n"/>
      <c r="P3828" s="27" t="n"/>
      <c r="Q3828" s="27" t="n"/>
      <c r="R3828" s="27" t="n"/>
      <c r="S3828" s="27" t="n"/>
      <c r="T3828" s="27" t="n"/>
    </row>
    <row r="3829" ht="13.8" customFormat="1" customHeight="1" s="70">
      <c r="M3829" s="27" t="n"/>
      <c r="N3829" s="27" t="n"/>
      <c r="O3829" s="27" t="n"/>
      <c r="P3829" s="27" t="n"/>
      <c r="Q3829" s="27" t="n"/>
      <c r="R3829" s="27" t="n"/>
      <c r="S3829" s="27" t="n"/>
      <c r="T3829" s="27" t="n"/>
    </row>
    <row r="3830" ht="13.8" customFormat="1" customHeight="1" s="70">
      <c r="M3830" s="27" t="n"/>
      <c r="N3830" s="27" t="n"/>
      <c r="O3830" s="27" t="n"/>
      <c r="P3830" s="27" t="n"/>
      <c r="Q3830" s="27" t="n"/>
      <c r="R3830" s="27" t="n"/>
      <c r="S3830" s="27" t="n"/>
      <c r="T3830" s="27" t="n"/>
    </row>
    <row r="3831" ht="13.8" customFormat="1" customHeight="1" s="70">
      <c r="M3831" s="27" t="n"/>
      <c r="N3831" s="27" t="n"/>
      <c r="O3831" s="27" t="n"/>
      <c r="P3831" s="27" t="n"/>
      <c r="Q3831" s="27" t="n"/>
      <c r="R3831" s="27" t="n"/>
      <c r="S3831" s="27" t="n"/>
      <c r="T3831" s="27" t="n"/>
    </row>
    <row r="3832" ht="13.8" customFormat="1" customHeight="1" s="70">
      <c r="M3832" s="27" t="n"/>
      <c r="N3832" s="27" t="n"/>
      <c r="O3832" s="27" t="n"/>
      <c r="P3832" s="27" t="n"/>
      <c r="Q3832" s="27" t="n"/>
      <c r="R3832" s="27" t="n"/>
      <c r="S3832" s="27" t="n"/>
      <c r="T3832" s="27" t="n"/>
    </row>
    <row r="3833" ht="13.8" customFormat="1" customHeight="1" s="70">
      <c r="M3833" s="27" t="n"/>
      <c r="N3833" s="27" t="n"/>
      <c r="O3833" s="27" t="n"/>
      <c r="P3833" s="27" t="n"/>
      <c r="Q3833" s="27" t="n"/>
      <c r="R3833" s="27" t="n"/>
      <c r="S3833" s="27" t="n"/>
      <c r="T3833" s="27" t="n"/>
    </row>
    <row r="3834" ht="13.8" customFormat="1" customHeight="1" s="70">
      <c r="M3834" s="27" t="n"/>
      <c r="N3834" s="27" t="n"/>
      <c r="O3834" s="27" t="n"/>
      <c r="P3834" s="27" t="n"/>
      <c r="Q3834" s="27" t="n"/>
      <c r="R3834" s="27" t="n"/>
      <c r="S3834" s="27" t="n"/>
      <c r="T3834" s="27" t="n"/>
    </row>
    <row r="3835" ht="13.8" customFormat="1" customHeight="1" s="70">
      <c r="M3835" s="27" t="n"/>
      <c r="N3835" s="27" t="n"/>
      <c r="O3835" s="27" t="n"/>
      <c r="P3835" s="27" t="n"/>
      <c r="Q3835" s="27" t="n"/>
      <c r="R3835" s="27" t="n"/>
      <c r="S3835" s="27" t="n"/>
      <c r="T3835" s="27" t="n"/>
    </row>
    <row r="3836" ht="13.8" customFormat="1" customHeight="1" s="70">
      <c r="M3836" s="27" t="n"/>
      <c r="N3836" s="27" t="n"/>
      <c r="O3836" s="27" t="n"/>
      <c r="P3836" s="27" t="n"/>
      <c r="Q3836" s="27" t="n"/>
      <c r="R3836" s="27" t="n"/>
      <c r="S3836" s="27" t="n"/>
      <c r="T3836" s="27" t="n"/>
    </row>
    <row r="3837" ht="13.8" customFormat="1" customHeight="1" s="70">
      <c r="M3837" s="27" t="n"/>
      <c r="N3837" s="27" t="n"/>
      <c r="O3837" s="27" t="n"/>
      <c r="P3837" s="27" t="n"/>
      <c r="Q3837" s="27" t="n"/>
      <c r="R3837" s="27" t="n"/>
      <c r="S3837" s="27" t="n"/>
      <c r="T3837" s="27" t="n"/>
    </row>
    <row r="3838" ht="13.8" customFormat="1" customHeight="1" s="70">
      <c r="M3838" s="27" t="n"/>
      <c r="N3838" s="27" t="n"/>
      <c r="O3838" s="27" t="n"/>
      <c r="P3838" s="27" t="n"/>
      <c r="Q3838" s="27" t="n"/>
      <c r="R3838" s="27" t="n"/>
      <c r="S3838" s="27" t="n"/>
      <c r="T3838" s="27" t="n"/>
    </row>
    <row r="3839" ht="13.8" customFormat="1" customHeight="1" s="70">
      <c r="M3839" s="27" t="n"/>
      <c r="N3839" s="27" t="n"/>
      <c r="O3839" s="27" t="n"/>
      <c r="P3839" s="27" t="n"/>
      <c r="Q3839" s="27" t="n"/>
      <c r="R3839" s="27" t="n"/>
      <c r="S3839" s="27" t="n"/>
      <c r="T3839" s="27" t="n"/>
    </row>
    <row r="3840" ht="13.8" customFormat="1" customHeight="1" s="70">
      <c r="M3840" s="27" t="n"/>
      <c r="N3840" s="27" t="n"/>
      <c r="O3840" s="27" t="n"/>
      <c r="P3840" s="27" t="n"/>
      <c r="Q3840" s="27" t="n"/>
      <c r="R3840" s="27" t="n"/>
      <c r="S3840" s="27" t="n"/>
      <c r="T3840" s="27" t="n"/>
    </row>
    <row r="3841" ht="13.8" customFormat="1" customHeight="1" s="70">
      <c r="M3841" s="27" t="n"/>
      <c r="N3841" s="27" t="n"/>
      <c r="O3841" s="27" t="n"/>
      <c r="P3841" s="27" t="n"/>
      <c r="Q3841" s="27" t="n"/>
      <c r="R3841" s="27" t="n"/>
      <c r="S3841" s="27" t="n"/>
      <c r="T3841" s="27" t="n"/>
    </row>
    <row r="3842" ht="13.8" customFormat="1" customHeight="1" s="70">
      <c r="M3842" s="27" t="n"/>
      <c r="N3842" s="27" t="n"/>
      <c r="O3842" s="27" t="n"/>
      <c r="P3842" s="27" t="n"/>
      <c r="Q3842" s="27" t="n"/>
      <c r="R3842" s="27" t="n"/>
      <c r="S3842" s="27" t="n"/>
      <c r="T3842" s="27" t="n"/>
    </row>
    <row r="3843" ht="13.8" customFormat="1" customHeight="1" s="70">
      <c r="M3843" s="27" t="n"/>
      <c r="N3843" s="27" t="n"/>
      <c r="O3843" s="27" t="n"/>
      <c r="P3843" s="27" t="n"/>
      <c r="Q3843" s="27" t="n"/>
      <c r="R3843" s="27" t="n"/>
      <c r="S3843" s="27" t="n"/>
      <c r="T3843" s="27" t="n"/>
    </row>
    <row r="3844" ht="13.8" customFormat="1" customHeight="1" s="70">
      <c r="M3844" s="27" t="n"/>
      <c r="N3844" s="27" t="n"/>
      <c r="O3844" s="27" t="n"/>
      <c r="P3844" s="27" t="n"/>
      <c r="Q3844" s="27" t="n"/>
      <c r="R3844" s="27" t="n"/>
      <c r="S3844" s="27" t="n"/>
      <c r="T3844" s="27" t="n"/>
    </row>
    <row r="3845" ht="13.8" customFormat="1" customHeight="1" s="70">
      <c r="M3845" s="27" t="n"/>
      <c r="N3845" s="27" t="n"/>
      <c r="O3845" s="27" t="n"/>
      <c r="P3845" s="27" t="n"/>
      <c r="Q3845" s="27" t="n"/>
      <c r="R3845" s="27" t="n"/>
      <c r="S3845" s="27" t="n"/>
      <c r="T3845" s="27" t="n"/>
    </row>
    <row r="3846" ht="13.8" customFormat="1" customHeight="1" s="70">
      <c r="M3846" s="27" t="n"/>
      <c r="N3846" s="27" t="n"/>
      <c r="O3846" s="27" t="n"/>
      <c r="P3846" s="27" t="n"/>
      <c r="Q3846" s="27" t="n"/>
      <c r="R3846" s="27" t="n"/>
      <c r="S3846" s="27" t="n"/>
      <c r="T3846" s="27" t="n"/>
    </row>
    <row r="3847" ht="13.8" customFormat="1" customHeight="1" s="70">
      <c r="M3847" s="27" t="n"/>
      <c r="N3847" s="27" t="n"/>
      <c r="O3847" s="27" t="n"/>
      <c r="P3847" s="27" t="n"/>
      <c r="Q3847" s="27" t="n"/>
      <c r="R3847" s="27" t="n"/>
      <c r="S3847" s="27" t="n"/>
      <c r="T3847" s="27" t="n"/>
    </row>
    <row r="3848" ht="13.8" customFormat="1" customHeight="1" s="70">
      <c r="M3848" s="27" t="n"/>
      <c r="N3848" s="27" t="n"/>
      <c r="O3848" s="27" t="n"/>
      <c r="P3848" s="27" t="n"/>
      <c r="Q3848" s="27" t="n"/>
      <c r="R3848" s="27" t="n"/>
      <c r="S3848" s="27" t="n"/>
      <c r="T3848" s="27" t="n"/>
    </row>
    <row r="3849" ht="13.8" customFormat="1" customHeight="1" s="70">
      <c r="M3849" s="27" t="n"/>
      <c r="N3849" s="27" t="n"/>
      <c r="O3849" s="27" t="n"/>
      <c r="P3849" s="27" t="n"/>
      <c r="Q3849" s="27" t="n"/>
      <c r="R3849" s="27" t="n"/>
      <c r="S3849" s="27" t="n"/>
      <c r="T3849" s="27" t="n"/>
    </row>
    <row r="3850" ht="13.8" customFormat="1" customHeight="1" s="70">
      <c r="M3850" s="27" t="n"/>
      <c r="N3850" s="27" t="n"/>
      <c r="O3850" s="27" t="n"/>
      <c r="P3850" s="27" t="n"/>
      <c r="Q3850" s="27" t="n"/>
      <c r="R3850" s="27" t="n"/>
      <c r="S3850" s="27" t="n"/>
      <c r="T3850" s="27" t="n"/>
    </row>
    <row r="3851" ht="13.8" customFormat="1" customHeight="1" s="70">
      <c r="M3851" s="27" t="n"/>
      <c r="N3851" s="27" t="n"/>
      <c r="O3851" s="27" t="n"/>
      <c r="P3851" s="27" t="n"/>
      <c r="Q3851" s="27" t="n"/>
      <c r="R3851" s="27" t="n"/>
      <c r="S3851" s="27" t="n"/>
      <c r="T3851" s="27" t="n"/>
    </row>
    <row r="3852" ht="13.8" customFormat="1" customHeight="1" s="70">
      <c r="M3852" s="27" t="n"/>
      <c r="N3852" s="27" t="n"/>
      <c r="O3852" s="27" t="n"/>
      <c r="P3852" s="27" t="n"/>
      <c r="Q3852" s="27" t="n"/>
      <c r="R3852" s="27" t="n"/>
      <c r="S3852" s="27" t="n"/>
      <c r="T3852" s="27" t="n"/>
    </row>
    <row r="3853" ht="13.8" customFormat="1" customHeight="1" s="70">
      <c r="M3853" s="27" t="n"/>
      <c r="N3853" s="27" t="n"/>
      <c r="O3853" s="27" t="n"/>
      <c r="P3853" s="27" t="n"/>
      <c r="Q3853" s="27" t="n"/>
      <c r="R3853" s="27" t="n"/>
      <c r="S3853" s="27" t="n"/>
      <c r="T3853" s="27" t="n"/>
    </row>
    <row r="3854" ht="13.8" customFormat="1" customHeight="1" s="70">
      <c r="M3854" s="27" t="n"/>
      <c r="N3854" s="27" t="n"/>
      <c r="O3854" s="27" t="n"/>
      <c r="P3854" s="27" t="n"/>
      <c r="Q3854" s="27" t="n"/>
      <c r="R3854" s="27" t="n"/>
      <c r="S3854" s="27" t="n"/>
      <c r="T3854" s="27" t="n"/>
    </row>
    <row r="3855" ht="13.8" customFormat="1" customHeight="1" s="70">
      <c r="M3855" s="27" t="n"/>
      <c r="N3855" s="27" t="n"/>
      <c r="O3855" s="27" t="n"/>
      <c r="P3855" s="27" t="n"/>
      <c r="Q3855" s="27" t="n"/>
      <c r="R3855" s="27" t="n"/>
      <c r="S3855" s="27" t="n"/>
      <c r="T3855" s="27" t="n"/>
    </row>
    <row r="3856" ht="13.8" customFormat="1" customHeight="1" s="70">
      <c r="M3856" s="27" t="n"/>
      <c r="N3856" s="27" t="n"/>
      <c r="O3856" s="27" t="n"/>
      <c r="P3856" s="27" t="n"/>
      <c r="Q3856" s="27" t="n"/>
      <c r="R3856" s="27" t="n"/>
      <c r="S3856" s="27" t="n"/>
      <c r="T3856" s="27" t="n"/>
    </row>
    <row r="3857" ht="13.8" customFormat="1" customHeight="1" s="70">
      <c r="M3857" s="27" t="n"/>
      <c r="N3857" s="27" t="n"/>
      <c r="O3857" s="27" t="n"/>
      <c r="P3857" s="27" t="n"/>
      <c r="Q3857" s="27" t="n"/>
      <c r="R3857" s="27" t="n"/>
      <c r="S3857" s="27" t="n"/>
      <c r="T3857" s="27" t="n"/>
    </row>
    <row r="3858" ht="13.8" customFormat="1" customHeight="1" s="70">
      <c r="M3858" s="27" t="n"/>
      <c r="N3858" s="27" t="n"/>
      <c r="O3858" s="27" t="n"/>
      <c r="P3858" s="27" t="n"/>
      <c r="Q3858" s="27" t="n"/>
      <c r="R3858" s="27" t="n"/>
      <c r="S3858" s="27" t="n"/>
      <c r="T3858" s="27" t="n"/>
    </row>
    <row r="3859" ht="13.8" customFormat="1" customHeight="1" s="70">
      <c r="M3859" s="27" t="n"/>
      <c r="N3859" s="27" t="n"/>
      <c r="O3859" s="27" t="n"/>
      <c r="P3859" s="27" t="n"/>
      <c r="Q3859" s="27" t="n"/>
      <c r="R3859" s="27" t="n"/>
      <c r="S3859" s="27" t="n"/>
      <c r="T3859" s="27" t="n"/>
    </row>
    <row r="3860" ht="13.8" customFormat="1" customHeight="1" s="70">
      <c r="M3860" s="27" t="n"/>
      <c r="N3860" s="27" t="n"/>
      <c r="O3860" s="27" t="n"/>
      <c r="P3860" s="27" t="n"/>
      <c r="Q3860" s="27" t="n"/>
      <c r="R3860" s="27" t="n"/>
      <c r="S3860" s="27" t="n"/>
      <c r="T3860" s="27" t="n"/>
    </row>
    <row r="3861" ht="13.8" customFormat="1" customHeight="1" s="70">
      <c r="M3861" s="27" t="n"/>
      <c r="N3861" s="27" t="n"/>
      <c r="O3861" s="27" t="n"/>
      <c r="P3861" s="27" t="n"/>
      <c r="Q3861" s="27" t="n"/>
      <c r="R3861" s="27" t="n"/>
      <c r="S3861" s="27" t="n"/>
      <c r="T3861" s="27" t="n"/>
    </row>
    <row r="3862" ht="13.8" customFormat="1" customHeight="1" s="70">
      <c r="M3862" s="27" t="n"/>
      <c r="N3862" s="27" t="n"/>
      <c r="O3862" s="27" t="n"/>
      <c r="P3862" s="27" t="n"/>
      <c r="Q3862" s="27" t="n"/>
      <c r="R3862" s="27" t="n"/>
      <c r="S3862" s="27" t="n"/>
      <c r="T3862" s="27" t="n"/>
    </row>
    <row r="3863" ht="13.8" customFormat="1" customHeight="1" s="70">
      <c r="M3863" s="27" t="n"/>
      <c r="N3863" s="27" t="n"/>
      <c r="O3863" s="27" t="n"/>
      <c r="P3863" s="27" t="n"/>
      <c r="Q3863" s="27" t="n"/>
      <c r="R3863" s="27" t="n"/>
      <c r="S3863" s="27" t="n"/>
      <c r="T3863" s="27" t="n"/>
    </row>
    <row r="3864" ht="13.8" customFormat="1" customHeight="1" s="70">
      <c r="M3864" s="27" t="n"/>
      <c r="N3864" s="27" t="n"/>
      <c r="O3864" s="27" t="n"/>
      <c r="P3864" s="27" t="n"/>
      <c r="Q3864" s="27" t="n"/>
      <c r="R3864" s="27" t="n"/>
      <c r="S3864" s="27" t="n"/>
      <c r="T3864" s="27" t="n"/>
    </row>
    <row r="3865" ht="13.8" customFormat="1" customHeight="1" s="70">
      <c r="M3865" s="27" t="n"/>
      <c r="N3865" s="27" t="n"/>
      <c r="O3865" s="27" t="n"/>
      <c r="P3865" s="27" t="n"/>
      <c r="Q3865" s="27" t="n"/>
      <c r="R3865" s="27" t="n"/>
      <c r="S3865" s="27" t="n"/>
      <c r="T3865" s="27" t="n"/>
    </row>
    <row r="3866" ht="13.8" customFormat="1" customHeight="1" s="70">
      <c r="M3866" s="27" t="n"/>
      <c r="N3866" s="27" t="n"/>
      <c r="O3866" s="27" t="n"/>
      <c r="P3866" s="27" t="n"/>
      <c r="Q3866" s="27" t="n"/>
      <c r="R3866" s="27" t="n"/>
      <c r="S3866" s="27" t="n"/>
      <c r="T3866" s="27" t="n"/>
    </row>
    <row r="3867" ht="13.8" customFormat="1" customHeight="1" s="70">
      <c r="M3867" s="27" t="n"/>
      <c r="N3867" s="27" t="n"/>
      <c r="O3867" s="27" t="n"/>
      <c r="P3867" s="27" t="n"/>
      <c r="Q3867" s="27" t="n"/>
      <c r="R3867" s="27" t="n"/>
      <c r="S3867" s="27" t="n"/>
      <c r="T3867" s="27" t="n"/>
    </row>
    <row r="3868" ht="13.8" customFormat="1" customHeight="1" s="70">
      <c r="M3868" s="27" t="n"/>
      <c r="N3868" s="27" t="n"/>
      <c r="O3868" s="27" t="n"/>
      <c r="P3868" s="27" t="n"/>
      <c r="Q3868" s="27" t="n"/>
      <c r="R3868" s="27" t="n"/>
      <c r="S3868" s="27" t="n"/>
      <c r="T3868" s="27" t="n"/>
    </row>
    <row r="3869" ht="13.8" customFormat="1" customHeight="1" s="70">
      <c r="M3869" s="27" t="n"/>
      <c r="N3869" s="27" t="n"/>
      <c r="O3869" s="27" t="n"/>
      <c r="P3869" s="27" t="n"/>
      <c r="Q3869" s="27" t="n"/>
      <c r="R3869" s="27" t="n"/>
      <c r="S3869" s="27" t="n"/>
      <c r="T3869" s="27" t="n"/>
    </row>
    <row r="3870" ht="13.8" customFormat="1" customHeight="1" s="70">
      <c r="M3870" s="27" t="n"/>
      <c r="N3870" s="27" t="n"/>
      <c r="O3870" s="27" t="n"/>
      <c r="P3870" s="27" t="n"/>
      <c r="Q3870" s="27" t="n"/>
      <c r="R3870" s="27" t="n"/>
      <c r="S3870" s="27" t="n"/>
      <c r="T3870" s="27" t="n"/>
    </row>
    <row r="3871" ht="13.8" customFormat="1" customHeight="1" s="70">
      <c r="M3871" s="27" t="n"/>
      <c r="N3871" s="27" t="n"/>
      <c r="O3871" s="27" t="n"/>
      <c r="P3871" s="27" t="n"/>
      <c r="Q3871" s="27" t="n"/>
      <c r="R3871" s="27" t="n"/>
      <c r="S3871" s="27" t="n"/>
      <c r="T3871" s="27" t="n"/>
    </row>
    <row r="3872" ht="13.8" customFormat="1" customHeight="1" s="70">
      <c r="M3872" s="27" t="n"/>
      <c r="N3872" s="27" t="n"/>
      <c r="O3872" s="27" t="n"/>
      <c r="P3872" s="27" t="n"/>
      <c r="Q3872" s="27" t="n"/>
      <c r="R3872" s="27" t="n"/>
      <c r="S3872" s="27" t="n"/>
      <c r="T3872" s="27" t="n"/>
    </row>
    <row r="3873" ht="13.8" customFormat="1" customHeight="1" s="70">
      <c r="M3873" s="27" t="n"/>
      <c r="N3873" s="27" t="n"/>
      <c r="O3873" s="27" t="n"/>
      <c r="P3873" s="27" t="n"/>
      <c r="Q3873" s="27" t="n"/>
      <c r="R3873" s="27" t="n"/>
      <c r="S3873" s="27" t="n"/>
      <c r="T3873" s="27" t="n"/>
    </row>
    <row r="3874" ht="13.8" customFormat="1" customHeight="1" s="70">
      <c r="M3874" s="27" t="n"/>
      <c r="N3874" s="27" t="n"/>
      <c r="O3874" s="27" t="n"/>
      <c r="P3874" s="27" t="n"/>
      <c r="Q3874" s="27" t="n"/>
      <c r="R3874" s="27" t="n"/>
      <c r="S3874" s="27" t="n"/>
      <c r="T3874" s="27" t="n"/>
    </row>
    <row r="3875" ht="13.8" customFormat="1" customHeight="1" s="70">
      <c r="M3875" s="27" t="n"/>
      <c r="N3875" s="27" t="n"/>
      <c r="O3875" s="27" t="n"/>
      <c r="P3875" s="27" t="n"/>
      <c r="Q3875" s="27" t="n"/>
      <c r="R3875" s="27" t="n"/>
      <c r="S3875" s="27" t="n"/>
      <c r="T3875" s="27" t="n"/>
    </row>
    <row r="3876" ht="13.8" customFormat="1" customHeight="1" s="70">
      <c r="M3876" s="27" t="n"/>
      <c r="N3876" s="27" t="n"/>
      <c r="O3876" s="27" t="n"/>
      <c r="P3876" s="27" t="n"/>
      <c r="Q3876" s="27" t="n"/>
      <c r="R3876" s="27" t="n"/>
      <c r="S3876" s="27" t="n"/>
      <c r="T3876" s="27" t="n"/>
    </row>
    <row r="3877" ht="13.8" customFormat="1" customHeight="1" s="70">
      <c r="M3877" s="27" t="n"/>
      <c r="N3877" s="27" t="n"/>
      <c r="O3877" s="27" t="n"/>
      <c r="P3877" s="27" t="n"/>
      <c r="Q3877" s="27" t="n"/>
      <c r="R3877" s="27" t="n"/>
      <c r="S3877" s="27" t="n"/>
      <c r="T3877" s="27" t="n"/>
    </row>
    <row r="3878" ht="13.8" customFormat="1" customHeight="1" s="70">
      <c r="M3878" s="27" t="n"/>
      <c r="N3878" s="27" t="n"/>
      <c r="O3878" s="27" t="n"/>
      <c r="P3878" s="27" t="n"/>
      <c r="Q3878" s="27" t="n"/>
      <c r="R3878" s="27" t="n"/>
      <c r="S3878" s="27" t="n"/>
      <c r="T3878" s="27" t="n"/>
    </row>
    <row r="3879" ht="13.8" customFormat="1" customHeight="1" s="70">
      <c r="M3879" s="27" t="n"/>
      <c r="N3879" s="27" t="n"/>
      <c r="O3879" s="27" t="n"/>
      <c r="P3879" s="27" t="n"/>
      <c r="Q3879" s="27" t="n"/>
      <c r="R3879" s="27" t="n"/>
      <c r="S3879" s="27" t="n"/>
      <c r="T3879" s="27" t="n"/>
    </row>
    <row r="3880" ht="13.8" customFormat="1" customHeight="1" s="70">
      <c r="M3880" s="27" t="n"/>
      <c r="N3880" s="27" t="n"/>
      <c r="O3880" s="27" t="n"/>
      <c r="P3880" s="27" t="n"/>
      <c r="Q3880" s="27" t="n"/>
      <c r="R3880" s="27" t="n"/>
      <c r="S3880" s="27" t="n"/>
      <c r="T3880" s="27" t="n"/>
    </row>
    <row r="3881" ht="13.8" customFormat="1" customHeight="1" s="70">
      <c r="M3881" s="27" t="n"/>
      <c r="N3881" s="27" t="n"/>
      <c r="O3881" s="27" t="n"/>
      <c r="P3881" s="27" t="n"/>
      <c r="Q3881" s="27" t="n"/>
      <c r="R3881" s="27" t="n"/>
      <c r="S3881" s="27" t="n"/>
      <c r="T3881" s="27" t="n"/>
    </row>
    <row r="3882" ht="13.8" customFormat="1" customHeight="1" s="70">
      <c r="M3882" s="27" t="n"/>
      <c r="N3882" s="27" t="n"/>
      <c r="O3882" s="27" t="n"/>
      <c r="P3882" s="27" t="n"/>
      <c r="Q3882" s="27" t="n"/>
      <c r="R3882" s="27" t="n"/>
      <c r="S3882" s="27" t="n"/>
      <c r="T3882" s="27" t="n"/>
    </row>
    <row r="3883" ht="13.8" customFormat="1" customHeight="1" s="70">
      <c r="M3883" s="27" t="n"/>
      <c r="N3883" s="27" t="n"/>
      <c r="O3883" s="27" t="n"/>
      <c r="P3883" s="27" t="n"/>
      <c r="Q3883" s="27" t="n"/>
      <c r="R3883" s="27" t="n"/>
      <c r="S3883" s="27" t="n"/>
      <c r="T3883" s="27" t="n"/>
    </row>
    <row r="3884" ht="13.8" customFormat="1" customHeight="1" s="70">
      <c r="M3884" s="27" t="n"/>
      <c r="N3884" s="27" t="n"/>
      <c r="O3884" s="27" t="n"/>
      <c r="P3884" s="27" t="n"/>
      <c r="Q3884" s="27" t="n"/>
      <c r="R3884" s="27" t="n"/>
      <c r="S3884" s="27" t="n"/>
      <c r="T3884" s="27" t="n"/>
    </row>
    <row r="3885" ht="13.8" customFormat="1" customHeight="1" s="70">
      <c r="M3885" s="27" t="n"/>
      <c r="N3885" s="27" t="n"/>
      <c r="O3885" s="27" t="n"/>
      <c r="P3885" s="27" t="n"/>
      <c r="Q3885" s="27" t="n"/>
      <c r="R3885" s="27" t="n"/>
      <c r="S3885" s="27" t="n"/>
      <c r="T3885" s="27" t="n"/>
    </row>
    <row r="3886" ht="13.8" customFormat="1" customHeight="1" s="70">
      <c r="M3886" s="27" t="n"/>
      <c r="N3886" s="27" t="n"/>
      <c r="O3886" s="27" t="n"/>
      <c r="P3886" s="27" t="n"/>
      <c r="Q3886" s="27" t="n"/>
      <c r="R3886" s="27" t="n"/>
      <c r="S3886" s="27" t="n"/>
      <c r="T3886" s="27" t="n"/>
    </row>
    <row r="3887" ht="13.8" customFormat="1" customHeight="1" s="70">
      <c r="M3887" s="27" t="n"/>
      <c r="N3887" s="27" t="n"/>
      <c r="O3887" s="27" t="n"/>
      <c r="P3887" s="27" t="n"/>
      <c r="Q3887" s="27" t="n"/>
      <c r="R3887" s="27" t="n"/>
      <c r="S3887" s="27" t="n"/>
      <c r="T3887" s="27" t="n"/>
    </row>
    <row r="3888" ht="13.8" customFormat="1" customHeight="1" s="70">
      <c r="M3888" s="27" t="n"/>
      <c r="N3888" s="27" t="n"/>
      <c r="O3888" s="27" t="n"/>
      <c r="P3888" s="27" t="n"/>
      <c r="Q3888" s="27" t="n"/>
      <c r="R3888" s="27" t="n"/>
      <c r="S3888" s="27" t="n"/>
      <c r="T3888" s="27" t="n"/>
    </row>
    <row r="3889" ht="13.8" customFormat="1" customHeight="1" s="70">
      <c r="M3889" s="27" t="n"/>
      <c r="N3889" s="27" t="n"/>
      <c r="O3889" s="27" t="n"/>
      <c r="P3889" s="27" t="n"/>
      <c r="Q3889" s="27" t="n"/>
      <c r="R3889" s="27" t="n"/>
      <c r="S3889" s="27" t="n"/>
      <c r="T3889" s="27" t="n"/>
    </row>
    <row r="3890" ht="13.8" customFormat="1" customHeight="1" s="70">
      <c r="M3890" s="27" t="n"/>
      <c r="N3890" s="27" t="n"/>
      <c r="O3890" s="27" t="n"/>
      <c r="P3890" s="27" t="n"/>
      <c r="Q3890" s="27" t="n"/>
      <c r="R3890" s="27" t="n"/>
      <c r="S3890" s="27" t="n"/>
      <c r="T3890" s="27" t="n"/>
    </row>
    <row r="3891" ht="13.8" customFormat="1" customHeight="1" s="70">
      <c r="M3891" s="27" t="n"/>
      <c r="N3891" s="27" t="n"/>
      <c r="O3891" s="27" t="n"/>
      <c r="P3891" s="27" t="n"/>
      <c r="Q3891" s="27" t="n"/>
      <c r="R3891" s="27" t="n"/>
      <c r="S3891" s="27" t="n"/>
      <c r="T3891" s="27" t="n"/>
    </row>
    <row r="3892" ht="13.8" customFormat="1" customHeight="1" s="70">
      <c r="M3892" s="27" t="n"/>
      <c r="N3892" s="27" t="n"/>
      <c r="O3892" s="27" t="n"/>
      <c r="P3892" s="27" t="n"/>
      <c r="Q3892" s="27" t="n"/>
      <c r="R3892" s="27" t="n"/>
      <c r="S3892" s="27" t="n"/>
      <c r="T3892" s="27" t="n"/>
    </row>
    <row r="3893" ht="13.8" customFormat="1" customHeight="1" s="70">
      <c r="M3893" s="27" t="n"/>
      <c r="N3893" s="27" t="n"/>
      <c r="O3893" s="27" t="n"/>
      <c r="P3893" s="27" t="n"/>
      <c r="Q3893" s="27" t="n"/>
      <c r="R3893" s="27" t="n"/>
      <c r="S3893" s="27" t="n"/>
      <c r="T3893" s="27" t="n"/>
    </row>
    <row r="3894" ht="13.8" customFormat="1" customHeight="1" s="70">
      <c r="M3894" s="27" t="n"/>
      <c r="N3894" s="27" t="n"/>
      <c r="O3894" s="27" t="n"/>
      <c r="P3894" s="27" t="n"/>
      <c r="Q3894" s="27" t="n"/>
      <c r="R3894" s="27" t="n"/>
      <c r="S3894" s="27" t="n"/>
      <c r="T3894" s="27" t="n"/>
    </row>
    <row r="3895" ht="13.8" customFormat="1" customHeight="1" s="70">
      <c r="M3895" s="27" t="n"/>
      <c r="N3895" s="27" t="n"/>
      <c r="O3895" s="27" t="n"/>
      <c r="P3895" s="27" t="n"/>
      <c r="Q3895" s="27" t="n"/>
      <c r="R3895" s="27" t="n"/>
      <c r="S3895" s="27" t="n"/>
      <c r="T3895" s="27" t="n"/>
    </row>
    <row r="3896" ht="13.8" customFormat="1" customHeight="1" s="70">
      <c r="M3896" s="27" t="n"/>
      <c r="N3896" s="27" t="n"/>
      <c r="O3896" s="27" t="n"/>
      <c r="P3896" s="27" t="n"/>
      <c r="Q3896" s="27" t="n"/>
      <c r="R3896" s="27" t="n"/>
      <c r="S3896" s="27" t="n"/>
      <c r="T3896" s="27" t="n"/>
    </row>
    <row r="3897" ht="13.8" customFormat="1" customHeight="1" s="70">
      <c r="M3897" s="27" t="n"/>
      <c r="N3897" s="27" t="n"/>
      <c r="O3897" s="27" t="n"/>
      <c r="P3897" s="27" t="n"/>
      <c r="Q3897" s="27" t="n"/>
      <c r="R3897" s="27" t="n"/>
      <c r="S3897" s="27" t="n"/>
      <c r="T3897" s="27" t="n"/>
    </row>
    <row r="3898" ht="13.8" customFormat="1" customHeight="1" s="70">
      <c r="M3898" s="27" t="n"/>
      <c r="N3898" s="27" t="n"/>
      <c r="O3898" s="27" t="n"/>
      <c r="P3898" s="27" t="n"/>
      <c r="Q3898" s="27" t="n"/>
      <c r="R3898" s="27" t="n"/>
      <c r="S3898" s="27" t="n"/>
      <c r="T3898" s="27" t="n"/>
    </row>
    <row r="3899" ht="13.8" customFormat="1" customHeight="1" s="70">
      <c r="M3899" s="27" t="n"/>
      <c r="N3899" s="27" t="n"/>
      <c r="O3899" s="27" t="n"/>
      <c r="P3899" s="27" t="n"/>
      <c r="Q3899" s="27" t="n"/>
      <c r="R3899" s="27" t="n"/>
      <c r="S3899" s="27" t="n"/>
      <c r="T3899" s="27" t="n"/>
    </row>
    <row r="3900" ht="13.8" customFormat="1" customHeight="1" s="70">
      <c r="M3900" s="27" t="n"/>
      <c r="N3900" s="27" t="n"/>
      <c r="O3900" s="27" t="n"/>
      <c r="P3900" s="27" t="n"/>
      <c r="Q3900" s="27" t="n"/>
      <c r="R3900" s="27" t="n"/>
      <c r="S3900" s="27" t="n"/>
      <c r="T3900" s="27" t="n"/>
    </row>
    <row r="3901" ht="13.8" customFormat="1" customHeight="1" s="70">
      <c r="M3901" s="27" t="n"/>
      <c r="N3901" s="27" t="n"/>
      <c r="O3901" s="27" t="n"/>
      <c r="P3901" s="27" t="n"/>
      <c r="Q3901" s="27" t="n"/>
      <c r="R3901" s="27" t="n"/>
      <c r="S3901" s="27" t="n"/>
      <c r="T3901" s="27" t="n"/>
    </row>
    <row r="3902" ht="13.8" customFormat="1" customHeight="1" s="70">
      <c r="M3902" s="27" t="n"/>
      <c r="N3902" s="27" t="n"/>
      <c r="O3902" s="27" t="n"/>
      <c r="P3902" s="27" t="n"/>
      <c r="Q3902" s="27" t="n"/>
      <c r="R3902" s="27" t="n"/>
      <c r="S3902" s="27" t="n"/>
      <c r="T3902" s="27" t="n"/>
    </row>
    <row r="3903" ht="13.8" customFormat="1" customHeight="1" s="70">
      <c r="M3903" s="27" t="n"/>
      <c r="N3903" s="27" t="n"/>
      <c r="O3903" s="27" t="n"/>
      <c r="P3903" s="27" t="n"/>
      <c r="Q3903" s="27" t="n"/>
      <c r="R3903" s="27" t="n"/>
      <c r="S3903" s="27" t="n"/>
      <c r="T3903" s="27" t="n"/>
    </row>
    <row r="3904" ht="13.8" customFormat="1" customHeight="1" s="70">
      <c r="M3904" s="27" t="n"/>
      <c r="N3904" s="27" t="n"/>
      <c r="O3904" s="27" t="n"/>
      <c r="P3904" s="27" t="n"/>
      <c r="Q3904" s="27" t="n"/>
      <c r="R3904" s="27" t="n"/>
      <c r="S3904" s="27" t="n"/>
      <c r="T3904" s="27" t="n"/>
    </row>
    <row r="3905" ht="13.8" customFormat="1" customHeight="1" s="70">
      <c r="M3905" s="27" t="n"/>
      <c r="N3905" s="27" t="n"/>
      <c r="O3905" s="27" t="n"/>
      <c r="P3905" s="27" t="n"/>
      <c r="Q3905" s="27" t="n"/>
      <c r="R3905" s="27" t="n"/>
      <c r="S3905" s="27" t="n"/>
      <c r="T3905" s="27" t="n"/>
    </row>
    <row r="3906" ht="13.8" customFormat="1" customHeight="1" s="70">
      <c r="M3906" s="27" t="n"/>
      <c r="N3906" s="27" t="n"/>
      <c r="O3906" s="27" t="n"/>
      <c r="P3906" s="27" t="n"/>
      <c r="Q3906" s="27" t="n"/>
      <c r="R3906" s="27" t="n"/>
      <c r="S3906" s="27" t="n"/>
      <c r="T3906" s="27" t="n"/>
    </row>
    <row r="3907" ht="13.8" customFormat="1" customHeight="1" s="70">
      <c r="M3907" s="27" t="n"/>
      <c r="N3907" s="27" t="n"/>
      <c r="O3907" s="27" t="n"/>
      <c r="P3907" s="27" t="n"/>
      <c r="Q3907" s="27" t="n"/>
      <c r="R3907" s="27" t="n"/>
      <c r="S3907" s="27" t="n"/>
      <c r="T3907" s="27" t="n"/>
    </row>
    <row r="3908" ht="13.8" customFormat="1" customHeight="1" s="70">
      <c r="M3908" s="27" t="n"/>
      <c r="N3908" s="27" t="n"/>
      <c r="O3908" s="27" t="n"/>
      <c r="P3908" s="27" t="n"/>
      <c r="Q3908" s="27" t="n"/>
      <c r="R3908" s="27" t="n"/>
      <c r="S3908" s="27" t="n"/>
      <c r="T3908" s="27" t="n"/>
    </row>
    <row r="3909" ht="13.8" customFormat="1" customHeight="1" s="70">
      <c r="M3909" s="27" t="n"/>
      <c r="N3909" s="27" t="n"/>
      <c r="O3909" s="27" t="n"/>
      <c r="P3909" s="27" t="n"/>
      <c r="Q3909" s="27" t="n"/>
      <c r="R3909" s="27" t="n"/>
      <c r="S3909" s="27" t="n"/>
      <c r="T3909" s="27" t="n"/>
    </row>
    <row r="3910" ht="13.8" customFormat="1" customHeight="1" s="70">
      <c r="M3910" s="27" t="n"/>
      <c r="N3910" s="27" t="n"/>
      <c r="O3910" s="27" t="n"/>
      <c r="P3910" s="27" t="n"/>
      <c r="Q3910" s="27" t="n"/>
      <c r="R3910" s="27" t="n"/>
      <c r="S3910" s="27" t="n"/>
      <c r="T3910" s="27" t="n"/>
    </row>
    <row r="3911" ht="13.8" customFormat="1" customHeight="1" s="70">
      <c r="M3911" s="27" t="n"/>
      <c r="N3911" s="27" t="n"/>
      <c r="O3911" s="27" t="n"/>
      <c r="P3911" s="27" t="n"/>
      <c r="Q3911" s="27" t="n"/>
      <c r="R3911" s="27" t="n"/>
      <c r="S3911" s="27" t="n"/>
      <c r="T3911" s="27" t="n"/>
    </row>
    <row r="3912" ht="13.8" customFormat="1" customHeight="1" s="70">
      <c r="M3912" s="27" t="n"/>
      <c r="N3912" s="27" t="n"/>
      <c r="O3912" s="27" t="n"/>
      <c r="P3912" s="27" t="n"/>
      <c r="Q3912" s="27" t="n"/>
      <c r="R3912" s="27" t="n"/>
      <c r="S3912" s="27" t="n"/>
      <c r="T3912" s="27" t="n"/>
    </row>
    <row r="3913" ht="13.8" customFormat="1" customHeight="1" s="70">
      <c r="M3913" s="27" t="n"/>
      <c r="N3913" s="27" t="n"/>
      <c r="O3913" s="27" t="n"/>
      <c r="P3913" s="27" t="n"/>
      <c r="Q3913" s="27" t="n"/>
      <c r="R3913" s="27" t="n"/>
      <c r="S3913" s="27" t="n"/>
      <c r="T3913" s="27" t="n"/>
    </row>
    <row r="3914" ht="13.8" customFormat="1" customHeight="1" s="70">
      <c r="M3914" s="27" t="n"/>
      <c r="N3914" s="27" t="n"/>
      <c r="O3914" s="27" t="n"/>
      <c r="P3914" s="27" t="n"/>
      <c r="Q3914" s="27" t="n"/>
      <c r="R3914" s="27" t="n"/>
      <c r="S3914" s="27" t="n"/>
      <c r="T3914" s="27" t="n"/>
    </row>
    <row r="3915" ht="13.8" customFormat="1" customHeight="1" s="70">
      <c r="M3915" s="27" t="n"/>
      <c r="N3915" s="27" t="n"/>
      <c r="O3915" s="27" t="n"/>
      <c r="P3915" s="27" t="n"/>
      <c r="Q3915" s="27" t="n"/>
      <c r="R3915" s="27" t="n"/>
      <c r="S3915" s="27" t="n"/>
      <c r="T3915" s="27" t="n"/>
    </row>
    <row r="3916" ht="13.8" customFormat="1" customHeight="1" s="70">
      <c r="M3916" s="27" t="n"/>
      <c r="N3916" s="27" t="n"/>
      <c r="O3916" s="27" t="n"/>
      <c r="P3916" s="27" t="n"/>
      <c r="Q3916" s="27" t="n"/>
      <c r="R3916" s="27" t="n"/>
      <c r="S3916" s="27" t="n"/>
      <c r="T3916" s="27" t="n"/>
    </row>
    <row r="3917" ht="13.8" customFormat="1" customHeight="1" s="70">
      <c r="M3917" s="27" t="n"/>
      <c r="N3917" s="27" t="n"/>
      <c r="O3917" s="27" t="n"/>
      <c r="P3917" s="27" t="n"/>
      <c r="Q3917" s="27" t="n"/>
      <c r="R3917" s="27" t="n"/>
      <c r="S3917" s="27" t="n"/>
      <c r="T3917" s="27" t="n"/>
    </row>
    <row r="3918" ht="13.8" customFormat="1" customHeight="1" s="70">
      <c r="M3918" s="27" t="n"/>
      <c r="N3918" s="27" t="n"/>
      <c r="O3918" s="27" t="n"/>
      <c r="P3918" s="27" t="n"/>
      <c r="Q3918" s="27" t="n"/>
      <c r="R3918" s="27" t="n"/>
      <c r="S3918" s="27" t="n"/>
      <c r="T3918" s="27" t="n"/>
    </row>
    <row r="3919" ht="13.8" customFormat="1" customHeight="1" s="70">
      <c r="M3919" s="27" t="n"/>
      <c r="N3919" s="27" t="n"/>
      <c r="O3919" s="27" t="n"/>
      <c r="P3919" s="27" t="n"/>
      <c r="Q3919" s="27" t="n"/>
      <c r="R3919" s="27" t="n"/>
      <c r="S3919" s="27" t="n"/>
      <c r="T3919" s="27" t="n"/>
    </row>
    <row r="3920" ht="13.8" customFormat="1" customHeight="1" s="70">
      <c r="M3920" s="27" t="n"/>
      <c r="N3920" s="27" t="n"/>
      <c r="O3920" s="27" t="n"/>
      <c r="P3920" s="27" t="n"/>
      <c r="Q3920" s="27" t="n"/>
      <c r="R3920" s="27" t="n"/>
      <c r="S3920" s="27" t="n"/>
      <c r="T3920" s="27" t="n"/>
    </row>
    <row r="3921" ht="13.8" customFormat="1" customHeight="1" s="70">
      <c r="M3921" s="27" t="n"/>
      <c r="N3921" s="27" t="n"/>
      <c r="O3921" s="27" t="n"/>
      <c r="P3921" s="27" t="n"/>
      <c r="Q3921" s="27" t="n"/>
      <c r="R3921" s="27" t="n"/>
      <c r="S3921" s="27" t="n"/>
      <c r="T3921" s="27" t="n"/>
    </row>
    <row r="3922" ht="13.8" customFormat="1" customHeight="1" s="70">
      <c r="M3922" s="27" t="n"/>
      <c r="N3922" s="27" t="n"/>
      <c r="O3922" s="27" t="n"/>
      <c r="P3922" s="27" t="n"/>
      <c r="Q3922" s="27" t="n"/>
      <c r="R3922" s="27" t="n"/>
      <c r="S3922" s="27" t="n"/>
      <c r="T3922" s="27" t="n"/>
    </row>
    <row r="3923" ht="13.8" customFormat="1" customHeight="1" s="70">
      <c r="M3923" s="27" t="n"/>
      <c r="N3923" s="27" t="n"/>
      <c r="O3923" s="27" t="n"/>
      <c r="P3923" s="27" t="n"/>
      <c r="Q3923" s="27" t="n"/>
      <c r="R3923" s="27" t="n"/>
      <c r="S3923" s="27" t="n"/>
      <c r="T3923" s="27" t="n"/>
    </row>
    <row r="3924" ht="13.8" customFormat="1" customHeight="1" s="70">
      <c r="M3924" s="27" t="n"/>
      <c r="N3924" s="27" t="n"/>
      <c r="O3924" s="27" t="n"/>
      <c r="P3924" s="27" t="n"/>
      <c r="Q3924" s="27" t="n"/>
      <c r="R3924" s="27" t="n"/>
      <c r="S3924" s="27" t="n"/>
      <c r="T3924" s="27" t="n"/>
    </row>
    <row r="3925" ht="13.8" customFormat="1" customHeight="1" s="70">
      <c r="M3925" s="27" t="n"/>
      <c r="N3925" s="27" t="n"/>
      <c r="O3925" s="27" t="n"/>
      <c r="P3925" s="27" t="n"/>
      <c r="Q3925" s="27" t="n"/>
      <c r="R3925" s="27" t="n"/>
      <c r="S3925" s="27" t="n"/>
      <c r="T3925" s="27" t="n"/>
    </row>
    <row r="3926" ht="13.8" customFormat="1" customHeight="1" s="70">
      <c r="M3926" s="27" t="n"/>
      <c r="N3926" s="27" t="n"/>
      <c r="O3926" s="27" t="n"/>
      <c r="P3926" s="27" t="n"/>
      <c r="Q3926" s="27" t="n"/>
      <c r="R3926" s="27" t="n"/>
      <c r="S3926" s="27" t="n"/>
      <c r="T3926" s="27" t="n"/>
    </row>
    <row r="3927" ht="13.8" customFormat="1" customHeight="1" s="70">
      <c r="M3927" s="27" t="n"/>
      <c r="N3927" s="27" t="n"/>
      <c r="O3927" s="27" t="n"/>
      <c r="P3927" s="27" t="n"/>
      <c r="Q3927" s="27" t="n"/>
      <c r="R3927" s="27" t="n"/>
      <c r="S3927" s="27" t="n"/>
      <c r="T3927" s="27" t="n"/>
    </row>
    <row r="3928" ht="13.8" customFormat="1" customHeight="1" s="70">
      <c r="M3928" s="27" t="n"/>
      <c r="N3928" s="27" t="n"/>
      <c r="O3928" s="27" t="n"/>
      <c r="P3928" s="27" t="n"/>
      <c r="Q3928" s="27" t="n"/>
      <c r="R3928" s="27" t="n"/>
      <c r="S3928" s="27" t="n"/>
      <c r="T3928" s="27" t="n"/>
    </row>
    <row r="3929" ht="13.8" customFormat="1" customHeight="1" s="70">
      <c r="M3929" s="27" t="n"/>
      <c r="N3929" s="27" t="n"/>
      <c r="O3929" s="27" t="n"/>
      <c r="P3929" s="27" t="n"/>
      <c r="Q3929" s="27" t="n"/>
      <c r="R3929" s="27" t="n"/>
      <c r="S3929" s="27" t="n"/>
      <c r="T3929" s="27" t="n"/>
    </row>
    <row r="3930" ht="13.8" customFormat="1" customHeight="1" s="70">
      <c r="M3930" s="27" t="n"/>
      <c r="N3930" s="27" t="n"/>
      <c r="O3930" s="27" t="n"/>
      <c r="P3930" s="27" t="n"/>
      <c r="Q3930" s="27" t="n"/>
      <c r="R3930" s="27" t="n"/>
      <c r="S3930" s="27" t="n"/>
      <c r="T3930" s="27" t="n"/>
    </row>
    <row r="3931" ht="13.8" customFormat="1" customHeight="1" s="70">
      <c r="M3931" s="27" t="n"/>
      <c r="N3931" s="27" t="n"/>
      <c r="O3931" s="27" t="n"/>
      <c r="P3931" s="27" t="n"/>
      <c r="Q3931" s="27" t="n"/>
      <c r="R3931" s="27" t="n"/>
      <c r="S3931" s="27" t="n"/>
      <c r="T3931" s="27" t="n"/>
    </row>
    <row r="3932" ht="13.8" customFormat="1" customHeight="1" s="70">
      <c r="M3932" s="27" t="n"/>
      <c r="N3932" s="27" t="n"/>
      <c r="O3932" s="27" t="n"/>
      <c r="P3932" s="27" t="n"/>
      <c r="Q3932" s="27" t="n"/>
      <c r="R3932" s="27" t="n"/>
      <c r="S3932" s="27" t="n"/>
      <c r="T3932" s="27" t="n"/>
    </row>
    <row r="3933" ht="13.8" customFormat="1" customHeight="1" s="70">
      <c r="M3933" s="27" t="n"/>
      <c r="N3933" s="27" t="n"/>
      <c r="O3933" s="27" t="n"/>
      <c r="P3933" s="27" t="n"/>
      <c r="Q3933" s="27" t="n"/>
      <c r="R3933" s="27" t="n"/>
      <c r="S3933" s="27" t="n"/>
      <c r="T3933" s="27" t="n"/>
    </row>
    <row r="3934" ht="13.8" customFormat="1" customHeight="1" s="70">
      <c r="M3934" s="27" t="n"/>
      <c r="N3934" s="27" t="n"/>
      <c r="O3934" s="27" t="n"/>
      <c r="P3934" s="27" t="n"/>
      <c r="Q3934" s="27" t="n"/>
      <c r="R3934" s="27" t="n"/>
      <c r="S3934" s="27" t="n"/>
      <c r="T3934" s="27" t="n"/>
    </row>
    <row r="3935" ht="13.8" customFormat="1" customHeight="1" s="70">
      <c r="M3935" s="27" t="n"/>
      <c r="N3935" s="27" t="n"/>
      <c r="O3935" s="27" t="n"/>
      <c r="P3935" s="27" t="n"/>
      <c r="Q3935" s="27" t="n"/>
      <c r="R3935" s="27" t="n"/>
      <c r="S3935" s="27" t="n"/>
      <c r="T3935" s="27" t="n"/>
    </row>
    <row r="3936" ht="13.8" customFormat="1" customHeight="1" s="70">
      <c r="M3936" s="27" t="n"/>
      <c r="N3936" s="27" t="n"/>
      <c r="O3936" s="27" t="n"/>
      <c r="P3936" s="27" t="n"/>
      <c r="Q3936" s="27" t="n"/>
      <c r="R3936" s="27" t="n"/>
      <c r="S3936" s="27" t="n"/>
      <c r="T3936" s="27" t="n"/>
    </row>
    <row r="3937" ht="13.8" customFormat="1" customHeight="1" s="70">
      <c r="M3937" s="27" t="n"/>
      <c r="N3937" s="27" t="n"/>
      <c r="O3937" s="27" t="n"/>
      <c r="P3937" s="27" t="n"/>
      <c r="Q3937" s="27" t="n"/>
      <c r="R3937" s="27" t="n"/>
      <c r="S3937" s="27" t="n"/>
      <c r="T3937" s="27" t="n"/>
    </row>
    <row r="3938" ht="13.8" customFormat="1" customHeight="1" s="70">
      <c r="M3938" s="27" t="n"/>
      <c r="N3938" s="27" t="n"/>
      <c r="O3938" s="27" t="n"/>
      <c r="P3938" s="27" t="n"/>
      <c r="Q3938" s="27" t="n"/>
      <c r="R3938" s="27" t="n"/>
      <c r="S3938" s="27" t="n"/>
      <c r="T3938" s="27" t="n"/>
    </row>
    <row r="3939" ht="13.8" customFormat="1" customHeight="1" s="70">
      <c r="M3939" s="27" t="n"/>
      <c r="N3939" s="27" t="n"/>
      <c r="O3939" s="27" t="n"/>
      <c r="P3939" s="27" t="n"/>
      <c r="Q3939" s="27" t="n"/>
      <c r="R3939" s="27" t="n"/>
      <c r="S3939" s="27" t="n"/>
      <c r="T3939" s="27" t="n"/>
    </row>
    <row r="3940" ht="13.8" customFormat="1" customHeight="1" s="70">
      <c r="M3940" s="27" t="n"/>
      <c r="N3940" s="27" t="n"/>
      <c r="O3940" s="27" t="n"/>
      <c r="P3940" s="27" t="n"/>
      <c r="Q3940" s="27" t="n"/>
      <c r="R3940" s="27" t="n"/>
      <c r="S3940" s="27" t="n"/>
      <c r="T3940" s="27" t="n"/>
    </row>
    <row r="3941" ht="13.8" customFormat="1" customHeight="1" s="70">
      <c r="M3941" s="27" t="n"/>
      <c r="N3941" s="27" t="n"/>
      <c r="O3941" s="27" t="n"/>
      <c r="P3941" s="27" t="n"/>
      <c r="Q3941" s="27" t="n"/>
      <c r="R3941" s="27" t="n"/>
      <c r="S3941" s="27" t="n"/>
      <c r="T3941" s="27" t="n"/>
    </row>
    <row r="3942" ht="13.8" customFormat="1" customHeight="1" s="70">
      <c r="M3942" s="27" t="n"/>
      <c r="N3942" s="27" t="n"/>
      <c r="O3942" s="27" t="n"/>
      <c r="P3942" s="27" t="n"/>
      <c r="Q3942" s="27" t="n"/>
      <c r="R3942" s="27" t="n"/>
      <c r="S3942" s="27" t="n"/>
      <c r="T3942" s="27" t="n"/>
    </row>
    <row r="3943" ht="13.8" customFormat="1" customHeight="1" s="70">
      <c r="M3943" s="27" t="n"/>
      <c r="N3943" s="27" t="n"/>
      <c r="O3943" s="27" t="n"/>
      <c r="P3943" s="27" t="n"/>
      <c r="Q3943" s="27" t="n"/>
      <c r="R3943" s="27" t="n"/>
      <c r="S3943" s="27" t="n"/>
      <c r="T3943" s="27" t="n"/>
    </row>
    <row r="3944" ht="13.8" customFormat="1" customHeight="1" s="70">
      <c r="M3944" s="27" t="n"/>
      <c r="N3944" s="27" t="n"/>
      <c r="O3944" s="27" t="n"/>
      <c r="P3944" s="27" t="n"/>
      <c r="Q3944" s="27" t="n"/>
      <c r="R3944" s="27" t="n"/>
      <c r="S3944" s="27" t="n"/>
      <c r="T3944" s="27" t="n"/>
    </row>
    <row r="3945" ht="13.8" customFormat="1" customHeight="1" s="70">
      <c r="M3945" s="27" t="n"/>
      <c r="N3945" s="27" t="n"/>
      <c r="O3945" s="27" t="n"/>
      <c r="P3945" s="27" t="n"/>
      <c r="Q3945" s="27" t="n"/>
      <c r="R3945" s="27" t="n"/>
      <c r="S3945" s="27" t="n"/>
      <c r="T3945" s="27" t="n"/>
    </row>
    <row r="3946" ht="13.8" customFormat="1" customHeight="1" s="70">
      <c r="M3946" s="27" t="n"/>
      <c r="N3946" s="27" t="n"/>
      <c r="O3946" s="27" t="n"/>
      <c r="P3946" s="27" t="n"/>
      <c r="Q3946" s="27" t="n"/>
      <c r="R3946" s="27" t="n"/>
      <c r="S3946" s="27" t="n"/>
      <c r="T3946" s="27" t="n"/>
    </row>
    <row r="3947" ht="13.8" customFormat="1" customHeight="1" s="70">
      <c r="M3947" s="27" t="n"/>
      <c r="N3947" s="27" t="n"/>
      <c r="O3947" s="27" t="n"/>
      <c r="P3947" s="27" t="n"/>
      <c r="Q3947" s="27" t="n"/>
      <c r="R3947" s="27" t="n"/>
      <c r="S3947" s="27" t="n"/>
      <c r="T3947" s="27" t="n"/>
    </row>
    <row r="3948" ht="13.8" customFormat="1" customHeight="1" s="70">
      <c r="M3948" s="27" t="n"/>
      <c r="N3948" s="27" t="n"/>
      <c r="O3948" s="27" t="n"/>
      <c r="P3948" s="27" t="n"/>
      <c r="Q3948" s="27" t="n"/>
      <c r="R3948" s="27" t="n"/>
      <c r="S3948" s="27" t="n"/>
      <c r="T3948" s="27" t="n"/>
    </row>
    <row r="3949" ht="13.8" customFormat="1" customHeight="1" s="70">
      <c r="M3949" s="27" t="n"/>
      <c r="N3949" s="27" t="n"/>
      <c r="O3949" s="27" t="n"/>
      <c r="P3949" s="27" t="n"/>
      <c r="Q3949" s="27" t="n"/>
      <c r="R3949" s="27" t="n"/>
      <c r="S3949" s="27" t="n"/>
      <c r="T3949" s="27" t="n"/>
    </row>
    <row r="3950" ht="13.8" customFormat="1" customHeight="1" s="70">
      <c r="M3950" s="27" t="n"/>
      <c r="N3950" s="27" t="n"/>
      <c r="O3950" s="27" t="n"/>
      <c r="P3950" s="27" t="n"/>
      <c r="Q3950" s="27" t="n"/>
      <c r="R3950" s="27" t="n"/>
      <c r="S3950" s="27" t="n"/>
      <c r="T3950" s="27" t="n"/>
    </row>
    <row r="3951" ht="13.8" customFormat="1" customHeight="1" s="70">
      <c r="M3951" s="27" t="n"/>
      <c r="N3951" s="27" t="n"/>
      <c r="O3951" s="27" t="n"/>
      <c r="P3951" s="27" t="n"/>
      <c r="Q3951" s="27" t="n"/>
      <c r="R3951" s="27" t="n"/>
      <c r="S3951" s="27" t="n"/>
      <c r="T3951" s="27" t="n"/>
    </row>
    <row r="3952" ht="13.8" customFormat="1" customHeight="1" s="70">
      <c r="M3952" s="27" t="n"/>
      <c r="N3952" s="27" t="n"/>
      <c r="O3952" s="27" t="n"/>
      <c r="P3952" s="27" t="n"/>
      <c r="Q3952" s="27" t="n"/>
      <c r="R3952" s="27" t="n"/>
      <c r="S3952" s="27" t="n"/>
      <c r="T3952" s="27" t="n"/>
    </row>
    <row r="3953" ht="13.8" customFormat="1" customHeight="1" s="70">
      <c r="M3953" s="27" t="n"/>
      <c r="N3953" s="27" t="n"/>
      <c r="O3953" s="27" t="n"/>
      <c r="P3953" s="27" t="n"/>
      <c r="Q3953" s="27" t="n"/>
      <c r="R3953" s="27" t="n"/>
      <c r="S3953" s="27" t="n"/>
      <c r="T3953" s="27" t="n"/>
    </row>
    <row r="3954" ht="13.8" customFormat="1" customHeight="1" s="70">
      <c r="M3954" s="27" t="n"/>
      <c r="N3954" s="27" t="n"/>
      <c r="O3954" s="27" t="n"/>
      <c r="P3954" s="27" t="n"/>
      <c r="Q3954" s="27" t="n"/>
      <c r="R3954" s="27" t="n"/>
      <c r="S3954" s="27" t="n"/>
      <c r="T3954" s="27" t="n"/>
    </row>
    <row r="3955" ht="13.8" customFormat="1" customHeight="1" s="70">
      <c r="M3955" s="27" t="n"/>
      <c r="N3955" s="27" t="n"/>
      <c r="O3955" s="27" t="n"/>
      <c r="P3955" s="27" t="n"/>
      <c r="Q3955" s="27" t="n"/>
      <c r="R3955" s="27" t="n"/>
      <c r="S3955" s="27" t="n"/>
      <c r="T3955" s="27" t="n"/>
    </row>
    <row r="3956" ht="13.8" customFormat="1" customHeight="1" s="70">
      <c r="M3956" s="27" t="n"/>
      <c r="N3956" s="27" t="n"/>
      <c r="O3956" s="27" t="n"/>
      <c r="P3956" s="27" t="n"/>
      <c r="Q3956" s="27" t="n"/>
      <c r="R3956" s="27" t="n"/>
      <c r="S3956" s="27" t="n"/>
      <c r="T3956" s="27" t="n"/>
    </row>
    <row r="3957" ht="13.8" customFormat="1" customHeight="1" s="70">
      <c r="M3957" s="27" t="n"/>
      <c r="N3957" s="27" t="n"/>
      <c r="O3957" s="27" t="n"/>
      <c r="P3957" s="27" t="n"/>
      <c r="Q3957" s="27" t="n"/>
      <c r="R3957" s="27" t="n"/>
      <c r="S3957" s="27" t="n"/>
      <c r="T3957" s="27" t="n"/>
    </row>
    <row r="3958" ht="13.8" customFormat="1" customHeight="1" s="70">
      <c r="M3958" s="27" t="n"/>
      <c r="N3958" s="27" t="n"/>
      <c r="O3958" s="27" t="n"/>
      <c r="P3958" s="27" t="n"/>
      <c r="Q3958" s="27" t="n"/>
      <c r="R3958" s="27" t="n"/>
      <c r="S3958" s="27" t="n"/>
      <c r="T3958" s="27" t="n"/>
    </row>
    <row r="3959" ht="13.8" customFormat="1" customHeight="1" s="70">
      <c r="M3959" s="27" t="n"/>
      <c r="N3959" s="27" t="n"/>
      <c r="O3959" s="27" t="n"/>
      <c r="P3959" s="27" t="n"/>
      <c r="Q3959" s="27" t="n"/>
      <c r="R3959" s="27" t="n"/>
      <c r="S3959" s="27" t="n"/>
      <c r="T3959" s="27" t="n"/>
    </row>
    <row r="3960" ht="13.8" customFormat="1" customHeight="1" s="70">
      <c r="M3960" s="27" t="n"/>
      <c r="N3960" s="27" t="n"/>
      <c r="O3960" s="27" t="n"/>
      <c r="P3960" s="27" t="n"/>
      <c r="Q3960" s="27" t="n"/>
      <c r="R3960" s="27" t="n"/>
      <c r="S3960" s="27" t="n"/>
      <c r="T3960" s="27" t="n"/>
    </row>
    <row r="3961" ht="13.8" customFormat="1" customHeight="1" s="70">
      <c r="M3961" s="27" t="n"/>
      <c r="N3961" s="27" t="n"/>
      <c r="O3961" s="27" t="n"/>
      <c r="P3961" s="27" t="n"/>
      <c r="Q3961" s="27" t="n"/>
      <c r="R3961" s="27" t="n"/>
      <c r="S3961" s="27" t="n"/>
      <c r="T3961" s="27" t="n"/>
    </row>
    <row r="3962" ht="13.8" customFormat="1" customHeight="1" s="70">
      <c r="M3962" s="27" t="n"/>
      <c r="N3962" s="27" t="n"/>
      <c r="O3962" s="27" t="n"/>
      <c r="P3962" s="27" t="n"/>
      <c r="Q3962" s="27" t="n"/>
      <c r="R3962" s="27" t="n"/>
      <c r="S3962" s="27" t="n"/>
      <c r="T3962" s="27" t="n"/>
    </row>
    <row r="3963" ht="13.8" customFormat="1" customHeight="1" s="70">
      <c r="M3963" s="27" t="n"/>
      <c r="N3963" s="27" t="n"/>
      <c r="O3963" s="27" t="n"/>
      <c r="P3963" s="27" t="n"/>
      <c r="Q3963" s="27" t="n"/>
      <c r="R3963" s="27" t="n"/>
      <c r="S3963" s="27" t="n"/>
      <c r="T3963" s="27" t="n"/>
    </row>
    <row r="3964" ht="13.8" customFormat="1" customHeight="1" s="70">
      <c r="M3964" s="27" t="n"/>
      <c r="N3964" s="27" t="n"/>
      <c r="O3964" s="27" t="n"/>
      <c r="P3964" s="27" t="n"/>
      <c r="Q3964" s="27" t="n"/>
      <c r="R3964" s="27" t="n"/>
      <c r="S3964" s="27" t="n"/>
      <c r="T3964" s="27" t="n"/>
    </row>
    <row r="3965" ht="13.8" customFormat="1" customHeight="1" s="70">
      <c r="M3965" s="27" t="n"/>
      <c r="N3965" s="27" t="n"/>
      <c r="O3965" s="27" t="n"/>
      <c r="P3965" s="27" t="n"/>
      <c r="Q3965" s="27" t="n"/>
      <c r="R3965" s="27" t="n"/>
      <c r="S3965" s="27" t="n"/>
      <c r="T3965" s="27" t="n"/>
    </row>
    <row r="3966" ht="13.8" customFormat="1" customHeight="1" s="70">
      <c r="M3966" s="27" t="n"/>
      <c r="N3966" s="27" t="n"/>
      <c r="O3966" s="27" t="n"/>
      <c r="P3966" s="27" t="n"/>
      <c r="Q3966" s="27" t="n"/>
      <c r="R3966" s="27" t="n"/>
      <c r="S3966" s="27" t="n"/>
      <c r="T3966" s="27" t="n"/>
    </row>
    <row r="3967" ht="13.8" customFormat="1" customHeight="1" s="70">
      <c r="M3967" s="27" t="n"/>
      <c r="N3967" s="27" t="n"/>
      <c r="O3967" s="27" t="n"/>
      <c r="P3967" s="27" t="n"/>
      <c r="Q3967" s="27" t="n"/>
      <c r="R3967" s="27" t="n"/>
      <c r="S3967" s="27" t="n"/>
      <c r="T3967" s="27" t="n"/>
    </row>
    <row r="3968" ht="13.8" customFormat="1" customHeight="1" s="70">
      <c r="M3968" s="27" t="n"/>
      <c r="N3968" s="27" t="n"/>
      <c r="O3968" s="27" t="n"/>
      <c r="P3968" s="27" t="n"/>
      <c r="Q3968" s="27" t="n"/>
      <c r="R3968" s="27" t="n"/>
      <c r="S3968" s="27" t="n"/>
      <c r="T3968" s="27" t="n"/>
    </row>
    <row r="3969" ht="13.8" customFormat="1" customHeight="1" s="70">
      <c r="M3969" s="27" t="n"/>
      <c r="N3969" s="27" t="n"/>
      <c r="O3969" s="27" t="n"/>
      <c r="P3969" s="27" t="n"/>
      <c r="Q3969" s="27" t="n"/>
      <c r="R3969" s="27" t="n"/>
      <c r="S3969" s="27" t="n"/>
      <c r="T3969" s="27" t="n"/>
    </row>
    <row r="3970" ht="13.8" customFormat="1" customHeight="1" s="70">
      <c r="M3970" s="27" t="n"/>
      <c r="N3970" s="27" t="n"/>
      <c r="O3970" s="27" t="n"/>
      <c r="P3970" s="27" t="n"/>
      <c r="Q3970" s="27" t="n"/>
      <c r="R3970" s="27" t="n"/>
      <c r="S3970" s="27" t="n"/>
      <c r="T3970" s="27" t="n"/>
    </row>
    <row r="3971" ht="13.8" customFormat="1" customHeight="1" s="70">
      <c r="M3971" s="27" t="n"/>
      <c r="N3971" s="27" t="n"/>
      <c r="O3971" s="27" t="n"/>
      <c r="P3971" s="27" t="n"/>
      <c r="Q3971" s="27" t="n"/>
      <c r="R3971" s="27" t="n"/>
      <c r="S3971" s="27" t="n"/>
      <c r="T3971" s="27" t="n"/>
    </row>
    <row r="3972" ht="13.8" customFormat="1" customHeight="1" s="70">
      <c r="M3972" s="27" t="n"/>
      <c r="N3972" s="27" t="n"/>
      <c r="O3972" s="27" t="n"/>
      <c r="P3972" s="27" t="n"/>
      <c r="Q3972" s="27" t="n"/>
      <c r="R3972" s="27" t="n"/>
      <c r="S3972" s="27" t="n"/>
      <c r="T3972" s="27" t="n"/>
    </row>
    <row r="3973" ht="13.8" customFormat="1" customHeight="1" s="70">
      <c r="M3973" s="27" t="n"/>
      <c r="N3973" s="27" t="n"/>
      <c r="O3973" s="27" t="n"/>
      <c r="P3973" s="27" t="n"/>
      <c r="Q3973" s="27" t="n"/>
      <c r="R3973" s="27" t="n"/>
      <c r="S3973" s="27" t="n"/>
      <c r="T3973" s="27" t="n"/>
    </row>
    <row r="3974" ht="13.8" customFormat="1" customHeight="1" s="70">
      <c r="M3974" s="27" t="n"/>
      <c r="N3974" s="27" t="n"/>
      <c r="O3974" s="27" t="n"/>
      <c r="P3974" s="27" t="n"/>
      <c r="Q3974" s="27" t="n"/>
      <c r="R3974" s="27" t="n"/>
      <c r="S3974" s="27" t="n"/>
      <c r="T3974" s="27" t="n"/>
    </row>
    <row r="3975" ht="13.8" customFormat="1" customHeight="1" s="70">
      <c r="M3975" s="27" t="n"/>
      <c r="N3975" s="27" t="n"/>
      <c r="O3975" s="27" t="n"/>
      <c r="P3975" s="27" t="n"/>
      <c r="Q3975" s="27" t="n"/>
      <c r="R3975" s="27" t="n"/>
      <c r="S3975" s="27" t="n"/>
      <c r="T3975" s="27" t="n"/>
    </row>
    <row r="3976" ht="13.8" customFormat="1" customHeight="1" s="70">
      <c r="M3976" s="27" t="n"/>
      <c r="N3976" s="27" t="n"/>
      <c r="O3976" s="27" t="n"/>
      <c r="P3976" s="27" t="n"/>
      <c r="Q3976" s="27" t="n"/>
      <c r="R3976" s="27" t="n"/>
      <c r="S3976" s="27" t="n"/>
      <c r="T3976" s="27" t="n"/>
    </row>
    <row r="3977" ht="13.8" customFormat="1" customHeight="1" s="70">
      <c r="M3977" s="27" t="n"/>
      <c r="N3977" s="27" t="n"/>
      <c r="O3977" s="27" t="n"/>
      <c r="P3977" s="27" t="n"/>
      <c r="Q3977" s="27" t="n"/>
      <c r="R3977" s="27" t="n"/>
      <c r="S3977" s="27" t="n"/>
      <c r="T3977" s="27" t="n"/>
    </row>
    <row r="3978" ht="13.8" customFormat="1" customHeight="1" s="70">
      <c r="M3978" s="27" t="n"/>
      <c r="N3978" s="27" t="n"/>
      <c r="O3978" s="27" t="n"/>
      <c r="P3978" s="27" t="n"/>
      <c r="Q3978" s="27" t="n"/>
      <c r="R3978" s="27" t="n"/>
      <c r="S3978" s="27" t="n"/>
      <c r="T3978" s="27" t="n"/>
    </row>
    <row r="3979" ht="13.8" customFormat="1" customHeight="1" s="70">
      <c r="M3979" s="27" t="n"/>
      <c r="N3979" s="27" t="n"/>
      <c r="O3979" s="27" t="n"/>
      <c r="P3979" s="27" t="n"/>
      <c r="Q3979" s="27" t="n"/>
      <c r="R3979" s="27" t="n"/>
      <c r="S3979" s="27" t="n"/>
      <c r="T3979" s="27" t="n"/>
    </row>
    <row r="3980" ht="13.8" customFormat="1" customHeight="1" s="70">
      <c r="M3980" s="27" t="n"/>
      <c r="N3980" s="27" t="n"/>
      <c r="O3980" s="27" t="n"/>
      <c r="P3980" s="27" t="n"/>
      <c r="Q3980" s="27" t="n"/>
      <c r="R3980" s="27" t="n"/>
      <c r="S3980" s="27" t="n"/>
      <c r="T3980" s="27" t="n"/>
    </row>
    <row r="3981" ht="13.8" customFormat="1" customHeight="1" s="70">
      <c r="M3981" s="27" t="n"/>
      <c r="N3981" s="27" t="n"/>
      <c r="O3981" s="27" t="n"/>
      <c r="P3981" s="27" t="n"/>
      <c r="Q3981" s="27" t="n"/>
      <c r="R3981" s="27" t="n"/>
      <c r="S3981" s="27" t="n"/>
      <c r="T3981" s="27" t="n"/>
    </row>
    <row r="3982" ht="13.8" customFormat="1" customHeight="1" s="70">
      <c r="M3982" s="27" t="n"/>
      <c r="N3982" s="27" t="n"/>
      <c r="O3982" s="27" t="n"/>
      <c r="P3982" s="27" t="n"/>
      <c r="Q3982" s="27" t="n"/>
      <c r="R3982" s="27" t="n"/>
      <c r="S3982" s="27" t="n"/>
      <c r="T3982" s="27" t="n"/>
    </row>
    <row r="3983" ht="13.8" customFormat="1" customHeight="1" s="70">
      <c r="M3983" s="27" t="n"/>
      <c r="N3983" s="27" t="n"/>
      <c r="O3983" s="27" t="n"/>
      <c r="P3983" s="27" t="n"/>
      <c r="Q3983" s="27" t="n"/>
      <c r="R3983" s="27" t="n"/>
      <c r="S3983" s="27" t="n"/>
      <c r="T3983" s="27" t="n"/>
    </row>
    <row r="3984" ht="13.8" customFormat="1" customHeight="1" s="70">
      <c r="M3984" s="27" t="n"/>
      <c r="N3984" s="27" t="n"/>
      <c r="O3984" s="27" t="n"/>
      <c r="P3984" s="27" t="n"/>
      <c r="Q3984" s="27" t="n"/>
      <c r="R3984" s="27" t="n"/>
      <c r="S3984" s="27" t="n"/>
      <c r="T3984" s="27" t="n"/>
    </row>
    <row r="3985" ht="13.8" customFormat="1" customHeight="1" s="70">
      <c r="M3985" s="27" t="n"/>
      <c r="N3985" s="27" t="n"/>
      <c r="O3985" s="27" t="n"/>
      <c r="P3985" s="27" t="n"/>
      <c r="Q3985" s="27" t="n"/>
      <c r="R3985" s="27" t="n"/>
      <c r="S3985" s="27" t="n"/>
      <c r="T3985" s="27" t="n"/>
    </row>
    <row r="3986" ht="13.8" customFormat="1" customHeight="1" s="70">
      <c r="M3986" s="27" t="n"/>
      <c r="N3986" s="27" t="n"/>
      <c r="O3986" s="27" t="n"/>
      <c r="P3986" s="27" t="n"/>
      <c r="Q3986" s="27" t="n"/>
      <c r="R3986" s="27" t="n"/>
      <c r="S3986" s="27" t="n"/>
      <c r="T3986" s="27" t="n"/>
    </row>
    <row r="3987" ht="13.8" customFormat="1" customHeight="1" s="70">
      <c r="M3987" s="27" t="n"/>
      <c r="N3987" s="27" t="n"/>
      <c r="O3987" s="27" t="n"/>
      <c r="P3987" s="27" t="n"/>
      <c r="Q3987" s="27" t="n"/>
      <c r="R3987" s="27" t="n"/>
      <c r="S3987" s="27" t="n"/>
      <c r="T3987" s="27" t="n"/>
    </row>
    <row r="3988" ht="13.8" customFormat="1" customHeight="1" s="70">
      <c r="M3988" s="27" t="n"/>
      <c r="N3988" s="27" t="n"/>
      <c r="O3988" s="27" t="n"/>
      <c r="P3988" s="27" t="n"/>
      <c r="Q3988" s="27" t="n"/>
      <c r="R3988" s="27" t="n"/>
      <c r="S3988" s="27" t="n"/>
      <c r="T3988" s="27" t="n"/>
    </row>
    <row r="3989" ht="13.8" customFormat="1" customHeight="1" s="70">
      <c r="M3989" s="27" t="n"/>
      <c r="N3989" s="27" t="n"/>
      <c r="O3989" s="27" t="n"/>
      <c r="P3989" s="27" t="n"/>
      <c r="Q3989" s="27" t="n"/>
      <c r="R3989" s="27" t="n"/>
      <c r="S3989" s="27" t="n"/>
      <c r="T3989" s="27" t="n"/>
    </row>
    <row r="3990" ht="13.8" customFormat="1" customHeight="1" s="70">
      <c r="M3990" s="27" t="n"/>
      <c r="N3990" s="27" t="n"/>
      <c r="O3990" s="27" t="n"/>
      <c r="P3990" s="27" t="n"/>
      <c r="Q3990" s="27" t="n"/>
      <c r="R3990" s="27" t="n"/>
      <c r="S3990" s="27" t="n"/>
      <c r="T3990" s="27" t="n"/>
    </row>
    <row r="3991" ht="13.8" customFormat="1" customHeight="1" s="70">
      <c r="M3991" s="27" t="n"/>
      <c r="N3991" s="27" t="n"/>
      <c r="O3991" s="27" t="n"/>
      <c r="P3991" s="27" t="n"/>
      <c r="Q3991" s="27" t="n"/>
      <c r="R3991" s="27" t="n"/>
      <c r="S3991" s="27" t="n"/>
      <c r="T3991" s="27" t="n"/>
    </row>
    <row r="3992" ht="13.8" customFormat="1" customHeight="1" s="70">
      <c r="M3992" s="27" t="n"/>
      <c r="N3992" s="27" t="n"/>
      <c r="O3992" s="27" t="n"/>
      <c r="P3992" s="27" t="n"/>
      <c r="Q3992" s="27" t="n"/>
      <c r="R3992" s="27" t="n"/>
      <c r="S3992" s="27" t="n"/>
      <c r="T3992" s="27" t="n"/>
    </row>
    <row r="3993" ht="13.8" customFormat="1" customHeight="1" s="70">
      <c r="M3993" s="27" t="n"/>
      <c r="N3993" s="27" t="n"/>
      <c r="O3993" s="27" t="n"/>
      <c r="P3993" s="27" t="n"/>
      <c r="Q3993" s="27" t="n"/>
      <c r="R3993" s="27" t="n"/>
      <c r="S3993" s="27" t="n"/>
      <c r="T3993" s="27" t="n"/>
    </row>
    <row r="3994" ht="13.8" customFormat="1" customHeight="1" s="70">
      <c r="M3994" s="27" t="n"/>
      <c r="N3994" s="27" t="n"/>
      <c r="O3994" s="27" t="n"/>
      <c r="P3994" s="27" t="n"/>
      <c r="Q3994" s="27" t="n"/>
      <c r="R3994" s="27" t="n"/>
      <c r="S3994" s="27" t="n"/>
      <c r="T3994" s="27" t="n"/>
    </row>
    <row r="3995" ht="13.8" customFormat="1" customHeight="1" s="70">
      <c r="M3995" s="27" t="n"/>
      <c r="N3995" s="27" t="n"/>
      <c r="O3995" s="27" t="n"/>
      <c r="P3995" s="27" t="n"/>
      <c r="Q3995" s="27" t="n"/>
      <c r="R3995" s="27" t="n"/>
      <c r="S3995" s="27" t="n"/>
      <c r="T3995" s="27" t="n"/>
    </row>
    <row r="3996" ht="13.8" customFormat="1" customHeight="1" s="70">
      <c r="M3996" s="27" t="n"/>
      <c r="N3996" s="27" t="n"/>
      <c r="O3996" s="27" t="n"/>
      <c r="P3996" s="27" t="n"/>
      <c r="Q3996" s="27" t="n"/>
      <c r="R3996" s="27" t="n"/>
      <c r="S3996" s="27" t="n"/>
      <c r="T3996" s="27" t="n"/>
    </row>
    <row r="3997" ht="13.8" customFormat="1" customHeight="1" s="70">
      <c r="M3997" s="27" t="n"/>
      <c r="N3997" s="27" t="n"/>
      <c r="O3997" s="27" t="n"/>
      <c r="P3997" s="27" t="n"/>
      <c r="Q3997" s="27" t="n"/>
      <c r="R3997" s="27" t="n"/>
      <c r="S3997" s="27" t="n"/>
      <c r="T3997" s="27" t="n"/>
    </row>
    <row r="3998" ht="13.8" customFormat="1" customHeight="1" s="70">
      <c r="M3998" s="27" t="n"/>
      <c r="N3998" s="27" t="n"/>
      <c r="O3998" s="27" t="n"/>
      <c r="P3998" s="27" t="n"/>
      <c r="Q3998" s="27" t="n"/>
      <c r="R3998" s="27" t="n"/>
      <c r="S3998" s="27" t="n"/>
      <c r="T3998" s="27" t="n"/>
    </row>
    <row r="3999" ht="13.8" customFormat="1" customHeight="1" s="70">
      <c r="M3999" s="27" t="n"/>
      <c r="N3999" s="27" t="n"/>
      <c r="O3999" s="27" t="n"/>
      <c r="P3999" s="27" t="n"/>
      <c r="Q3999" s="27" t="n"/>
      <c r="R3999" s="27" t="n"/>
      <c r="S3999" s="27" t="n"/>
      <c r="T3999" s="27" t="n"/>
    </row>
    <row r="4000" ht="13.8" customFormat="1" customHeight="1" s="70">
      <c r="M4000" s="27" t="n"/>
      <c r="N4000" s="27" t="n"/>
      <c r="O4000" s="27" t="n"/>
      <c r="P4000" s="27" t="n"/>
      <c r="Q4000" s="27" t="n"/>
      <c r="R4000" s="27" t="n"/>
      <c r="S4000" s="27" t="n"/>
      <c r="T4000" s="27" t="n"/>
    </row>
    <row r="4001" ht="13.8" customFormat="1" customHeight="1" s="70">
      <c r="M4001" s="27" t="n"/>
      <c r="N4001" s="27" t="n"/>
      <c r="O4001" s="27" t="n"/>
      <c r="P4001" s="27" t="n"/>
      <c r="Q4001" s="27" t="n"/>
      <c r="R4001" s="27" t="n"/>
      <c r="S4001" s="27" t="n"/>
      <c r="T4001" s="27" t="n"/>
    </row>
    <row r="4002" ht="13.8" customFormat="1" customHeight="1" s="70">
      <c r="M4002" s="27" t="n"/>
      <c r="N4002" s="27" t="n"/>
      <c r="O4002" s="27" t="n"/>
      <c r="P4002" s="27" t="n"/>
      <c r="Q4002" s="27" t="n"/>
      <c r="R4002" s="27" t="n"/>
      <c r="S4002" s="27" t="n"/>
      <c r="T4002" s="27" t="n"/>
    </row>
    <row r="4003" ht="13.8" customFormat="1" customHeight="1" s="70">
      <c r="M4003" s="27" t="n"/>
      <c r="N4003" s="27" t="n"/>
      <c r="O4003" s="27" t="n"/>
      <c r="P4003" s="27" t="n"/>
      <c r="Q4003" s="27" t="n"/>
      <c r="R4003" s="27" t="n"/>
      <c r="S4003" s="27" t="n"/>
      <c r="T4003" s="27" t="n"/>
    </row>
    <row r="4004" ht="13.8" customFormat="1" customHeight="1" s="70">
      <c r="M4004" s="27" t="n"/>
      <c r="N4004" s="27" t="n"/>
      <c r="O4004" s="27" t="n"/>
      <c r="P4004" s="27" t="n"/>
      <c r="Q4004" s="27" t="n"/>
      <c r="R4004" s="27" t="n"/>
      <c r="S4004" s="27" t="n"/>
      <c r="T4004" s="27" t="n"/>
    </row>
    <row r="4005" ht="13.8" customFormat="1" customHeight="1" s="70">
      <c r="M4005" s="27" t="n"/>
      <c r="N4005" s="27" t="n"/>
      <c r="O4005" s="27" t="n"/>
      <c r="P4005" s="27" t="n"/>
      <c r="Q4005" s="27" t="n"/>
      <c r="R4005" s="27" t="n"/>
      <c r="S4005" s="27" t="n"/>
      <c r="T4005" s="27" t="n"/>
    </row>
    <row r="4006" ht="13.8" customFormat="1" customHeight="1" s="70">
      <c r="M4006" s="27" t="n"/>
      <c r="N4006" s="27" t="n"/>
      <c r="O4006" s="27" t="n"/>
      <c r="P4006" s="27" t="n"/>
      <c r="Q4006" s="27" t="n"/>
      <c r="R4006" s="27" t="n"/>
      <c r="S4006" s="27" t="n"/>
      <c r="T4006" s="27" t="n"/>
    </row>
    <row r="4007" ht="13.8" customFormat="1" customHeight="1" s="70">
      <c r="M4007" s="27" t="n"/>
      <c r="N4007" s="27" t="n"/>
      <c r="O4007" s="27" t="n"/>
      <c r="P4007" s="27" t="n"/>
      <c r="Q4007" s="27" t="n"/>
      <c r="R4007" s="27" t="n"/>
      <c r="S4007" s="27" t="n"/>
      <c r="T4007" s="27" t="n"/>
    </row>
    <row r="4008" ht="13.8" customFormat="1" customHeight="1" s="70">
      <c r="M4008" s="27" t="n"/>
      <c r="N4008" s="27" t="n"/>
      <c r="O4008" s="27" t="n"/>
      <c r="P4008" s="27" t="n"/>
      <c r="Q4008" s="27" t="n"/>
      <c r="R4008" s="27" t="n"/>
      <c r="S4008" s="27" t="n"/>
      <c r="T4008" s="27" t="n"/>
    </row>
    <row r="4009" ht="13.8" customFormat="1" customHeight="1" s="70">
      <c r="M4009" s="27" t="n"/>
      <c r="N4009" s="27" t="n"/>
      <c r="O4009" s="27" t="n"/>
      <c r="P4009" s="27" t="n"/>
      <c r="Q4009" s="27" t="n"/>
      <c r="R4009" s="27" t="n"/>
      <c r="S4009" s="27" t="n"/>
      <c r="T4009" s="27" t="n"/>
    </row>
    <row r="4010" ht="13.8" customFormat="1" customHeight="1" s="70">
      <c r="M4010" s="27" t="n"/>
      <c r="N4010" s="27" t="n"/>
      <c r="O4010" s="27" t="n"/>
      <c r="P4010" s="27" t="n"/>
      <c r="Q4010" s="27" t="n"/>
      <c r="R4010" s="27" t="n"/>
      <c r="S4010" s="27" t="n"/>
      <c r="T4010" s="27" t="n"/>
    </row>
    <row r="4011" ht="13.8" customFormat="1" customHeight="1" s="70">
      <c r="M4011" s="27" t="n"/>
      <c r="N4011" s="27" t="n"/>
      <c r="O4011" s="27" t="n"/>
      <c r="P4011" s="27" t="n"/>
      <c r="Q4011" s="27" t="n"/>
      <c r="R4011" s="27" t="n"/>
      <c r="S4011" s="27" t="n"/>
      <c r="T4011" s="27" t="n"/>
    </row>
    <row r="4012" ht="13.8" customFormat="1" customHeight="1" s="70">
      <c r="M4012" s="27" t="n"/>
      <c r="N4012" s="27" t="n"/>
      <c r="O4012" s="27" t="n"/>
      <c r="P4012" s="27" t="n"/>
      <c r="Q4012" s="27" t="n"/>
      <c r="R4012" s="27" t="n"/>
      <c r="S4012" s="27" t="n"/>
      <c r="T4012" s="27" t="n"/>
    </row>
    <row r="4013" ht="13.8" customFormat="1" customHeight="1" s="70">
      <c r="M4013" s="27" t="n"/>
      <c r="N4013" s="27" t="n"/>
      <c r="O4013" s="27" t="n"/>
      <c r="P4013" s="27" t="n"/>
      <c r="Q4013" s="27" t="n"/>
      <c r="R4013" s="27" t="n"/>
      <c r="S4013" s="27" t="n"/>
      <c r="T4013" s="27" t="n"/>
    </row>
    <row r="4014" ht="13.8" customFormat="1" customHeight="1" s="70">
      <c r="M4014" s="27" t="n"/>
      <c r="N4014" s="27" t="n"/>
      <c r="O4014" s="27" t="n"/>
      <c r="P4014" s="27" t="n"/>
      <c r="Q4014" s="27" t="n"/>
      <c r="R4014" s="27" t="n"/>
      <c r="S4014" s="27" t="n"/>
      <c r="T4014" s="27" t="n"/>
    </row>
    <row r="4015" ht="13.8" customFormat="1" customHeight="1" s="70">
      <c r="M4015" s="27" t="n"/>
      <c r="N4015" s="27" t="n"/>
      <c r="O4015" s="27" t="n"/>
      <c r="P4015" s="27" t="n"/>
      <c r="Q4015" s="27" t="n"/>
      <c r="R4015" s="27" t="n"/>
      <c r="S4015" s="27" t="n"/>
      <c r="T4015" s="27" t="n"/>
    </row>
    <row r="4016" ht="13.8" customFormat="1" customHeight="1" s="70">
      <c r="M4016" s="27" t="n"/>
      <c r="N4016" s="27" t="n"/>
      <c r="O4016" s="27" t="n"/>
      <c r="P4016" s="27" t="n"/>
      <c r="Q4016" s="27" t="n"/>
      <c r="R4016" s="27" t="n"/>
      <c r="S4016" s="27" t="n"/>
      <c r="T4016" s="27" t="n"/>
    </row>
    <row r="4017" ht="13.8" customFormat="1" customHeight="1" s="70">
      <c r="M4017" s="27" t="n"/>
      <c r="N4017" s="27" t="n"/>
      <c r="O4017" s="27" t="n"/>
      <c r="P4017" s="27" t="n"/>
      <c r="Q4017" s="27" t="n"/>
      <c r="R4017" s="27" t="n"/>
      <c r="S4017" s="27" t="n"/>
      <c r="T4017" s="27" t="n"/>
    </row>
    <row r="4018" ht="13.8" customFormat="1" customHeight="1" s="70">
      <c r="M4018" s="27" t="n"/>
      <c r="N4018" s="27" t="n"/>
      <c r="O4018" s="27" t="n"/>
      <c r="P4018" s="27" t="n"/>
      <c r="Q4018" s="27" t="n"/>
      <c r="R4018" s="27" t="n"/>
      <c r="S4018" s="27" t="n"/>
      <c r="T4018" s="27" t="n"/>
    </row>
    <row r="4019" ht="13.8" customFormat="1" customHeight="1" s="70">
      <c r="M4019" s="27" t="n"/>
      <c r="N4019" s="27" t="n"/>
      <c r="O4019" s="27" t="n"/>
      <c r="P4019" s="27" t="n"/>
      <c r="Q4019" s="27" t="n"/>
      <c r="R4019" s="27" t="n"/>
      <c r="S4019" s="27" t="n"/>
      <c r="T4019" s="27" t="n"/>
    </row>
    <row r="4020" ht="13.8" customFormat="1" customHeight="1" s="70">
      <c r="M4020" s="27" t="n"/>
      <c r="N4020" s="27" t="n"/>
      <c r="O4020" s="27" t="n"/>
      <c r="P4020" s="27" t="n"/>
      <c r="Q4020" s="27" t="n"/>
      <c r="R4020" s="27" t="n"/>
      <c r="S4020" s="27" t="n"/>
      <c r="T4020" s="27" t="n"/>
    </row>
    <row r="4021" ht="13.8" customFormat="1" customHeight="1" s="70">
      <c r="M4021" s="27" t="n"/>
      <c r="N4021" s="27" t="n"/>
      <c r="O4021" s="27" t="n"/>
      <c r="P4021" s="27" t="n"/>
      <c r="Q4021" s="27" t="n"/>
      <c r="R4021" s="27" t="n"/>
      <c r="S4021" s="27" t="n"/>
      <c r="T4021" s="27" t="n"/>
    </row>
    <row r="4022" ht="13.8" customFormat="1" customHeight="1" s="70">
      <c r="M4022" s="27" t="n"/>
      <c r="N4022" s="27" t="n"/>
      <c r="O4022" s="27" t="n"/>
      <c r="P4022" s="27" t="n"/>
      <c r="Q4022" s="27" t="n"/>
      <c r="R4022" s="27" t="n"/>
      <c r="S4022" s="27" t="n"/>
      <c r="T4022" s="27" t="n"/>
    </row>
    <row r="4023" ht="13.8" customFormat="1" customHeight="1" s="70">
      <c r="M4023" s="27" t="n"/>
      <c r="N4023" s="27" t="n"/>
      <c r="O4023" s="27" t="n"/>
      <c r="P4023" s="27" t="n"/>
      <c r="Q4023" s="27" t="n"/>
      <c r="R4023" s="27" t="n"/>
      <c r="S4023" s="27" t="n"/>
      <c r="T4023" s="27" t="n"/>
    </row>
    <row r="4024" ht="13.8" customFormat="1" customHeight="1" s="70">
      <c r="M4024" s="27" t="n"/>
      <c r="N4024" s="27" t="n"/>
      <c r="O4024" s="27" t="n"/>
      <c r="P4024" s="27" t="n"/>
      <c r="Q4024" s="27" t="n"/>
      <c r="R4024" s="27" t="n"/>
      <c r="S4024" s="27" t="n"/>
      <c r="T4024" s="27" t="n"/>
    </row>
    <row r="4025" ht="13.8" customFormat="1" customHeight="1" s="70">
      <c r="M4025" s="27" t="n"/>
      <c r="N4025" s="27" t="n"/>
      <c r="O4025" s="27" t="n"/>
      <c r="P4025" s="27" t="n"/>
      <c r="Q4025" s="27" t="n"/>
      <c r="R4025" s="27" t="n"/>
      <c r="S4025" s="27" t="n"/>
      <c r="T4025" s="27" t="n"/>
    </row>
    <row r="4026" ht="13.8" customFormat="1" customHeight="1" s="70">
      <c r="M4026" s="27" t="n"/>
      <c r="N4026" s="27" t="n"/>
      <c r="O4026" s="27" t="n"/>
      <c r="P4026" s="27" t="n"/>
      <c r="Q4026" s="27" t="n"/>
      <c r="R4026" s="27" t="n"/>
      <c r="S4026" s="27" t="n"/>
      <c r="T4026" s="27" t="n"/>
    </row>
    <row r="4027" ht="13.8" customFormat="1" customHeight="1" s="70">
      <c r="M4027" s="27" t="n"/>
      <c r="N4027" s="27" t="n"/>
      <c r="O4027" s="27" t="n"/>
      <c r="P4027" s="27" t="n"/>
      <c r="Q4027" s="27" t="n"/>
      <c r="R4027" s="27" t="n"/>
      <c r="S4027" s="27" t="n"/>
      <c r="T4027" s="27" t="n"/>
    </row>
    <row r="4028" ht="13.8" customFormat="1" customHeight="1" s="70">
      <c r="M4028" s="27" t="n"/>
      <c r="N4028" s="27" t="n"/>
      <c r="O4028" s="27" t="n"/>
      <c r="P4028" s="27" t="n"/>
      <c r="Q4028" s="27" t="n"/>
      <c r="R4028" s="27" t="n"/>
      <c r="S4028" s="27" t="n"/>
      <c r="T4028" s="27" t="n"/>
    </row>
    <row r="4029" ht="13.8" customFormat="1" customHeight="1" s="70">
      <c r="M4029" s="27" t="n"/>
      <c r="N4029" s="27" t="n"/>
      <c r="O4029" s="27" t="n"/>
      <c r="P4029" s="27" t="n"/>
      <c r="Q4029" s="27" t="n"/>
      <c r="R4029" s="27" t="n"/>
      <c r="S4029" s="27" t="n"/>
      <c r="T4029" s="27" t="n"/>
    </row>
    <row r="4030" ht="13.8" customFormat="1" customHeight="1" s="70">
      <c r="M4030" s="27" t="n"/>
      <c r="N4030" s="27" t="n"/>
      <c r="O4030" s="27" t="n"/>
      <c r="P4030" s="27" t="n"/>
      <c r="Q4030" s="27" t="n"/>
      <c r="R4030" s="27" t="n"/>
      <c r="S4030" s="27" t="n"/>
      <c r="T4030" s="27" t="n"/>
    </row>
    <row r="4031" ht="13.8" customFormat="1" customHeight="1" s="70">
      <c r="M4031" s="27" t="n"/>
      <c r="N4031" s="27" t="n"/>
      <c r="O4031" s="27" t="n"/>
      <c r="P4031" s="27" t="n"/>
      <c r="Q4031" s="27" t="n"/>
      <c r="R4031" s="27" t="n"/>
      <c r="S4031" s="27" t="n"/>
      <c r="T4031" s="27" t="n"/>
    </row>
    <row r="4032" ht="13.8" customFormat="1" customHeight="1" s="70">
      <c r="M4032" s="27" t="n"/>
      <c r="N4032" s="27" t="n"/>
      <c r="O4032" s="27" t="n"/>
      <c r="P4032" s="27" t="n"/>
      <c r="Q4032" s="27" t="n"/>
      <c r="R4032" s="27" t="n"/>
      <c r="S4032" s="27" t="n"/>
      <c r="T4032" s="27" t="n"/>
    </row>
    <row r="4033" ht="13.8" customFormat="1" customHeight="1" s="70">
      <c r="M4033" s="27" t="n"/>
      <c r="N4033" s="27" t="n"/>
      <c r="O4033" s="27" t="n"/>
      <c r="P4033" s="27" t="n"/>
      <c r="Q4033" s="27" t="n"/>
      <c r="R4033" s="27" t="n"/>
      <c r="S4033" s="27" t="n"/>
      <c r="T4033" s="27" t="n"/>
    </row>
    <row r="4034" ht="13.8" customFormat="1" customHeight="1" s="70">
      <c r="M4034" s="27" t="n"/>
      <c r="N4034" s="27" t="n"/>
      <c r="O4034" s="27" t="n"/>
      <c r="P4034" s="27" t="n"/>
      <c r="Q4034" s="27" t="n"/>
      <c r="R4034" s="27" t="n"/>
      <c r="S4034" s="27" t="n"/>
      <c r="T4034" s="27" t="n"/>
    </row>
    <row r="4035" ht="13.8" customFormat="1" customHeight="1" s="70">
      <c r="M4035" s="27" t="n"/>
      <c r="N4035" s="27" t="n"/>
      <c r="O4035" s="27" t="n"/>
      <c r="P4035" s="27" t="n"/>
      <c r="Q4035" s="27" t="n"/>
      <c r="R4035" s="27" t="n"/>
      <c r="S4035" s="27" t="n"/>
      <c r="T4035" s="27" t="n"/>
    </row>
    <row r="4036" ht="13.8" customFormat="1" customHeight="1" s="70">
      <c r="M4036" s="27" t="n"/>
      <c r="N4036" s="27" t="n"/>
      <c r="O4036" s="27" t="n"/>
      <c r="P4036" s="27" t="n"/>
      <c r="Q4036" s="27" t="n"/>
      <c r="R4036" s="27" t="n"/>
      <c r="S4036" s="27" t="n"/>
      <c r="T4036" s="27" t="n"/>
    </row>
    <row r="4037" ht="13.8" customFormat="1" customHeight="1" s="70">
      <c r="M4037" s="27" t="n"/>
      <c r="N4037" s="27" t="n"/>
      <c r="O4037" s="27" t="n"/>
      <c r="P4037" s="27" t="n"/>
      <c r="Q4037" s="27" t="n"/>
      <c r="R4037" s="27" t="n"/>
      <c r="S4037" s="27" t="n"/>
      <c r="T4037" s="27" t="n"/>
    </row>
    <row r="4038" ht="13.8" customFormat="1" customHeight="1" s="70">
      <c r="M4038" s="27" t="n"/>
      <c r="N4038" s="27" t="n"/>
      <c r="O4038" s="27" t="n"/>
      <c r="P4038" s="27" t="n"/>
      <c r="Q4038" s="27" t="n"/>
      <c r="R4038" s="27" t="n"/>
      <c r="S4038" s="27" t="n"/>
      <c r="T4038" s="27" t="n"/>
    </row>
    <row r="4039" ht="13.8" customFormat="1" customHeight="1" s="70">
      <c r="M4039" s="27" t="n"/>
      <c r="N4039" s="27" t="n"/>
      <c r="O4039" s="27" t="n"/>
      <c r="P4039" s="27" t="n"/>
      <c r="Q4039" s="27" t="n"/>
      <c r="R4039" s="27" t="n"/>
      <c r="S4039" s="27" t="n"/>
      <c r="T4039" s="27" t="n"/>
    </row>
    <row r="4040" ht="13.8" customFormat="1" customHeight="1" s="70">
      <c r="M4040" s="27" t="n"/>
      <c r="N4040" s="27" t="n"/>
      <c r="O4040" s="27" t="n"/>
      <c r="P4040" s="27" t="n"/>
      <c r="Q4040" s="27" t="n"/>
      <c r="R4040" s="27" t="n"/>
      <c r="S4040" s="27" t="n"/>
      <c r="T4040" s="27" t="n"/>
    </row>
    <row r="4041" ht="13.8" customFormat="1" customHeight="1" s="70">
      <c r="M4041" s="27" t="n"/>
      <c r="N4041" s="27" t="n"/>
      <c r="O4041" s="27" t="n"/>
      <c r="P4041" s="27" t="n"/>
      <c r="Q4041" s="27" t="n"/>
      <c r="R4041" s="27" t="n"/>
      <c r="S4041" s="27" t="n"/>
      <c r="T4041" s="27" t="n"/>
    </row>
    <row r="4042" ht="13.8" customFormat="1" customHeight="1" s="70">
      <c r="M4042" s="27" t="n"/>
      <c r="N4042" s="27" t="n"/>
      <c r="O4042" s="27" t="n"/>
      <c r="P4042" s="27" t="n"/>
      <c r="Q4042" s="27" t="n"/>
      <c r="R4042" s="27" t="n"/>
      <c r="S4042" s="27" t="n"/>
      <c r="T4042" s="27" t="n"/>
    </row>
    <row r="4043" ht="13.8" customFormat="1" customHeight="1" s="70">
      <c r="M4043" s="27" t="n"/>
      <c r="N4043" s="27" t="n"/>
      <c r="O4043" s="27" t="n"/>
      <c r="P4043" s="27" t="n"/>
      <c r="Q4043" s="27" t="n"/>
      <c r="R4043" s="27" t="n"/>
      <c r="S4043" s="27" t="n"/>
      <c r="T4043" s="27" t="n"/>
    </row>
    <row r="4044" ht="13.8" customFormat="1" customHeight="1" s="70">
      <c r="M4044" s="27" t="n"/>
      <c r="N4044" s="27" t="n"/>
      <c r="O4044" s="27" t="n"/>
      <c r="P4044" s="27" t="n"/>
      <c r="Q4044" s="27" t="n"/>
      <c r="R4044" s="27" t="n"/>
      <c r="S4044" s="27" t="n"/>
      <c r="T4044" s="27" t="n"/>
    </row>
    <row r="4045" ht="13.8" customFormat="1" customHeight="1" s="70">
      <c r="M4045" s="27" t="n"/>
      <c r="N4045" s="27" t="n"/>
      <c r="O4045" s="27" t="n"/>
      <c r="P4045" s="27" t="n"/>
      <c r="Q4045" s="27" t="n"/>
      <c r="R4045" s="27" t="n"/>
      <c r="S4045" s="27" t="n"/>
      <c r="T4045" s="27" t="n"/>
    </row>
    <row r="4046" ht="13.8" customFormat="1" customHeight="1" s="70">
      <c r="M4046" s="27" t="n"/>
      <c r="N4046" s="27" t="n"/>
      <c r="O4046" s="27" t="n"/>
      <c r="P4046" s="27" t="n"/>
      <c r="Q4046" s="27" t="n"/>
      <c r="R4046" s="27" t="n"/>
      <c r="S4046" s="27" t="n"/>
      <c r="T4046" s="27" t="n"/>
    </row>
    <row r="4047" ht="13.8" customFormat="1" customHeight="1" s="70">
      <c r="M4047" s="27" t="n"/>
      <c r="N4047" s="27" t="n"/>
      <c r="O4047" s="27" t="n"/>
      <c r="P4047" s="27" t="n"/>
      <c r="Q4047" s="27" t="n"/>
      <c r="R4047" s="27" t="n"/>
      <c r="S4047" s="27" t="n"/>
      <c r="T4047" s="27" t="n"/>
    </row>
    <row r="4048" ht="13.8" customFormat="1" customHeight="1" s="70">
      <c r="M4048" s="27" t="n"/>
      <c r="N4048" s="27" t="n"/>
      <c r="O4048" s="27" t="n"/>
      <c r="P4048" s="27" t="n"/>
      <c r="Q4048" s="27" t="n"/>
      <c r="R4048" s="27" t="n"/>
      <c r="S4048" s="27" t="n"/>
      <c r="T4048" s="27" t="n"/>
    </row>
    <row r="4049" ht="13.8" customFormat="1" customHeight="1" s="70">
      <c r="M4049" s="27" t="n"/>
      <c r="N4049" s="27" t="n"/>
      <c r="O4049" s="27" t="n"/>
      <c r="P4049" s="27" t="n"/>
      <c r="Q4049" s="27" t="n"/>
      <c r="R4049" s="27" t="n"/>
      <c r="S4049" s="27" t="n"/>
      <c r="T4049" s="27" t="n"/>
    </row>
    <row r="4050" ht="13.8" customFormat="1" customHeight="1" s="70">
      <c r="M4050" s="27" t="n"/>
      <c r="N4050" s="27" t="n"/>
      <c r="O4050" s="27" t="n"/>
      <c r="P4050" s="27" t="n"/>
      <c r="Q4050" s="27" t="n"/>
      <c r="R4050" s="27" t="n"/>
      <c r="S4050" s="27" t="n"/>
      <c r="T4050" s="27" t="n"/>
    </row>
    <row r="4051" ht="13.8" customFormat="1" customHeight="1" s="70">
      <c r="M4051" s="27" t="n"/>
      <c r="N4051" s="27" t="n"/>
      <c r="O4051" s="27" t="n"/>
      <c r="P4051" s="27" t="n"/>
      <c r="Q4051" s="27" t="n"/>
      <c r="R4051" s="27" t="n"/>
      <c r="S4051" s="27" t="n"/>
      <c r="T4051" s="27" t="n"/>
    </row>
    <row r="4052" ht="13.8" customFormat="1" customHeight="1" s="70">
      <c r="M4052" s="27" t="n"/>
      <c r="N4052" s="27" t="n"/>
      <c r="O4052" s="27" t="n"/>
      <c r="P4052" s="27" t="n"/>
      <c r="Q4052" s="27" t="n"/>
      <c r="R4052" s="27" t="n"/>
      <c r="S4052" s="27" t="n"/>
      <c r="T4052" s="27" t="n"/>
    </row>
    <row r="4053" ht="13.8" customFormat="1" customHeight="1" s="70">
      <c r="M4053" s="27" t="n"/>
      <c r="N4053" s="27" t="n"/>
      <c r="O4053" s="27" t="n"/>
      <c r="P4053" s="27" t="n"/>
      <c r="Q4053" s="27" t="n"/>
      <c r="R4053" s="27" t="n"/>
      <c r="S4053" s="27" t="n"/>
      <c r="T4053" s="27" t="n"/>
    </row>
    <row r="4054" ht="13.8" customFormat="1" customHeight="1" s="70">
      <c r="M4054" s="27" t="n"/>
      <c r="N4054" s="27" t="n"/>
      <c r="O4054" s="27" t="n"/>
      <c r="P4054" s="27" t="n"/>
      <c r="Q4054" s="27" t="n"/>
      <c r="R4054" s="27" t="n"/>
      <c r="S4054" s="27" t="n"/>
      <c r="T4054" s="27" t="n"/>
    </row>
    <row r="4055" ht="13.8" customFormat="1" customHeight="1" s="70">
      <c r="M4055" s="27" t="n"/>
      <c r="N4055" s="27" t="n"/>
      <c r="O4055" s="27" t="n"/>
      <c r="P4055" s="27" t="n"/>
      <c r="Q4055" s="27" t="n"/>
      <c r="R4055" s="27" t="n"/>
      <c r="S4055" s="27" t="n"/>
      <c r="T4055" s="27" t="n"/>
    </row>
    <row r="4056" ht="13.8" customFormat="1" customHeight="1" s="70">
      <c r="M4056" s="27" t="n"/>
      <c r="N4056" s="27" t="n"/>
      <c r="O4056" s="27" t="n"/>
      <c r="P4056" s="27" t="n"/>
      <c r="Q4056" s="27" t="n"/>
      <c r="R4056" s="27" t="n"/>
      <c r="S4056" s="27" t="n"/>
      <c r="T4056" s="27" t="n"/>
    </row>
    <row r="4057" ht="13.8" customFormat="1" customHeight="1" s="70">
      <c r="M4057" s="27" t="n"/>
      <c r="N4057" s="27" t="n"/>
      <c r="O4057" s="27" t="n"/>
      <c r="P4057" s="27" t="n"/>
      <c r="Q4057" s="27" t="n"/>
      <c r="R4057" s="27" t="n"/>
      <c r="S4057" s="27" t="n"/>
      <c r="T4057" s="27" t="n"/>
    </row>
    <row r="4058" ht="13.8" customFormat="1" customHeight="1" s="70">
      <c r="M4058" s="27" t="n"/>
      <c r="N4058" s="27" t="n"/>
      <c r="O4058" s="27" t="n"/>
      <c r="P4058" s="27" t="n"/>
      <c r="Q4058" s="27" t="n"/>
      <c r="R4058" s="27" t="n"/>
      <c r="S4058" s="27" t="n"/>
      <c r="T4058" s="27" t="n"/>
    </row>
    <row r="4059" ht="13.8" customFormat="1" customHeight="1" s="70">
      <c r="M4059" s="27" t="n"/>
      <c r="N4059" s="27" t="n"/>
      <c r="O4059" s="27" t="n"/>
      <c r="P4059" s="27" t="n"/>
      <c r="Q4059" s="27" t="n"/>
      <c r="R4059" s="27" t="n"/>
      <c r="S4059" s="27" t="n"/>
      <c r="T4059" s="27" t="n"/>
    </row>
    <row r="4060" ht="13.8" customFormat="1" customHeight="1" s="70">
      <c r="M4060" s="27" t="n"/>
      <c r="N4060" s="27" t="n"/>
      <c r="O4060" s="27" t="n"/>
      <c r="P4060" s="27" t="n"/>
      <c r="Q4060" s="27" t="n"/>
      <c r="R4060" s="27" t="n"/>
      <c r="S4060" s="27" t="n"/>
      <c r="T4060" s="27" t="n"/>
    </row>
    <row r="4061" ht="13.8" customFormat="1" customHeight="1" s="70">
      <c r="M4061" s="27" t="n"/>
      <c r="N4061" s="27" t="n"/>
      <c r="O4061" s="27" t="n"/>
      <c r="P4061" s="27" t="n"/>
      <c r="Q4061" s="27" t="n"/>
      <c r="R4061" s="27" t="n"/>
      <c r="S4061" s="27" t="n"/>
      <c r="T4061" s="27" t="n"/>
    </row>
    <row r="4062" ht="13.8" customFormat="1" customHeight="1" s="70">
      <c r="M4062" s="27" t="n"/>
      <c r="N4062" s="27" t="n"/>
      <c r="O4062" s="27" t="n"/>
      <c r="P4062" s="27" t="n"/>
      <c r="Q4062" s="27" t="n"/>
      <c r="R4062" s="27" t="n"/>
      <c r="S4062" s="27" t="n"/>
      <c r="T4062" s="27" t="n"/>
    </row>
    <row r="4063" ht="13.8" customFormat="1" customHeight="1" s="70">
      <c r="M4063" s="27" t="n"/>
      <c r="N4063" s="27" t="n"/>
      <c r="O4063" s="27" t="n"/>
      <c r="P4063" s="27" t="n"/>
      <c r="Q4063" s="27" t="n"/>
      <c r="R4063" s="27" t="n"/>
      <c r="S4063" s="27" t="n"/>
      <c r="T4063" s="27" t="n"/>
    </row>
    <row r="4064" ht="13.8" customFormat="1" customHeight="1" s="70">
      <c r="M4064" s="27" t="n"/>
      <c r="N4064" s="27" t="n"/>
      <c r="O4064" s="27" t="n"/>
      <c r="P4064" s="27" t="n"/>
      <c r="Q4064" s="27" t="n"/>
      <c r="R4064" s="27" t="n"/>
      <c r="S4064" s="27" t="n"/>
      <c r="T4064" s="27" t="n"/>
    </row>
    <row r="4065" ht="13.8" customFormat="1" customHeight="1" s="70">
      <c r="M4065" s="27" t="n"/>
      <c r="N4065" s="27" t="n"/>
      <c r="O4065" s="27" t="n"/>
      <c r="P4065" s="27" t="n"/>
      <c r="Q4065" s="27" t="n"/>
      <c r="R4065" s="27" t="n"/>
      <c r="S4065" s="27" t="n"/>
      <c r="T4065" s="27" t="n"/>
    </row>
    <row r="4066" ht="13.8" customFormat="1" customHeight="1" s="70">
      <c r="M4066" s="27" t="n"/>
      <c r="N4066" s="27" t="n"/>
      <c r="O4066" s="27" t="n"/>
      <c r="P4066" s="27" t="n"/>
      <c r="Q4066" s="27" t="n"/>
      <c r="R4066" s="27" t="n"/>
      <c r="S4066" s="27" t="n"/>
      <c r="T4066" s="27" t="n"/>
    </row>
    <row r="4067" ht="13.8" customFormat="1" customHeight="1" s="70">
      <c r="M4067" s="27" t="n"/>
      <c r="N4067" s="27" t="n"/>
      <c r="O4067" s="27" t="n"/>
      <c r="P4067" s="27" t="n"/>
      <c r="Q4067" s="27" t="n"/>
      <c r="R4067" s="27" t="n"/>
      <c r="S4067" s="27" t="n"/>
      <c r="T4067" s="27" t="n"/>
    </row>
    <row r="4068" ht="13.8" customFormat="1" customHeight="1" s="70">
      <c r="M4068" s="27" t="n"/>
      <c r="N4068" s="27" t="n"/>
      <c r="O4068" s="27" t="n"/>
      <c r="P4068" s="27" t="n"/>
      <c r="Q4068" s="27" t="n"/>
      <c r="R4068" s="27" t="n"/>
      <c r="S4068" s="27" t="n"/>
      <c r="T4068" s="27" t="n"/>
    </row>
    <row r="4069" ht="13.8" customFormat="1" customHeight="1" s="70">
      <c r="M4069" s="27" t="n"/>
      <c r="N4069" s="27" t="n"/>
      <c r="O4069" s="27" t="n"/>
      <c r="P4069" s="27" t="n"/>
      <c r="Q4069" s="27" t="n"/>
      <c r="R4069" s="27" t="n"/>
      <c r="S4069" s="27" t="n"/>
      <c r="T4069" s="27" t="n"/>
    </row>
    <row r="4070" ht="13.8" customFormat="1" customHeight="1" s="70">
      <c r="M4070" s="27" t="n"/>
      <c r="N4070" s="27" t="n"/>
      <c r="O4070" s="27" t="n"/>
      <c r="P4070" s="27" t="n"/>
      <c r="Q4070" s="27" t="n"/>
      <c r="R4070" s="27" t="n"/>
      <c r="S4070" s="27" t="n"/>
      <c r="T4070" s="27" t="n"/>
    </row>
    <row r="4071" ht="13.8" customFormat="1" customHeight="1" s="70">
      <c r="M4071" s="27" t="n"/>
      <c r="N4071" s="27" t="n"/>
      <c r="O4071" s="27" t="n"/>
      <c r="P4071" s="27" t="n"/>
      <c r="Q4071" s="27" t="n"/>
      <c r="R4071" s="27" t="n"/>
      <c r="S4071" s="27" t="n"/>
      <c r="T4071" s="27" t="n"/>
    </row>
    <row r="4072" ht="13.8" customFormat="1" customHeight="1" s="70">
      <c r="M4072" s="27" t="n"/>
      <c r="N4072" s="27" t="n"/>
      <c r="O4072" s="27" t="n"/>
      <c r="P4072" s="27" t="n"/>
      <c r="Q4072" s="27" t="n"/>
      <c r="R4072" s="27" t="n"/>
      <c r="S4072" s="27" t="n"/>
      <c r="T4072" s="27" t="n"/>
    </row>
    <row r="4073" ht="13.8" customFormat="1" customHeight="1" s="70">
      <c r="M4073" s="27" t="n"/>
      <c r="N4073" s="27" t="n"/>
      <c r="O4073" s="27" t="n"/>
      <c r="P4073" s="27" t="n"/>
      <c r="Q4073" s="27" t="n"/>
      <c r="R4073" s="27" t="n"/>
      <c r="S4073" s="27" t="n"/>
      <c r="T4073" s="27" t="n"/>
    </row>
    <row r="4074" ht="13.8" customFormat="1" customHeight="1" s="70">
      <c r="M4074" s="27" t="n"/>
      <c r="N4074" s="27" t="n"/>
      <c r="O4074" s="27" t="n"/>
      <c r="P4074" s="27" t="n"/>
      <c r="Q4074" s="27" t="n"/>
      <c r="R4074" s="27" t="n"/>
      <c r="S4074" s="27" t="n"/>
      <c r="T4074" s="27" t="n"/>
    </row>
    <row r="4075" ht="13.8" customFormat="1" customHeight="1" s="70">
      <c r="M4075" s="27" t="n"/>
      <c r="N4075" s="27" t="n"/>
      <c r="O4075" s="27" t="n"/>
      <c r="P4075" s="27" t="n"/>
      <c r="Q4075" s="27" t="n"/>
      <c r="R4075" s="27" t="n"/>
      <c r="S4075" s="27" t="n"/>
      <c r="T4075" s="27" t="n"/>
    </row>
    <row r="4076" ht="13.8" customFormat="1" customHeight="1" s="70">
      <c r="M4076" s="27" t="n"/>
      <c r="N4076" s="27" t="n"/>
      <c r="O4076" s="27" t="n"/>
      <c r="P4076" s="27" t="n"/>
      <c r="Q4076" s="27" t="n"/>
      <c r="R4076" s="27" t="n"/>
      <c r="S4076" s="27" t="n"/>
      <c r="T4076" s="27" t="n"/>
    </row>
    <row r="4077" ht="13.8" customFormat="1" customHeight="1" s="70">
      <c r="M4077" s="27" t="n"/>
      <c r="N4077" s="27" t="n"/>
      <c r="O4077" s="27" t="n"/>
      <c r="P4077" s="27" t="n"/>
      <c r="Q4077" s="27" t="n"/>
      <c r="R4077" s="27" t="n"/>
      <c r="S4077" s="27" t="n"/>
      <c r="T4077" s="27" t="n"/>
    </row>
    <row r="4078" ht="13.8" customFormat="1" customHeight="1" s="70">
      <c r="M4078" s="27" t="n"/>
      <c r="N4078" s="27" t="n"/>
      <c r="O4078" s="27" t="n"/>
      <c r="P4078" s="27" t="n"/>
      <c r="Q4078" s="27" t="n"/>
      <c r="R4078" s="27" t="n"/>
      <c r="S4078" s="27" t="n"/>
      <c r="T4078" s="27" t="n"/>
    </row>
    <row r="4079" ht="13.8" customFormat="1" customHeight="1" s="70">
      <c r="M4079" s="27" t="n"/>
      <c r="N4079" s="27" t="n"/>
      <c r="O4079" s="27" t="n"/>
      <c r="P4079" s="27" t="n"/>
      <c r="Q4079" s="27" t="n"/>
      <c r="R4079" s="27" t="n"/>
      <c r="S4079" s="27" t="n"/>
      <c r="T4079" s="27" t="n"/>
    </row>
    <row r="4080" ht="13.8" customFormat="1" customHeight="1" s="70">
      <c r="M4080" s="27" t="n"/>
      <c r="N4080" s="27" t="n"/>
      <c r="O4080" s="27" t="n"/>
      <c r="P4080" s="27" t="n"/>
      <c r="Q4080" s="27" t="n"/>
      <c r="R4080" s="27" t="n"/>
      <c r="S4080" s="27" t="n"/>
      <c r="T4080" s="27" t="n"/>
    </row>
    <row r="4081" ht="13.8" customFormat="1" customHeight="1" s="70">
      <c r="M4081" s="27" t="n"/>
      <c r="N4081" s="27" t="n"/>
      <c r="O4081" s="27" t="n"/>
      <c r="P4081" s="27" t="n"/>
      <c r="Q4081" s="27" t="n"/>
      <c r="R4081" s="27" t="n"/>
      <c r="S4081" s="27" t="n"/>
      <c r="T4081" s="27" t="n"/>
    </row>
    <row r="4082" ht="13.8" customFormat="1" customHeight="1" s="70">
      <c r="M4082" s="27" t="n"/>
      <c r="N4082" s="27" t="n"/>
      <c r="O4082" s="27" t="n"/>
      <c r="P4082" s="27" t="n"/>
      <c r="Q4082" s="27" t="n"/>
      <c r="R4082" s="27" t="n"/>
      <c r="S4082" s="27" t="n"/>
      <c r="T4082" s="27" t="n"/>
    </row>
    <row r="4083" ht="13.8" customFormat="1" customHeight="1" s="70">
      <c r="M4083" s="27" t="n"/>
      <c r="N4083" s="27" t="n"/>
      <c r="O4083" s="27" t="n"/>
      <c r="P4083" s="27" t="n"/>
      <c r="Q4083" s="27" t="n"/>
      <c r="R4083" s="27" t="n"/>
      <c r="S4083" s="27" t="n"/>
      <c r="T4083" s="27" t="n"/>
    </row>
    <row r="4084" ht="13.8" customFormat="1" customHeight="1" s="70">
      <c r="M4084" s="27" t="n"/>
      <c r="N4084" s="27" t="n"/>
      <c r="O4084" s="27" t="n"/>
      <c r="P4084" s="27" t="n"/>
      <c r="Q4084" s="27" t="n"/>
      <c r="R4084" s="27" t="n"/>
      <c r="S4084" s="27" t="n"/>
      <c r="T4084" s="27" t="n"/>
    </row>
    <row r="4085" ht="13.8" customFormat="1" customHeight="1" s="70">
      <c r="M4085" s="27" t="n"/>
      <c r="N4085" s="27" t="n"/>
      <c r="O4085" s="27" t="n"/>
      <c r="P4085" s="27" t="n"/>
      <c r="Q4085" s="27" t="n"/>
      <c r="R4085" s="27" t="n"/>
      <c r="S4085" s="27" t="n"/>
      <c r="T4085" s="27" t="n"/>
    </row>
    <row r="4086" ht="13.8" customFormat="1" customHeight="1" s="70">
      <c r="M4086" s="27" t="n"/>
      <c r="N4086" s="27" t="n"/>
      <c r="O4086" s="27" t="n"/>
      <c r="P4086" s="27" t="n"/>
      <c r="Q4086" s="27" t="n"/>
      <c r="R4086" s="27" t="n"/>
      <c r="S4086" s="27" t="n"/>
      <c r="T4086" s="27" t="n"/>
    </row>
    <row r="4087" ht="13.8" customFormat="1" customHeight="1" s="70">
      <c r="M4087" s="27" t="n"/>
      <c r="N4087" s="27" t="n"/>
      <c r="O4087" s="27" t="n"/>
      <c r="P4087" s="27" t="n"/>
      <c r="Q4087" s="27" t="n"/>
      <c r="R4087" s="27" t="n"/>
      <c r="S4087" s="27" t="n"/>
      <c r="T4087" s="27" t="n"/>
    </row>
    <row r="4088" ht="13.8" customFormat="1" customHeight="1" s="70">
      <c r="M4088" s="27" t="n"/>
      <c r="N4088" s="27" t="n"/>
      <c r="O4088" s="27" t="n"/>
      <c r="P4088" s="27" t="n"/>
      <c r="Q4088" s="27" t="n"/>
      <c r="R4088" s="27" t="n"/>
      <c r="S4088" s="27" t="n"/>
      <c r="T4088" s="27" t="n"/>
    </row>
    <row r="4089" ht="13.8" customFormat="1" customHeight="1" s="70">
      <c r="M4089" s="27" t="n"/>
      <c r="N4089" s="27" t="n"/>
      <c r="O4089" s="27" t="n"/>
      <c r="P4089" s="27" t="n"/>
      <c r="Q4089" s="27" t="n"/>
      <c r="R4089" s="27" t="n"/>
      <c r="S4089" s="27" t="n"/>
      <c r="T4089" s="27" t="n"/>
    </row>
    <row r="4090" ht="13.8" customFormat="1" customHeight="1" s="70">
      <c r="M4090" s="27" t="n"/>
      <c r="N4090" s="27" t="n"/>
      <c r="O4090" s="27" t="n"/>
      <c r="P4090" s="27" t="n"/>
      <c r="Q4090" s="27" t="n"/>
      <c r="R4090" s="27" t="n"/>
      <c r="S4090" s="27" t="n"/>
      <c r="T4090" s="27" t="n"/>
    </row>
    <row r="4091" ht="13.8" customFormat="1" customHeight="1" s="70">
      <c r="M4091" s="27" t="n"/>
      <c r="N4091" s="27" t="n"/>
      <c r="O4091" s="27" t="n"/>
      <c r="P4091" s="27" t="n"/>
      <c r="Q4091" s="27" t="n"/>
      <c r="R4091" s="27" t="n"/>
      <c r="S4091" s="27" t="n"/>
      <c r="T4091" s="27" t="n"/>
    </row>
    <row r="4092" ht="13.8" customFormat="1" customHeight="1" s="70">
      <c r="M4092" s="27" t="n"/>
      <c r="N4092" s="27" t="n"/>
      <c r="O4092" s="27" t="n"/>
      <c r="P4092" s="27" t="n"/>
      <c r="Q4092" s="27" t="n"/>
      <c r="R4092" s="27" t="n"/>
      <c r="S4092" s="27" t="n"/>
      <c r="T4092" s="27" t="n"/>
    </row>
    <row r="4093" ht="13.8" customFormat="1" customHeight="1" s="70">
      <c r="M4093" s="27" t="n"/>
      <c r="N4093" s="27" t="n"/>
      <c r="O4093" s="27" t="n"/>
      <c r="P4093" s="27" t="n"/>
      <c r="Q4093" s="27" t="n"/>
      <c r="R4093" s="27" t="n"/>
      <c r="S4093" s="27" t="n"/>
      <c r="T4093" s="27" t="n"/>
    </row>
    <row r="4094" ht="13.8" customFormat="1" customHeight="1" s="70">
      <c r="M4094" s="27" t="n"/>
      <c r="N4094" s="27" t="n"/>
      <c r="O4094" s="27" t="n"/>
      <c r="P4094" s="27" t="n"/>
      <c r="Q4094" s="27" t="n"/>
      <c r="R4094" s="27" t="n"/>
      <c r="S4094" s="27" t="n"/>
      <c r="T4094" s="27" t="n"/>
    </row>
    <row r="4095" ht="13.8" customFormat="1" customHeight="1" s="70">
      <c r="M4095" s="27" t="n"/>
      <c r="N4095" s="27" t="n"/>
      <c r="O4095" s="27" t="n"/>
      <c r="P4095" s="27" t="n"/>
      <c r="Q4095" s="27" t="n"/>
      <c r="R4095" s="27" t="n"/>
      <c r="S4095" s="27" t="n"/>
      <c r="T4095" s="27" t="n"/>
    </row>
    <row r="4096" ht="13.8" customFormat="1" customHeight="1" s="70">
      <c r="M4096" s="27" t="n"/>
      <c r="N4096" s="27" t="n"/>
      <c r="O4096" s="27" t="n"/>
      <c r="P4096" s="27" t="n"/>
      <c r="Q4096" s="27" t="n"/>
      <c r="R4096" s="27" t="n"/>
      <c r="S4096" s="27" t="n"/>
      <c r="T4096" s="27" t="n"/>
    </row>
    <row r="4097" ht="13.8" customFormat="1" customHeight="1" s="70">
      <c r="M4097" s="27" t="n"/>
      <c r="N4097" s="27" t="n"/>
      <c r="O4097" s="27" t="n"/>
      <c r="P4097" s="27" t="n"/>
      <c r="Q4097" s="27" t="n"/>
      <c r="R4097" s="27" t="n"/>
      <c r="S4097" s="27" t="n"/>
      <c r="T4097" s="27" t="n"/>
    </row>
    <row r="4098" ht="13.8" customFormat="1" customHeight="1" s="70">
      <c r="M4098" s="27" t="n"/>
      <c r="N4098" s="27" t="n"/>
      <c r="O4098" s="27" t="n"/>
      <c r="P4098" s="27" t="n"/>
      <c r="Q4098" s="27" t="n"/>
      <c r="R4098" s="27" t="n"/>
      <c r="S4098" s="27" t="n"/>
      <c r="T4098" s="27" t="n"/>
    </row>
    <row r="4099" ht="13.8" customFormat="1" customHeight="1" s="70">
      <c r="M4099" s="27" t="n"/>
      <c r="N4099" s="27" t="n"/>
      <c r="O4099" s="27" t="n"/>
      <c r="P4099" s="27" t="n"/>
      <c r="Q4099" s="27" t="n"/>
      <c r="R4099" s="27" t="n"/>
      <c r="S4099" s="27" t="n"/>
      <c r="T4099" s="27" t="n"/>
    </row>
    <row r="4100" ht="13.8" customFormat="1" customHeight="1" s="70">
      <c r="M4100" s="27" t="n"/>
      <c r="N4100" s="27" t="n"/>
      <c r="O4100" s="27" t="n"/>
      <c r="P4100" s="27" t="n"/>
      <c r="Q4100" s="27" t="n"/>
      <c r="R4100" s="27" t="n"/>
      <c r="S4100" s="27" t="n"/>
      <c r="T4100" s="27" t="n"/>
    </row>
    <row r="4101" ht="13.8" customFormat="1" customHeight="1" s="70">
      <c r="M4101" s="27" t="n"/>
      <c r="N4101" s="27" t="n"/>
      <c r="O4101" s="27" t="n"/>
      <c r="P4101" s="27" t="n"/>
      <c r="Q4101" s="27" t="n"/>
      <c r="R4101" s="27" t="n"/>
      <c r="S4101" s="27" t="n"/>
      <c r="T4101" s="27" t="n"/>
    </row>
    <row r="4102" ht="13.8" customFormat="1" customHeight="1" s="70">
      <c r="M4102" s="27" t="n"/>
      <c r="N4102" s="27" t="n"/>
      <c r="O4102" s="27" t="n"/>
      <c r="P4102" s="27" t="n"/>
      <c r="Q4102" s="27" t="n"/>
      <c r="R4102" s="27" t="n"/>
      <c r="S4102" s="27" t="n"/>
      <c r="T4102" s="27" t="n"/>
    </row>
    <row r="4103" ht="13.8" customFormat="1" customHeight="1" s="70">
      <c r="M4103" s="27" t="n"/>
      <c r="N4103" s="27" t="n"/>
      <c r="O4103" s="27" t="n"/>
      <c r="P4103" s="27" t="n"/>
      <c r="Q4103" s="27" t="n"/>
      <c r="R4103" s="27" t="n"/>
      <c r="S4103" s="27" t="n"/>
      <c r="T4103" s="27" t="n"/>
    </row>
    <row r="4104" ht="13.8" customFormat="1" customHeight="1" s="70">
      <c r="M4104" s="27" t="n"/>
      <c r="N4104" s="27" t="n"/>
      <c r="O4104" s="27" t="n"/>
      <c r="P4104" s="27" t="n"/>
      <c r="Q4104" s="27" t="n"/>
      <c r="R4104" s="27" t="n"/>
      <c r="S4104" s="27" t="n"/>
      <c r="T4104" s="27" t="n"/>
    </row>
    <row r="4105" ht="13.8" customFormat="1" customHeight="1" s="70">
      <c r="M4105" s="27" t="n"/>
      <c r="N4105" s="27" t="n"/>
      <c r="O4105" s="27" t="n"/>
      <c r="P4105" s="27" t="n"/>
      <c r="Q4105" s="27" t="n"/>
      <c r="R4105" s="27" t="n"/>
      <c r="S4105" s="27" t="n"/>
      <c r="T4105" s="27" t="n"/>
    </row>
    <row r="4106" ht="13.8" customFormat="1" customHeight="1" s="70">
      <c r="M4106" s="27" t="n"/>
      <c r="N4106" s="27" t="n"/>
      <c r="O4106" s="27" t="n"/>
      <c r="P4106" s="27" t="n"/>
      <c r="Q4106" s="27" t="n"/>
      <c r="R4106" s="27" t="n"/>
      <c r="S4106" s="27" t="n"/>
      <c r="T4106" s="27" t="n"/>
    </row>
    <row r="4107" ht="13.8" customFormat="1" customHeight="1" s="70">
      <c r="M4107" s="27" t="n"/>
      <c r="N4107" s="27" t="n"/>
      <c r="O4107" s="27" t="n"/>
      <c r="P4107" s="27" t="n"/>
      <c r="Q4107" s="27" t="n"/>
      <c r="R4107" s="27" t="n"/>
      <c r="S4107" s="27" t="n"/>
      <c r="T4107" s="27" t="n"/>
    </row>
    <row r="4108" ht="13.8" customFormat="1" customHeight="1" s="70">
      <c r="M4108" s="27" t="n"/>
      <c r="N4108" s="27" t="n"/>
      <c r="O4108" s="27" t="n"/>
      <c r="P4108" s="27" t="n"/>
      <c r="Q4108" s="27" t="n"/>
      <c r="R4108" s="27" t="n"/>
      <c r="S4108" s="27" t="n"/>
      <c r="T4108" s="27" t="n"/>
    </row>
    <row r="4109" ht="13.8" customFormat="1" customHeight="1" s="70">
      <c r="M4109" s="27" t="n"/>
      <c r="N4109" s="27" t="n"/>
      <c r="O4109" s="27" t="n"/>
      <c r="P4109" s="27" t="n"/>
      <c r="Q4109" s="27" t="n"/>
      <c r="R4109" s="27" t="n"/>
      <c r="S4109" s="27" t="n"/>
      <c r="T4109" s="27" t="n"/>
    </row>
    <row r="4110" ht="13.8" customFormat="1" customHeight="1" s="70">
      <c r="M4110" s="27" t="n"/>
      <c r="N4110" s="27" t="n"/>
      <c r="O4110" s="27" t="n"/>
      <c r="P4110" s="27" t="n"/>
      <c r="Q4110" s="27" t="n"/>
      <c r="R4110" s="27" t="n"/>
      <c r="S4110" s="27" t="n"/>
      <c r="T4110" s="27" t="n"/>
    </row>
    <row r="4111" ht="13.8" customFormat="1" customHeight="1" s="70">
      <c r="M4111" s="27" t="n"/>
      <c r="N4111" s="27" t="n"/>
      <c r="O4111" s="27" t="n"/>
      <c r="P4111" s="27" t="n"/>
      <c r="Q4111" s="27" t="n"/>
      <c r="R4111" s="27" t="n"/>
      <c r="S4111" s="27" t="n"/>
      <c r="T4111" s="27" t="n"/>
    </row>
    <row r="4112" ht="13.8" customFormat="1" customHeight="1" s="70">
      <c r="M4112" s="27" t="n"/>
      <c r="N4112" s="27" t="n"/>
      <c r="O4112" s="27" t="n"/>
      <c r="P4112" s="27" t="n"/>
      <c r="Q4112" s="27" t="n"/>
      <c r="R4112" s="27" t="n"/>
      <c r="S4112" s="27" t="n"/>
      <c r="T4112" s="27" t="n"/>
    </row>
    <row r="4113" ht="13.8" customFormat="1" customHeight="1" s="70">
      <c r="M4113" s="27" t="n"/>
      <c r="N4113" s="27" t="n"/>
      <c r="O4113" s="27" t="n"/>
      <c r="P4113" s="27" t="n"/>
      <c r="Q4113" s="27" t="n"/>
      <c r="R4113" s="27" t="n"/>
      <c r="S4113" s="27" t="n"/>
      <c r="T4113" s="27" t="n"/>
    </row>
    <row r="4114" ht="13.8" customFormat="1" customHeight="1" s="70">
      <c r="M4114" s="27" t="n"/>
      <c r="N4114" s="27" t="n"/>
      <c r="O4114" s="27" t="n"/>
      <c r="P4114" s="27" t="n"/>
      <c r="Q4114" s="27" t="n"/>
      <c r="R4114" s="27" t="n"/>
      <c r="S4114" s="27" t="n"/>
      <c r="T4114" s="27" t="n"/>
    </row>
    <row r="4115" ht="13.8" customFormat="1" customHeight="1" s="70">
      <c r="M4115" s="27" t="n"/>
      <c r="N4115" s="27" t="n"/>
      <c r="O4115" s="27" t="n"/>
      <c r="P4115" s="27" t="n"/>
      <c r="Q4115" s="27" t="n"/>
      <c r="R4115" s="27" t="n"/>
      <c r="S4115" s="27" t="n"/>
      <c r="T4115" s="27" t="n"/>
    </row>
    <row r="4116" ht="13.8" customFormat="1" customHeight="1" s="70">
      <c r="M4116" s="27" t="n"/>
      <c r="N4116" s="27" t="n"/>
      <c r="O4116" s="27" t="n"/>
      <c r="P4116" s="27" t="n"/>
      <c r="Q4116" s="27" t="n"/>
      <c r="R4116" s="27" t="n"/>
      <c r="S4116" s="27" t="n"/>
      <c r="T4116" s="27" t="n"/>
    </row>
    <row r="4117" ht="13.8" customFormat="1" customHeight="1" s="70">
      <c r="M4117" s="27" t="n"/>
      <c r="N4117" s="27" t="n"/>
      <c r="O4117" s="27" t="n"/>
      <c r="P4117" s="27" t="n"/>
      <c r="Q4117" s="27" t="n"/>
      <c r="R4117" s="27" t="n"/>
      <c r="S4117" s="27" t="n"/>
      <c r="T4117" s="27" t="n"/>
    </row>
    <row r="4118" ht="13.8" customFormat="1" customHeight="1" s="70">
      <c r="M4118" s="27" t="n"/>
      <c r="N4118" s="27" t="n"/>
      <c r="O4118" s="27" t="n"/>
      <c r="P4118" s="27" t="n"/>
      <c r="Q4118" s="27" t="n"/>
      <c r="R4118" s="27" t="n"/>
      <c r="S4118" s="27" t="n"/>
      <c r="T4118" s="27" t="n"/>
    </row>
    <row r="4119" ht="13.8" customFormat="1" customHeight="1" s="70">
      <c r="M4119" s="27" t="n"/>
      <c r="N4119" s="27" t="n"/>
      <c r="O4119" s="27" t="n"/>
      <c r="P4119" s="27" t="n"/>
      <c r="Q4119" s="27" t="n"/>
      <c r="R4119" s="27" t="n"/>
      <c r="S4119" s="27" t="n"/>
      <c r="T4119" s="27" t="n"/>
    </row>
    <row r="4120" ht="13.8" customFormat="1" customHeight="1" s="70">
      <c r="M4120" s="27" t="n"/>
      <c r="N4120" s="27" t="n"/>
      <c r="O4120" s="27" t="n"/>
      <c r="P4120" s="27" t="n"/>
      <c r="Q4120" s="27" t="n"/>
      <c r="R4120" s="27" t="n"/>
      <c r="S4120" s="27" t="n"/>
      <c r="T4120" s="27" t="n"/>
    </row>
    <row r="4121" ht="13.8" customFormat="1" customHeight="1" s="70">
      <c r="M4121" s="27" t="n"/>
      <c r="N4121" s="27" t="n"/>
      <c r="O4121" s="27" t="n"/>
      <c r="P4121" s="27" t="n"/>
      <c r="Q4121" s="27" t="n"/>
      <c r="R4121" s="27" t="n"/>
      <c r="S4121" s="27" t="n"/>
      <c r="T4121" s="27" t="n"/>
    </row>
    <row r="4122" ht="13.8" customFormat="1" customHeight="1" s="70">
      <c r="M4122" s="27" t="n"/>
      <c r="N4122" s="27" t="n"/>
      <c r="O4122" s="27" t="n"/>
      <c r="P4122" s="27" t="n"/>
      <c r="Q4122" s="27" t="n"/>
      <c r="R4122" s="27" t="n"/>
      <c r="S4122" s="27" t="n"/>
      <c r="T4122" s="27" t="n"/>
    </row>
    <row r="4123" ht="13.8" customFormat="1" customHeight="1" s="70">
      <c r="M4123" s="27" t="n"/>
      <c r="N4123" s="27" t="n"/>
      <c r="O4123" s="27" t="n"/>
      <c r="P4123" s="27" t="n"/>
      <c r="Q4123" s="27" t="n"/>
      <c r="R4123" s="27" t="n"/>
      <c r="S4123" s="27" t="n"/>
      <c r="T4123" s="27" t="n"/>
    </row>
    <row r="4124" ht="13.8" customFormat="1" customHeight="1" s="70">
      <c r="M4124" s="27" t="n"/>
      <c r="N4124" s="27" t="n"/>
      <c r="O4124" s="27" t="n"/>
      <c r="P4124" s="27" t="n"/>
      <c r="Q4124" s="27" t="n"/>
      <c r="R4124" s="27" t="n"/>
      <c r="S4124" s="27" t="n"/>
      <c r="T4124" s="27" t="n"/>
    </row>
    <row r="4125" ht="13.8" customFormat="1" customHeight="1" s="70">
      <c r="M4125" s="27" t="n"/>
      <c r="N4125" s="27" t="n"/>
      <c r="O4125" s="27" t="n"/>
      <c r="P4125" s="27" t="n"/>
      <c r="Q4125" s="27" t="n"/>
      <c r="R4125" s="27" t="n"/>
      <c r="S4125" s="27" t="n"/>
      <c r="T4125" s="27" t="n"/>
    </row>
    <row r="4126" ht="13.8" customFormat="1" customHeight="1" s="70">
      <c r="M4126" s="27" t="n"/>
      <c r="N4126" s="27" t="n"/>
      <c r="O4126" s="27" t="n"/>
      <c r="P4126" s="27" t="n"/>
      <c r="Q4126" s="27" t="n"/>
      <c r="R4126" s="27" t="n"/>
      <c r="S4126" s="27" t="n"/>
      <c r="T4126" s="27" t="n"/>
    </row>
    <row r="4127" ht="13.8" customFormat="1" customHeight="1" s="70">
      <c r="M4127" s="27" t="n"/>
      <c r="N4127" s="27" t="n"/>
      <c r="O4127" s="27" t="n"/>
      <c r="P4127" s="27" t="n"/>
      <c r="Q4127" s="27" t="n"/>
      <c r="R4127" s="27" t="n"/>
      <c r="S4127" s="27" t="n"/>
      <c r="T4127" s="27" t="n"/>
    </row>
    <row r="4128" ht="13.8" customFormat="1" customHeight="1" s="70">
      <c r="M4128" s="27" t="n"/>
      <c r="N4128" s="27" t="n"/>
      <c r="O4128" s="27" t="n"/>
      <c r="P4128" s="27" t="n"/>
      <c r="Q4128" s="27" t="n"/>
      <c r="R4128" s="27" t="n"/>
      <c r="S4128" s="27" t="n"/>
      <c r="T4128" s="27" t="n"/>
    </row>
    <row r="4129" ht="13.8" customFormat="1" customHeight="1" s="70">
      <c r="M4129" s="27" t="n"/>
      <c r="N4129" s="27" t="n"/>
      <c r="O4129" s="27" t="n"/>
      <c r="P4129" s="27" t="n"/>
      <c r="Q4129" s="27" t="n"/>
      <c r="R4129" s="27" t="n"/>
      <c r="S4129" s="27" t="n"/>
      <c r="T4129" s="27" t="n"/>
    </row>
    <row r="4130" ht="13.8" customFormat="1" customHeight="1" s="70">
      <c r="M4130" s="27" t="n"/>
      <c r="N4130" s="27" t="n"/>
      <c r="O4130" s="27" t="n"/>
      <c r="P4130" s="27" t="n"/>
      <c r="Q4130" s="27" t="n"/>
      <c r="R4130" s="27" t="n"/>
      <c r="S4130" s="27" t="n"/>
      <c r="T4130" s="27" t="n"/>
    </row>
    <row r="4131" ht="13.8" customFormat="1" customHeight="1" s="70">
      <c r="M4131" s="27" t="n"/>
      <c r="N4131" s="27" t="n"/>
      <c r="O4131" s="27" t="n"/>
      <c r="P4131" s="27" t="n"/>
      <c r="Q4131" s="27" t="n"/>
      <c r="R4131" s="27" t="n"/>
      <c r="S4131" s="27" t="n"/>
      <c r="T4131" s="27" t="n"/>
    </row>
    <row r="4132" ht="13.8" customFormat="1" customHeight="1" s="70">
      <c r="M4132" s="27" t="n"/>
      <c r="N4132" s="27" t="n"/>
      <c r="O4132" s="27" t="n"/>
      <c r="P4132" s="27" t="n"/>
      <c r="Q4132" s="27" t="n"/>
      <c r="R4132" s="27" t="n"/>
      <c r="S4132" s="27" t="n"/>
      <c r="T4132" s="27" t="n"/>
    </row>
    <row r="4133" ht="13.8" customFormat="1" customHeight="1" s="70">
      <c r="M4133" s="27" t="n"/>
      <c r="N4133" s="27" t="n"/>
      <c r="O4133" s="27" t="n"/>
      <c r="P4133" s="27" t="n"/>
      <c r="Q4133" s="27" t="n"/>
      <c r="R4133" s="27" t="n"/>
      <c r="S4133" s="27" t="n"/>
      <c r="T4133" s="27" t="n"/>
    </row>
    <row r="4134" ht="13.8" customFormat="1" customHeight="1" s="70">
      <c r="M4134" s="27" t="n"/>
      <c r="N4134" s="27" t="n"/>
      <c r="O4134" s="27" t="n"/>
      <c r="P4134" s="27" t="n"/>
      <c r="Q4134" s="27" t="n"/>
      <c r="R4134" s="27" t="n"/>
      <c r="S4134" s="27" t="n"/>
      <c r="T4134" s="27" t="n"/>
    </row>
    <row r="4135" ht="13.8" customFormat="1" customHeight="1" s="70">
      <c r="M4135" s="27" t="n"/>
      <c r="N4135" s="27" t="n"/>
      <c r="O4135" s="27" t="n"/>
      <c r="P4135" s="27" t="n"/>
      <c r="Q4135" s="27" t="n"/>
      <c r="R4135" s="27" t="n"/>
      <c r="S4135" s="27" t="n"/>
      <c r="T4135" s="27" t="n"/>
    </row>
    <row r="4136" ht="13.8" customFormat="1" customHeight="1" s="70">
      <c r="M4136" s="27" t="n"/>
      <c r="N4136" s="27" t="n"/>
      <c r="O4136" s="27" t="n"/>
      <c r="P4136" s="27" t="n"/>
      <c r="Q4136" s="27" t="n"/>
      <c r="R4136" s="27" t="n"/>
      <c r="S4136" s="27" t="n"/>
      <c r="T4136" s="27" t="n"/>
    </row>
    <row r="4137" ht="13.8" customFormat="1" customHeight="1" s="70">
      <c r="M4137" s="27" t="n"/>
      <c r="N4137" s="27" t="n"/>
      <c r="O4137" s="27" t="n"/>
      <c r="P4137" s="27" t="n"/>
      <c r="Q4137" s="27" t="n"/>
      <c r="R4137" s="27" t="n"/>
      <c r="S4137" s="27" t="n"/>
      <c r="T4137" s="27" t="n"/>
    </row>
    <row r="4138" ht="13.8" customFormat="1" customHeight="1" s="70">
      <c r="M4138" s="27" t="n"/>
      <c r="N4138" s="27" t="n"/>
      <c r="O4138" s="27" t="n"/>
      <c r="P4138" s="27" t="n"/>
      <c r="Q4138" s="27" t="n"/>
      <c r="R4138" s="27" t="n"/>
      <c r="S4138" s="27" t="n"/>
      <c r="T4138" s="27" t="n"/>
    </row>
    <row r="4139" ht="13.8" customFormat="1" customHeight="1" s="70">
      <c r="M4139" s="27" t="n"/>
      <c r="N4139" s="27" t="n"/>
      <c r="O4139" s="27" t="n"/>
      <c r="P4139" s="27" t="n"/>
      <c r="Q4139" s="27" t="n"/>
      <c r="R4139" s="27" t="n"/>
      <c r="S4139" s="27" t="n"/>
      <c r="T4139" s="27" t="n"/>
    </row>
    <row r="4140" ht="13.8" customFormat="1" customHeight="1" s="70">
      <c r="M4140" s="27" t="n"/>
      <c r="N4140" s="27" t="n"/>
      <c r="O4140" s="27" t="n"/>
      <c r="P4140" s="27" t="n"/>
      <c r="Q4140" s="27" t="n"/>
      <c r="R4140" s="27" t="n"/>
      <c r="S4140" s="27" t="n"/>
      <c r="T4140" s="27" t="n"/>
    </row>
    <row r="4141" ht="13.8" customFormat="1" customHeight="1" s="70">
      <c r="M4141" s="27" t="n"/>
      <c r="N4141" s="27" t="n"/>
      <c r="O4141" s="27" t="n"/>
      <c r="P4141" s="27" t="n"/>
      <c r="Q4141" s="27" t="n"/>
      <c r="R4141" s="27" t="n"/>
      <c r="S4141" s="27" t="n"/>
      <c r="T4141" s="27" t="n"/>
    </row>
    <row r="4142" ht="13.8" customFormat="1" customHeight="1" s="70">
      <c r="M4142" s="27" t="n"/>
      <c r="N4142" s="27" t="n"/>
      <c r="O4142" s="27" t="n"/>
      <c r="P4142" s="27" t="n"/>
      <c r="Q4142" s="27" t="n"/>
      <c r="R4142" s="27" t="n"/>
      <c r="S4142" s="27" t="n"/>
      <c r="T4142" s="27" t="n"/>
    </row>
    <row r="4143" ht="13.8" customFormat="1" customHeight="1" s="70">
      <c r="M4143" s="27" t="n"/>
      <c r="N4143" s="27" t="n"/>
      <c r="O4143" s="27" t="n"/>
      <c r="P4143" s="27" t="n"/>
      <c r="Q4143" s="27" t="n"/>
      <c r="R4143" s="27" t="n"/>
      <c r="S4143" s="27" t="n"/>
      <c r="T4143" s="27" t="n"/>
    </row>
    <row r="4144" ht="13.8" customFormat="1" customHeight="1" s="70">
      <c r="M4144" s="27" t="n"/>
      <c r="N4144" s="27" t="n"/>
      <c r="O4144" s="27" t="n"/>
      <c r="P4144" s="27" t="n"/>
      <c r="Q4144" s="27" t="n"/>
      <c r="R4144" s="27" t="n"/>
      <c r="S4144" s="27" t="n"/>
      <c r="T4144" s="27" t="n"/>
    </row>
    <row r="4145" ht="13.8" customFormat="1" customHeight="1" s="70">
      <c r="M4145" s="27" t="n"/>
      <c r="N4145" s="27" t="n"/>
      <c r="O4145" s="27" t="n"/>
      <c r="P4145" s="27" t="n"/>
      <c r="Q4145" s="27" t="n"/>
      <c r="R4145" s="27" t="n"/>
      <c r="S4145" s="27" t="n"/>
      <c r="T4145" s="27" t="n"/>
    </row>
    <row r="4146" ht="13.8" customFormat="1" customHeight="1" s="70">
      <c r="M4146" s="27" t="n"/>
      <c r="N4146" s="27" t="n"/>
      <c r="O4146" s="27" t="n"/>
      <c r="P4146" s="27" t="n"/>
      <c r="Q4146" s="27" t="n"/>
      <c r="R4146" s="27" t="n"/>
      <c r="S4146" s="27" t="n"/>
      <c r="T4146" s="27" t="n"/>
    </row>
    <row r="4147" ht="13.8" customFormat="1" customHeight="1" s="70">
      <c r="M4147" s="27" t="n"/>
      <c r="N4147" s="27" t="n"/>
      <c r="O4147" s="27" t="n"/>
      <c r="P4147" s="27" t="n"/>
      <c r="Q4147" s="27" t="n"/>
      <c r="R4147" s="27" t="n"/>
      <c r="S4147" s="27" t="n"/>
      <c r="T4147" s="27" t="n"/>
    </row>
    <row r="4148" ht="13.8" customFormat="1" customHeight="1" s="70">
      <c r="M4148" s="27" t="n"/>
      <c r="N4148" s="27" t="n"/>
      <c r="O4148" s="27" t="n"/>
      <c r="P4148" s="27" t="n"/>
      <c r="Q4148" s="27" t="n"/>
      <c r="R4148" s="27" t="n"/>
      <c r="S4148" s="27" t="n"/>
      <c r="T4148" s="27" t="n"/>
    </row>
    <row r="4149" ht="13.8" customFormat="1" customHeight="1" s="70">
      <c r="M4149" s="27" t="n"/>
      <c r="N4149" s="27" t="n"/>
      <c r="O4149" s="27" t="n"/>
      <c r="P4149" s="27" t="n"/>
      <c r="Q4149" s="27" t="n"/>
      <c r="R4149" s="27" t="n"/>
      <c r="S4149" s="27" t="n"/>
      <c r="T4149" s="27" t="n"/>
    </row>
    <row r="4150" ht="13.8" customFormat="1" customHeight="1" s="70">
      <c r="M4150" s="27" t="n"/>
      <c r="N4150" s="27" t="n"/>
      <c r="O4150" s="27" t="n"/>
      <c r="P4150" s="27" t="n"/>
      <c r="Q4150" s="27" t="n"/>
      <c r="R4150" s="27" t="n"/>
      <c r="S4150" s="27" t="n"/>
      <c r="T4150" s="27" t="n"/>
    </row>
    <row r="4151" ht="13.8" customFormat="1" customHeight="1" s="70">
      <c r="M4151" s="27" t="n"/>
      <c r="N4151" s="27" t="n"/>
      <c r="O4151" s="27" t="n"/>
      <c r="P4151" s="27" t="n"/>
      <c r="Q4151" s="27" t="n"/>
      <c r="R4151" s="27" t="n"/>
      <c r="S4151" s="27" t="n"/>
      <c r="T4151" s="27" t="n"/>
    </row>
    <row r="4152" ht="13.8" customFormat="1" customHeight="1" s="70">
      <c r="M4152" s="27" t="n"/>
      <c r="N4152" s="27" t="n"/>
      <c r="O4152" s="27" t="n"/>
      <c r="P4152" s="27" t="n"/>
      <c r="Q4152" s="27" t="n"/>
      <c r="R4152" s="27" t="n"/>
      <c r="S4152" s="27" t="n"/>
      <c r="T4152" s="27" t="n"/>
    </row>
    <row r="4153" ht="13.8" customFormat="1" customHeight="1" s="70">
      <c r="M4153" s="27" t="n"/>
      <c r="N4153" s="27" t="n"/>
      <c r="O4153" s="27" t="n"/>
      <c r="P4153" s="27" t="n"/>
      <c r="Q4153" s="27" t="n"/>
      <c r="R4153" s="27" t="n"/>
      <c r="S4153" s="27" t="n"/>
      <c r="T4153" s="27" t="n"/>
    </row>
    <row r="4154" ht="13.8" customFormat="1" customHeight="1" s="70">
      <c r="M4154" s="27" t="n"/>
      <c r="N4154" s="27" t="n"/>
      <c r="O4154" s="27" t="n"/>
      <c r="P4154" s="27" t="n"/>
      <c r="Q4154" s="27" t="n"/>
      <c r="R4154" s="27" t="n"/>
      <c r="S4154" s="27" t="n"/>
      <c r="T4154" s="27" t="n"/>
    </row>
    <row r="4155" ht="13.8" customFormat="1" customHeight="1" s="70">
      <c r="M4155" s="27" t="n"/>
      <c r="N4155" s="27" t="n"/>
      <c r="O4155" s="27" t="n"/>
      <c r="P4155" s="27" t="n"/>
      <c r="Q4155" s="27" t="n"/>
      <c r="R4155" s="27" t="n"/>
      <c r="S4155" s="27" t="n"/>
      <c r="T4155" s="27" t="n"/>
    </row>
    <row r="4156" ht="13.8" customFormat="1" customHeight="1" s="70">
      <c r="M4156" s="27" t="n"/>
      <c r="N4156" s="27" t="n"/>
      <c r="O4156" s="27" t="n"/>
      <c r="P4156" s="27" t="n"/>
      <c r="Q4156" s="27" t="n"/>
      <c r="R4156" s="27" t="n"/>
      <c r="S4156" s="27" t="n"/>
      <c r="T4156" s="27" t="n"/>
    </row>
    <row r="4157" ht="13.8" customFormat="1" customHeight="1" s="70">
      <c r="M4157" s="27" t="n"/>
      <c r="N4157" s="27" t="n"/>
      <c r="O4157" s="27" t="n"/>
      <c r="P4157" s="27" t="n"/>
      <c r="Q4157" s="27" t="n"/>
      <c r="R4157" s="27" t="n"/>
      <c r="S4157" s="27" t="n"/>
      <c r="T4157" s="27" t="n"/>
    </row>
    <row r="4158" ht="13.8" customFormat="1" customHeight="1" s="70">
      <c r="M4158" s="27" t="n"/>
      <c r="N4158" s="27" t="n"/>
      <c r="O4158" s="27" t="n"/>
      <c r="P4158" s="27" t="n"/>
      <c r="Q4158" s="27" t="n"/>
      <c r="R4158" s="27" t="n"/>
      <c r="S4158" s="27" t="n"/>
      <c r="T4158" s="27" t="n"/>
    </row>
    <row r="4159" ht="13.8" customFormat="1" customHeight="1" s="70">
      <c r="M4159" s="27" t="n"/>
      <c r="N4159" s="27" t="n"/>
      <c r="O4159" s="27" t="n"/>
      <c r="P4159" s="27" t="n"/>
      <c r="Q4159" s="27" t="n"/>
      <c r="R4159" s="27" t="n"/>
      <c r="S4159" s="27" t="n"/>
      <c r="T4159" s="27" t="n"/>
    </row>
    <row r="4160" ht="13.8" customFormat="1" customHeight="1" s="70">
      <c r="M4160" s="27" t="n"/>
      <c r="N4160" s="27" t="n"/>
      <c r="O4160" s="27" t="n"/>
      <c r="P4160" s="27" t="n"/>
      <c r="Q4160" s="27" t="n"/>
      <c r="R4160" s="27" t="n"/>
      <c r="S4160" s="27" t="n"/>
      <c r="T4160" s="27" t="n"/>
    </row>
    <row r="4161" ht="13.8" customFormat="1" customHeight="1" s="70">
      <c r="M4161" s="27" t="n"/>
      <c r="N4161" s="27" t="n"/>
      <c r="O4161" s="27" t="n"/>
      <c r="P4161" s="27" t="n"/>
      <c r="Q4161" s="27" t="n"/>
      <c r="R4161" s="27" t="n"/>
      <c r="S4161" s="27" t="n"/>
      <c r="T4161" s="27" t="n"/>
    </row>
    <row r="4162" ht="13.8" customFormat="1" customHeight="1" s="70">
      <c r="M4162" s="27" t="n"/>
      <c r="N4162" s="27" t="n"/>
      <c r="O4162" s="27" t="n"/>
      <c r="P4162" s="27" t="n"/>
      <c r="Q4162" s="27" t="n"/>
      <c r="R4162" s="27" t="n"/>
      <c r="S4162" s="27" t="n"/>
      <c r="T4162" s="27" t="n"/>
    </row>
    <row r="4163" ht="13.8" customFormat="1" customHeight="1" s="70">
      <c r="M4163" s="27" t="n"/>
      <c r="N4163" s="27" t="n"/>
      <c r="O4163" s="27" t="n"/>
      <c r="P4163" s="27" t="n"/>
      <c r="Q4163" s="27" t="n"/>
      <c r="R4163" s="27" t="n"/>
      <c r="S4163" s="27" t="n"/>
      <c r="T4163" s="27" t="n"/>
    </row>
    <row r="4164" ht="13.8" customFormat="1" customHeight="1" s="70">
      <c r="M4164" s="27" t="n"/>
      <c r="N4164" s="27" t="n"/>
      <c r="O4164" s="27" t="n"/>
      <c r="P4164" s="27" t="n"/>
      <c r="Q4164" s="27" t="n"/>
      <c r="R4164" s="27" t="n"/>
      <c r="S4164" s="27" t="n"/>
      <c r="T4164" s="27" t="n"/>
    </row>
    <row r="4165" ht="13.8" customFormat="1" customHeight="1" s="70">
      <c r="M4165" s="27" t="n"/>
      <c r="N4165" s="27" t="n"/>
      <c r="O4165" s="27" t="n"/>
      <c r="P4165" s="27" t="n"/>
      <c r="Q4165" s="27" t="n"/>
      <c r="R4165" s="27" t="n"/>
      <c r="S4165" s="27" t="n"/>
      <c r="T4165" s="27" t="n"/>
    </row>
    <row r="4166" ht="13.8" customFormat="1" customHeight="1" s="70">
      <c r="M4166" s="27" t="n"/>
      <c r="N4166" s="27" t="n"/>
      <c r="O4166" s="27" t="n"/>
      <c r="P4166" s="27" t="n"/>
      <c r="Q4166" s="27" t="n"/>
      <c r="R4166" s="27" t="n"/>
      <c r="S4166" s="27" t="n"/>
      <c r="T4166" s="27" t="n"/>
    </row>
    <row r="4167" ht="13.8" customFormat="1" customHeight="1" s="70">
      <c r="M4167" s="27" t="n"/>
      <c r="N4167" s="27" t="n"/>
      <c r="O4167" s="27" t="n"/>
      <c r="P4167" s="27" t="n"/>
      <c r="Q4167" s="27" t="n"/>
      <c r="R4167" s="27" t="n"/>
      <c r="S4167" s="27" t="n"/>
      <c r="T4167" s="27" t="n"/>
    </row>
    <row r="4168" ht="13.8" customFormat="1" customHeight="1" s="70">
      <c r="M4168" s="27" t="n"/>
      <c r="N4168" s="27" t="n"/>
      <c r="O4168" s="27" t="n"/>
      <c r="P4168" s="27" t="n"/>
      <c r="Q4168" s="27" t="n"/>
      <c r="R4168" s="27" t="n"/>
      <c r="S4168" s="27" t="n"/>
      <c r="T4168" s="27" t="n"/>
    </row>
    <row r="4169" ht="13.8" customFormat="1" customHeight="1" s="70">
      <c r="M4169" s="27" t="n"/>
      <c r="N4169" s="27" t="n"/>
      <c r="O4169" s="27" t="n"/>
      <c r="P4169" s="27" t="n"/>
      <c r="Q4169" s="27" t="n"/>
      <c r="R4169" s="27" t="n"/>
      <c r="S4169" s="27" t="n"/>
      <c r="T4169" s="27" t="n"/>
    </row>
    <row r="4170" ht="13.8" customFormat="1" customHeight="1" s="70">
      <c r="M4170" s="27" t="n"/>
      <c r="N4170" s="27" t="n"/>
      <c r="O4170" s="27" t="n"/>
      <c r="P4170" s="27" t="n"/>
      <c r="Q4170" s="27" t="n"/>
      <c r="R4170" s="27" t="n"/>
      <c r="S4170" s="27" t="n"/>
      <c r="T4170" s="27" t="n"/>
    </row>
    <row r="4171" ht="13.8" customFormat="1" customHeight="1" s="70">
      <c r="M4171" s="27" t="n"/>
      <c r="N4171" s="27" t="n"/>
      <c r="O4171" s="27" t="n"/>
      <c r="P4171" s="27" t="n"/>
      <c r="Q4171" s="27" t="n"/>
      <c r="R4171" s="27" t="n"/>
      <c r="S4171" s="27" t="n"/>
      <c r="T4171" s="27" t="n"/>
    </row>
    <row r="4172" ht="13.8" customFormat="1" customHeight="1" s="70">
      <c r="M4172" s="27" t="n"/>
      <c r="N4172" s="27" t="n"/>
      <c r="O4172" s="27" t="n"/>
      <c r="P4172" s="27" t="n"/>
      <c r="Q4172" s="27" t="n"/>
      <c r="R4172" s="27" t="n"/>
      <c r="S4172" s="27" t="n"/>
      <c r="T4172" s="27" t="n"/>
    </row>
    <row r="4173" ht="13.8" customFormat="1" customHeight="1" s="70">
      <c r="M4173" s="27" t="n"/>
      <c r="N4173" s="27" t="n"/>
      <c r="O4173" s="27" t="n"/>
      <c r="P4173" s="27" t="n"/>
      <c r="Q4173" s="27" t="n"/>
      <c r="R4173" s="27" t="n"/>
      <c r="S4173" s="27" t="n"/>
      <c r="T4173" s="27" t="n"/>
    </row>
    <row r="4174" ht="13.8" customFormat="1" customHeight="1" s="70">
      <c r="M4174" s="27" t="n"/>
      <c r="N4174" s="27" t="n"/>
      <c r="O4174" s="27" t="n"/>
      <c r="P4174" s="27" t="n"/>
      <c r="Q4174" s="27" t="n"/>
      <c r="R4174" s="27" t="n"/>
      <c r="S4174" s="27" t="n"/>
      <c r="T4174" s="27" t="n"/>
    </row>
    <row r="4175" ht="13.8" customFormat="1" customHeight="1" s="70">
      <c r="M4175" s="27" t="n"/>
      <c r="N4175" s="27" t="n"/>
      <c r="O4175" s="27" t="n"/>
      <c r="P4175" s="27" t="n"/>
      <c r="Q4175" s="27" t="n"/>
      <c r="R4175" s="27" t="n"/>
      <c r="S4175" s="27" t="n"/>
      <c r="T4175" s="27" t="n"/>
    </row>
    <row r="4176" ht="13.8" customFormat="1" customHeight="1" s="70">
      <c r="M4176" s="27" t="n"/>
      <c r="N4176" s="27" t="n"/>
      <c r="O4176" s="27" t="n"/>
      <c r="P4176" s="27" t="n"/>
      <c r="Q4176" s="27" t="n"/>
      <c r="R4176" s="27" t="n"/>
      <c r="S4176" s="27" t="n"/>
      <c r="T4176" s="27" t="n"/>
    </row>
    <row r="4177" ht="13.8" customFormat="1" customHeight="1" s="70">
      <c r="M4177" s="27" t="n"/>
      <c r="N4177" s="27" t="n"/>
      <c r="O4177" s="27" t="n"/>
      <c r="P4177" s="27" t="n"/>
      <c r="Q4177" s="27" t="n"/>
      <c r="R4177" s="27" t="n"/>
      <c r="S4177" s="27" t="n"/>
      <c r="T4177" s="27" t="n"/>
    </row>
    <row r="4178" ht="13.8" customFormat="1" customHeight="1" s="70">
      <c r="M4178" s="27" t="n"/>
      <c r="N4178" s="27" t="n"/>
      <c r="O4178" s="27" t="n"/>
      <c r="P4178" s="27" t="n"/>
      <c r="Q4178" s="27" t="n"/>
      <c r="R4178" s="27" t="n"/>
      <c r="S4178" s="27" t="n"/>
      <c r="T4178" s="27" t="n"/>
    </row>
    <row r="4179" ht="13.8" customFormat="1" customHeight="1" s="70">
      <c r="M4179" s="27" t="n"/>
      <c r="N4179" s="27" t="n"/>
      <c r="O4179" s="27" t="n"/>
      <c r="P4179" s="27" t="n"/>
      <c r="Q4179" s="27" t="n"/>
      <c r="R4179" s="27" t="n"/>
      <c r="S4179" s="27" t="n"/>
      <c r="T4179" s="27" t="n"/>
    </row>
    <row r="4180" ht="13.8" customFormat="1" customHeight="1" s="70">
      <c r="M4180" s="27" t="n"/>
      <c r="N4180" s="27" t="n"/>
      <c r="O4180" s="27" t="n"/>
      <c r="P4180" s="27" t="n"/>
      <c r="Q4180" s="27" t="n"/>
      <c r="R4180" s="27" t="n"/>
      <c r="S4180" s="27" t="n"/>
      <c r="T4180" s="27" t="n"/>
    </row>
    <row r="4181" ht="13.8" customFormat="1" customHeight="1" s="70">
      <c r="M4181" s="27" t="n"/>
      <c r="N4181" s="27" t="n"/>
      <c r="O4181" s="27" t="n"/>
      <c r="P4181" s="27" t="n"/>
      <c r="Q4181" s="27" t="n"/>
      <c r="R4181" s="27" t="n"/>
      <c r="S4181" s="27" t="n"/>
      <c r="T4181" s="27" t="n"/>
    </row>
    <row r="4182" ht="13.8" customFormat="1" customHeight="1" s="70">
      <c r="M4182" s="27" t="n"/>
      <c r="N4182" s="27" t="n"/>
      <c r="O4182" s="27" t="n"/>
      <c r="P4182" s="27" t="n"/>
      <c r="Q4182" s="27" t="n"/>
      <c r="R4182" s="27" t="n"/>
      <c r="S4182" s="27" t="n"/>
      <c r="T4182" s="27" t="n"/>
    </row>
    <row r="4183" ht="13.8" customFormat="1" customHeight="1" s="70">
      <c r="M4183" s="27" t="n"/>
      <c r="N4183" s="27" t="n"/>
      <c r="O4183" s="27" t="n"/>
      <c r="P4183" s="27" t="n"/>
      <c r="Q4183" s="27" t="n"/>
      <c r="R4183" s="27" t="n"/>
      <c r="S4183" s="27" t="n"/>
      <c r="T4183" s="27" t="n"/>
    </row>
    <row r="4184" ht="13.8" customFormat="1" customHeight="1" s="70">
      <c r="M4184" s="27" t="n"/>
      <c r="N4184" s="27" t="n"/>
      <c r="O4184" s="27" t="n"/>
      <c r="P4184" s="27" t="n"/>
      <c r="Q4184" s="27" t="n"/>
      <c r="R4184" s="27" t="n"/>
      <c r="S4184" s="27" t="n"/>
      <c r="T4184" s="27" t="n"/>
    </row>
    <row r="4185" ht="13.8" customFormat="1" customHeight="1" s="70">
      <c r="M4185" s="27" t="n"/>
      <c r="N4185" s="27" t="n"/>
      <c r="O4185" s="27" t="n"/>
      <c r="P4185" s="27" t="n"/>
      <c r="Q4185" s="27" t="n"/>
      <c r="R4185" s="27" t="n"/>
      <c r="S4185" s="27" t="n"/>
      <c r="T4185" s="27" t="n"/>
    </row>
    <row r="4186" ht="13.8" customFormat="1" customHeight="1" s="70">
      <c r="M4186" s="27" t="n"/>
      <c r="N4186" s="27" t="n"/>
      <c r="O4186" s="27" t="n"/>
      <c r="P4186" s="27" t="n"/>
      <c r="Q4186" s="27" t="n"/>
      <c r="R4186" s="27" t="n"/>
      <c r="S4186" s="27" t="n"/>
      <c r="T4186" s="27" t="n"/>
    </row>
    <row r="4187" ht="13.8" customFormat="1" customHeight="1" s="70">
      <c r="M4187" s="27" t="n"/>
      <c r="N4187" s="27" t="n"/>
      <c r="O4187" s="27" t="n"/>
      <c r="P4187" s="27" t="n"/>
      <c r="Q4187" s="27" t="n"/>
      <c r="R4187" s="27" t="n"/>
      <c r="S4187" s="27" t="n"/>
      <c r="T4187" s="27" t="n"/>
    </row>
    <row r="4188" ht="13.8" customFormat="1" customHeight="1" s="70">
      <c r="M4188" s="27" t="n"/>
      <c r="N4188" s="27" t="n"/>
      <c r="O4188" s="27" t="n"/>
      <c r="P4188" s="27" t="n"/>
      <c r="Q4188" s="27" t="n"/>
      <c r="R4188" s="27" t="n"/>
      <c r="S4188" s="27" t="n"/>
      <c r="T4188" s="27" t="n"/>
    </row>
    <row r="4189" ht="13.8" customFormat="1" customHeight="1" s="70">
      <c r="M4189" s="27" t="n"/>
      <c r="N4189" s="27" t="n"/>
      <c r="O4189" s="27" t="n"/>
      <c r="P4189" s="27" t="n"/>
      <c r="Q4189" s="27" t="n"/>
      <c r="R4189" s="27" t="n"/>
      <c r="S4189" s="27" t="n"/>
      <c r="T4189" s="27" t="n"/>
    </row>
    <row r="4190" ht="13.8" customFormat="1" customHeight="1" s="70">
      <c r="M4190" s="27" t="n"/>
      <c r="N4190" s="27" t="n"/>
      <c r="O4190" s="27" t="n"/>
      <c r="P4190" s="27" t="n"/>
      <c r="Q4190" s="27" t="n"/>
      <c r="R4190" s="27" t="n"/>
      <c r="S4190" s="27" t="n"/>
      <c r="T4190" s="27" t="n"/>
    </row>
    <row r="4191" ht="13.8" customFormat="1" customHeight="1" s="70">
      <c r="M4191" s="27" t="n"/>
      <c r="N4191" s="27" t="n"/>
      <c r="O4191" s="27" t="n"/>
      <c r="P4191" s="27" t="n"/>
      <c r="Q4191" s="27" t="n"/>
      <c r="R4191" s="27" t="n"/>
      <c r="S4191" s="27" t="n"/>
      <c r="T4191" s="27" t="n"/>
    </row>
    <row r="4192" ht="13.8" customFormat="1" customHeight="1" s="70">
      <c r="M4192" s="27" t="n"/>
      <c r="N4192" s="27" t="n"/>
      <c r="O4192" s="27" t="n"/>
      <c r="P4192" s="27" t="n"/>
      <c r="Q4192" s="27" t="n"/>
      <c r="R4192" s="27" t="n"/>
      <c r="S4192" s="27" t="n"/>
      <c r="T4192" s="27" t="n"/>
    </row>
    <row r="4193" ht="13.8" customFormat="1" customHeight="1" s="70">
      <c r="M4193" s="27" t="n"/>
      <c r="N4193" s="27" t="n"/>
      <c r="O4193" s="27" t="n"/>
      <c r="P4193" s="27" t="n"/>
      <c r="Q4193" s="27" t="n"/>
      <c r="R4193" s="27" t="n"/>
      <c r="S4193" s="27" t="n"/>
      <c r="T4193" s="27" t="n"/>
    </row>
    <row r="4194" ht="13.8" customFormat="1" customHeight="1" s="70">
      <c r="M4194" s="27" t="n"/>
      <c r="N4194" s="27" t="n"/>
      <c r="O4194" s="27" t="n"/>
      <c r="P4194" s="27" t="n"/>
      <c r="Q4194" s="27" t="n"/>
      <c r="R4194" s="27" t="n"/>
      <c r="S4194" s="27" t="n"/>
      <c r="T4194" s="27" t="n"/>
    </row>
    <row r="4195" ht="13.8" customFormat="1" customHeight="1" s="70">
      <c r="M4195" s="27" t="n"/>
      <c r="N4195" s="27" t="n"/>
      <c r="O4195" s="27" t="n"/>
      <c r="P4195" s="27" t="n"/>
      <c r="Q4195" s="27" t="n"/>
      <c r="R4195" s="27" t="n"/>
      <c r="S4195" s="27" t="n"/>
      <c r="T4195" s="27" t="n"/>
    </row>
    <row r="4196" ht="13.8" customFormat="1" customHeight="1" s="70">
      <c r="M4196" s="27" t="n"/>
      <c r="N4196" s="27" t="n"/>
      <c r="O4196" s="27" t="n"/>
      <c r="P4196" s="27" t="n"/>
      <c r="Q4196" s="27" t="n"/>
      <c r="R4196" s="27" t="n"/>
      <c r="S4196" s="27" t="n"/>
      <c r="T4196" s="27" t="n"/>
    </row>
    <row r="4197" ht="13.8" customFormat="1" customHeight="1" s="70">
      <c r="M4197" s="27" t="n"/>
      <c r="N4197" s="27" t="n"/>
      <c r="O4197" s="27" t="n"/>
      <c r="P4197" s="27" t="n"/>
      <c r="Q4197" s="27" t="n"/>
      <c r="R4197" s="27" t="n"/>
      <c r="S4197" s="27" t="n"/>
      <c r="T4197" s="27" t="n"/>
    </row>
    <row r="4198" ht="13.8" customFormat="1" customHeight="1" s="70">
      <c r="M4198" s="27" t="n"/>
      <c r="N4198" s="27" t="n"/>
      <c r="O4198" s="27" t="n"/>
      <c r="P4198" s="27" t="n"/>
      <c r="Q4198" s="27" t="n"/>
      <c r="R4198" s="27" t="n"/>
      <c r="S4198" s="27" t="n"/>
      <c r="T4198" s="27" t="n"/>
    </row>
    <row r="4199" ht="13.8" customFormat="1" customHeight="1" s="70">
      <c r="M4199" s="27" t="n"/>
      <c r="N4199" s="27" t="n"/>
      <c r="O4199" s="27" t="n"/>
      <c r="P4199" s="27" t="n"/>
      <c r="Q4199" s="27" t="n"/>
      <c r="R4199" s="27" t="n"/>
      <c r="S4199" s="27" t="n"/>
      <c r="T4199" s="27" t="n"/>
    </row>
    <row r="4200" ht="13.8" customFormat="1" customHeight="1" s="70">
      <c r="M4200" s="27" t="n"/>
      <c r="N4200" s="27" t="n"/>
      <c r="O4200" s="27" t="n"/>
      <c r="P4200" s="27" t="n"/>
      <c r="Q4200" s="27" t="n"/>
      <c r="R4200" s="27" t="n"/>
      <c r="S4200" s="27" t="n"/>
      <c r="T4200" s="27" t="n"/>
    </row>
    <row r="4201" ht="13.8" customFormat="1" customHeight="1" s="70">
      <c r="M4201" s="27" t="n"/>
      <c r="N4201" s="27" t="n"/>
      <c r="O4201" s="27" t="n"/>
      <c r="P4201" s="27" t="n"/>
      <c r="Q4201" s="27" t="n"/>
      <c r="R4201" s="27" t="n"/>
      <c r="S4201" s="27" t="n"/>
      <c r="T4201" s="27" t="n"/>
    </row>
    <row r="4202" ht="13.8" customFormat="1" customHeight="1" s="70">
      <c r="M4202" s="27" t="n"/>
      <c r="N4202" s="27" t="n"/>
      <c r="O4202" s="27" t="n"/>
      <c r="P4202" s="27" t="n"/>
      <c r="Q4202" s="27" t="n"/>
      <c r="R4202" s="27" t="n"/>
      <c r="S4202" s="27" t="n"/>
      <c r="T4202" s="27" t="n"/>
    </row>
    <row r="4203" ht="13.8" customFormat="1" customHeight="1" s="70">
      <c r="M4203" s="27" t="n"/>
      <c r="N4203" s="27" t="n"/>
      <c r="O4203" s="27" t="n"/>
      <c r="P4203" s="27" t="n"/>
      <c r="Q4203" s="27" t="n"/>
      <c r="R4203" s="27" t="n"/>
      <c r="S4203" s="27" t="n"/>
      <c r="T4203" s="27" t="n"/>
    </row>
    <row r="4204" ht="13.8" customFormat="1" customHeight="1" s="70">
      <c r="M4204" s="27" t="n"/>
      <c r="N4204" s="27" t="n"/>
      <c r="O4204" s="27" t="n"/>
      <c r="P4204" s="27" t="n"/>
      <c r="Q4204" s="27" t="n"/>
      <c r="R4204" s="27" t="n"/>
      <c r="S4204" s="27" t="n"/>
      <c r="T4204" s="27" t="n"/>
    </row>
    <row r="4205" ht="13.8" customFormat="1" customHeight="1" s="70">
      <c r="M4205" s="27" t="n"/>
      <c r="N4205" s="27" t="n"/>
      <c r="O4205" s="27" t="n"/>
      <c r="P4205" s="27" t="n"/>
      <c r="Q4205" s="27" t="n"/>
      <c r="R4205" s="27" t="n"/>
      <c r="S4205" s="27" t="n"/>
      <c r="T4205" s="27" t="n"/>
    </row>
    <row r="4206" ht="13.8" customFormat="1" customHeight="1" s="70">
      <c r="M4206" s="27" t="n"/>
      <c r="N4206" s="27" t="n"/>
      <c r="O4206" s="27" t="n"/>
      <c r="P4206" s="27" t="n"/>
      <c r="Q4206" s="27" t="n"/>
      <c r="R4206" s="27" t="n"/>
      <c r="S4206" s="27" t="n"/>
      <c r="T4206" s="27" t="n"/>
    </row>
    <row r="4207" ht="13.8" customFormat="1" customHeight="1" s="70">
      <c r="M4207" s="27" t="n"/>
      <c r="N4207" s="27" t="n"/>
      <c r="O4207" s="27" t="n"/>
      <c r="P4207" s="27" t="n"/>
      <c r="Q4207" s="27" t="n"/>
      <c r="R4207" s="27" t="n"/>
      <c r="S4207" s="27" t="n"/>
      <c r="T4207" s="27" t="n"/>
    </row>
    <row r="4208" ht="13.8" customFormat="1" customHeight="1" s="70">
      <c r="M4208" s="27" t="n"/>
      <c r="N4208" s="27" t="n"/>
      <c r="O4208" s="27" t="n"/>
      <c r="P4208" s="27" t="n"/>
      <c r="Q4208" s="27" t="n"/>
      <c r="R4208" s="27" t="n"/>
      <c r="S4208" s="27" t="n"/>
      <c r="T4208" s="27" t="n"/>
    </row>
    <row r="4209" ht="13.8" customFormat="1" customHeight="1" s="70">
      <c r="M4209" s="27" t="n"/>
      <c r="N4209" s="27" t="n"/>
      <c r="O4209" s="27" t="n"/>
      <c r="P4209" s="27" t="n"/>
      <c r="Q4209" s="27" t="n"/>
      <c r="R4209" s="27" t="n"/>
      <c r="S4209" s="27" t="n"/>
      <c r="T4209" s="27" t="n"/>
    </row>
    <row r="4210" ht="13.8" customFormat="1" customHeight="1" s="70">
      <c r="M4210" s="27" t="n"/>
      <c r="N4210" s="27" t="n"/>
      <c r="O4210" s="27" t="n"/>
      <c r="P4210" s="27" t="n"/>
      <c r="Q4210" s="27" t="n"/>
      <c r="R4210" s="27" t="n"/>
      <c r="S4210" s="27" t="n"/>
      <c r="T4210" s="27" t="n"/>
    </row>
    <row r="4211" ht="13.8" customFormat="1" customHeight="1" s="70">
      <c r="M4211" s="27" t="n"/>
      <c r="N4211" s="27" t="n"/>
      <c r="O4211" s="27" t="n"/>
      <c r="P4211" s="27" t="n"/>
      <c r="Q4211" s="27" t="n"/>
      <c r="R4211" s="27" t="n"/>
      <c r="S4211" s="27" t="n"/>
      <c r="T4211" s="27" t="n"/>
    </row>
    <row r="4212" ht="13.8" customFormat="1" customHeight="1" s="70">
      <c r="M4212" s="27" t="n"/>
      <c r="N4212" s="27" t="n"/>
      <c r="O4212" s="27" t="n"/>
      <c r="P4212" s="27" t="n"/>
      <c r="Q4212" s="27" t="n"/>
      <c r="R4212" s="27" t="n"/>
      <c r="S4212" s="27" t="n"/>
      <c r="T4212" s="27" t="n"/>
    </row>
    <row r="4213" ht="13.8" customFormat="1" customHeight="1" s="70">
      <c r="M4213" s="27" t="n"/>
      <c r="N4213" s="27" t="n"/>
      <c r="O4213" s="27" t="n"/>
      <c r="P4213" s="27" t="n"/>
      <c r="Q4213" s="27" t="n"/>
      <c r="R4213" s="27" t="n"/>
      <c r="S4213" s="27" t="n"/>
      <c r="T4213" s="27" t="n"/>
    </row>
    <row r="4214" ht="13.8" customFormat="1" customHeight="1" s="70">
      <c r="M4214" s="27" t="n"/>
      <c r="N4214" s="27" t="n"/>
      <c r="O4214" s="27" t="n"/>
      <c r="P4214" s="27" t="n"/>
      <c r="Q4214" s="27" t="n"/>
      <c r="R4214" s="27" t="n"/>
      <c r="S4214" s="27" t="n"/>
      <c r="T4214" s="27" t="n"/>
    </row>
    <row r="4215" ht="13.8" customFormat="1" customHeight="1" s="70">
      <c r="M4215" s="27" t="n"/>
      <c r="N4215" s="27" t="n"/>
      <c r="O4215" s="27" t="n"/>
      <c r="P4215" s="27" t="n"/>
      <c r="Q4215" s="27" t="n"/>
      <c r="R4215" s="27" t="n"/>
      <c r="S4215" s="27" t="n"/>
      <c r="T4215" s="27" t="n"/>
    </row>
    <row r="4216" ht="13.8" customFormat="1" customHeight="1" s="70">
      <c r="M4216" s="27" t="n"/>
      <c r="N4216" s="27" t="n"/>
      <c r="O4216" s="27" t="n"/>
      <c r="P4216" s="27" t="n"/>
      <c r="Q4216" s="27" t="n"/>
      <c r="R4216" s="27" t="n"/>
      <c r="S4216" s="27" t="n"/>
      <c r="T4216" s="27" t="n"/>
    </row>
    <row r="4217" ht="13.8" customFormat="1" customHeight="1" s="70">
      <c r="M4217" s="27" t="n"/>
      <c r="N4217" s="27" t="n"/>
      <c r="O4217" s="27" t="n"/>
      <c r="P4217" s="27" t="n"/>
      <c r="Q4217" s="27" t="n"/>
      <c r="R4217" s="27" t="n"/>
      <c r="S4217" s="27" t="n"/>
      <c r="T4217" s="27" t="n"/>
    </row>
    <row r="4218" ht="13.8" customFormat="1" customHeight="1" s="70">
      <c r="M4218" s="27" t="n"/>
      <c r="N4218" s="27" t="n"/>
      <c r="O4218" s="27" t="n"/>
      <c r="P4218" s="27" t="n"/>
      <c r="Q4218" s="27" t="n"/>
      <c r="R4218" s="27" t="n"/>
      <c r="S4218" s="27" t="n"/>
      <c r="T4218" s="27" t="n"/>
    </row>
    <row r="4219" ht="13.8" customFormat="1" customHeight="1" s="70">
      <c r="M4219" s="27" t="n"/>
      <c r="N4219" s="27" t="n"/>
      <c r="O4219" s="27" t="n"/>
      <c r="P4219" s="27" t="n"/>
      <c r="Q4219" s="27" t="n"/>
      <c r="R4219" s="27" t="n"/>
      <c r="S4219" s="27" t="n"/>
      <c r="T4219" s="27" t="n"/>
    </row>
    <row r="4220" ht="13.8" customFormat="1" customHeight="1" s="70">
      <c r="M4220" s="27" t="n"/>
      <c r="N4220" s="27" t="n"/>
      <c r="O4220" s="27" t="n"/>
      <c r="P4220" s="27" t="n"/>
      <c r="Q4220" s="27" t="n"/>
      <c r="R4220" s="27" t="n"/>
      <c r="S4220" s="27" t="n"/>
      <c r="T4220" s="27" t="n"/>
    </row>
    <row r="4221" ht="13.8" customFormat="1" customHeight="1" s="70">
      <c r="M4221" s="27" t="n"/>
      <c r="N4221" s="27" t="n"/>
      <c r="O4221" s="27" t="n"/>
      <c r="P4221" s="27" t="n"/>
      <c r="Q4221" s="27" t="n"/>
      <c r="R4221" s="27" t="n"/>
      <c r="S4221" s="27" t="n"/>
      <c r="T4221" s="27" t="n"/>
    </row>
    <row r="4222" ht="13.8" customFormat="1" customHeight="1" s="70">
      <c r="M4222" s="27" t="n"/>
      <c r="N4222" s="27" t="n"/>
      <c r="O4222" s="27" t="n"/>
      <c r="P4222" s="27" t="n"/>
      <c r="Q4222" s="27" t="n"/>
      <c r="R4222" s="27" t="n"/>
      <c r="S4222" s="27" t="n"/>
      <c r="T4222" s="27" t="n"/>
    </row>
    <row r="4223" ht="13.8" customFormat="1" customHeight="1" s="70">
      <c r="M4223" s="27" t="n"/>
      <c r="N4223" s="27" t="n"/>
      <c r="O4223" s="27" t="n"/>
      <c r="P4223" s="27" t="n"/>
      <c r="Q4223" s="27" t="n"/>
      <c r="R4223" s="27" t="n"/>
      <c r="S4223" s="27" t="n"/>
      <c r="T4223" s="27" t="n"/>
    </row>
    <row r="4224" ht="13.8" customFormat="1" customHeight="1" s="70">
      <c r="M4224" s="27" t="n"/>
      <c r="N4224" s="27" t="n"/>
      <c r="O4224" s="27" t="n"/>
      <c r="P4224" s="27" t="n"/>
      <c r="Q4224" s="27" t="n"/>
      <c r="R4224" s="27" t="n"/>
      <c r="S4224" s="27" t="n"/>
      <c r="T4224" s="27" t="n"/>
    </row>
    <row r="4225" ht="13.8" customFormat="1" customHeight="1" s="70">
      <c r="M4225" s="27" t="n"/>
      <c r="N4225" s="27" t="n"/>
      <c r="O4225" s="27" t="n"/>
      <c r="P4225" s="27" t="n"/>
      <c r="Q4225" s="27" t="n"/>
      <c r="R4225" s="27" t="n"/>
      <c r="S4225" s="27" t="n"/>
      <c r="T4225" s="27" t="n"/>
    </row>
    <row r="4226" ht="13.8" customFormat="1" customHeight="1" s="70">
      <c r="M4226" s="27" t="n"/>
      <c r="N4226" s="27" t="n"/>
      <c r="O4226" s="27" t="n"/>
      <c r="P4226" s="27" t="n"/>
      <c r="Q4226" s="27" t="n"/>
      <c r="R4226" s="27" t="n"/>
      <c r="S4226" s="27" t="n"/>
      <c r="T4226" s="27" t="n"/>
    </row>
    <row r="4227" ht="13.8" customFormat="1" customHeight="1" s="70">
      <c r="M4227" s="27" t="n"/>
      <c r="N4227" s="27" t="n"/>
      <c r="O4227" s="27" t="n"/>
      <c r="P4227" s="27" t="n"/>
      <c r="Q4227" s="27" t="n"/>
      <c r="R4227" s="27" t="n"/>
      <c r="S4227" s="27" t="n"/>
      <c r="T4227" s="27" t="n"/>
    </row>
    <row r="4228" ht="13.8" customFormat="1" customHeight="1" s="70">
      <c r="M4228" s="27" t="n"/>
      <c r="N4228" s="27" t="n"/>
      <c r="O4228" s="27" t="n"/>
      <c r="P4228" s="27" t="n"/>
      <c r="Q4228" s="27" t="n"/>
      <c r="R4228" s="27" t="n"/>
      <c r="S4228" s="27" t="n"/>
      <c r="T4228" s="27" t="n"/>
    </row>
    <row r="4229" ht="13.8" customFormat="1" customHeight="1" s="70">
      <c r="M4229" s="27" t="n"/>
      <c r="N4229" s="27" t="n"/>
      <c r="O4229" s="27" t="n"/>
      <c r="P4229" s="27" t="n"/>
      <c r="Q4229" s="27" t="n"/>
      <c r="R4229" s="27" t="n"/>
      <c r="S4229" s="27" t="n"/>
      <c r="T4229" s="27" t="n"/>
    </row>
    <row r="4230" ht="13.8" customFormat="1" customHeight="1" s="70">
      <c r="M4230" s="27" t="n"/>
      <c r="N4230" s="27" t="n"/>
      <c r="O4230" s="27" t="n"/>
      <c r="P4230" s="27" t="n"/>
      <c r="Q4230" s="27" t="n"/>
      <c r="R4230" s="27" t="n"/>
      <c r="S4230" s="27" t="n"/>
      <c r="T4230" s="27" t="n"/>
    </row>
    <row r="4231" ht="13.8" customFormat="1" customHeight="1" s="70">
      <c r="M4231" s="27" t="n"/>
      <c r="N4231" s="27" t="n"/>
      <c r="O4231" s="27" t="n"/>
      <c r="P4231" s="27" t="n"/>
      <c r="Q4231" s="27" t="n"/>
      <c r="R4231" s="27" t="n"/>
      <c r="S4231" s="27" t="n"/>
      <c r="T4231" s="27" t="n"/>
    </row>
    <row r="4232" ht="13.8" customFormat="1" customHeight="1" s="70">
      <c r="M4232" s="27" t="n"/>
      <c r="N4232" s="27" t="n"/>
      <c r="O4232" s="27" t="n"/>
      <c r="P4232" s="27" t="n"/>
      <c r="Q4232" s="27" t="n"/>
      <c r="R4232" s="27" t="n"/>
      <c r="S4232" s="27" t="n"/>
      <c r="T4232" s="27" t="n"/>
    </row>
    <row r="4233" ht="13.8" customFormat="1" customHeight="1" s="70">
      <c r="M4233" s="27" t="n"/>
      <c r="N4233" s="27" t="n"/>
      <c r="O4233" s="27" t="n"/>
      <c r="P4233" s="27" t="n"/>
      <c r="Q4233" s="27" t="n"/>
      <c r="R4233" s="27" t="n"/>
      <c r="S4233" s="27" t="n"/>
      <c r="T4233" s="27" t="n"/>
    </row>
    <row r="4234" ht="13.8" customFormat="1" customHeight="1" s="70">
      <c r="M4234" s="27" t="n"/>
      <c r="N4234" s="27" t="n"/>
      <c r="O4234" s="27" t="n"/>
      <c r="P4234" s="27" t="n"/>
      <c r="Q4234" s="27" t="n"/>
      <c r="R4234" s="27" t="n"/>
      <c r="S4234" s="27" t="n"/>
      <c r="T4234" s="27" t="n"/>
    </row>
    <row r="4235" ht="13.8" customFormat="1" customHeight="1" s="70">
      <c r="M4235" s="27" t="n"/>
      <c r="N4235" s="27" t="n"/>
      <c r="O4235" s="27" t="n"/>
      <c r="P4235" s="27" t="n"/>
      <c r="Q4235" s="27" t="n"/>
      <c r="R4235" s="27" t="n"/>
      <c r="S4235" s="27" t="n"/>
      <c r="T4235" s="27" t="n"/>
    </row>
    <row r="4236" ht="13.8" customFormat="1" customHeight="1" s="70">
      <c r="M4236" s="27" t="n"/>
      <c r="N4236" s="27" t="n"/>
      <c r="O4236" s="27" t="n"/>
      <c r="P4236" s="27" t="n"/>
      <c r="Q4236" s="27" t="n"/>
      <c r="R4236" s="27" t="n"/>
      <c r="S4236" s="27" t="n"/>
      <c r="T4236" s="27" t="n"/>
    </row>
    <row r="4237" ht="13.8" customFormat="1" customHeight="1" s="70">
      <c r="M4237" s="27" t="n"/>
      <c r="N4237" s="27" t="n"/>
      <c r="O4237" s="27" t="n"/>
      <c r="P4237" s="27" t="n"/>
      <c r="Q4237" s="27" t="n"/>
      <c r="R4237" s="27" t="n"/>
      <c r="S4237" s="27" t="n"/>
      <c r="T4237" s="27" t="n"/>
    </row>
    <row r="4238" ht="13.8" customFormat="1" customHeight="1" s="70">
      <c r="M4238" s="27" t="n"/>
      <c r="N4238" s="27" t="n"/>
      <c r="O4238" s="27" t="n"/>
      <c r="P4238" s="27" t="n"/>
      <c r="Q4238" s="27" t="n"/>
      <c r="R4238" s="27" t="n"/>
      <c r="S4238" s="27" t="n"/>
      <c r="T4238" s="27" t="n"/>
    </row>
    <row r="4239" ht="13.8" customFormat="1" customHeight="1" s="70">
      <c r="M4239" s="27" t="n"/>
      <c r="N4239" s="27" t="n"/>
      <c r="O4239" s="27" t="n"/>
      <c r="P4239" s="27" t="n"/>
      <c r="Q4239" s="27" t="n"/>
      <c r="R4239" s="27" t="n"/>
      <c r="S4239" s="27" t="n"/>
      <c r="T4239" s="27" t="n"/>
    </row>
    <row r="4240" ht="13.8" customFormat="1" customHeight="1" s="70">
      <c r="M4240" s="27" t="n"/>
      <c r="N4240" s="27" t="n"/>
      <c r="O4240" s="27" t="n"/>
      <c r="P4240" s="27" t="n"/>
      <c r="Q4240" s="27" t="n"/>
      <c r="R4240" s="27" t="n"/>
      <c r="S4240" s="27" t="n"/>
      <c r="T4240" s="27" t="n"/>
    </row>
    <row r="4241" ht="13.8" customFormat="1" customHeight="1" s="70">
      <c r="M4241" s="27" t="n"/>
      <c r="N4241" s="27" t="n"/>
      <c r="O4241" s="27" t="n"/>
      <c r="P4241" s="27" t="n"/>
      <c r="Q4241" s="27" t="n"/>
      <c r="R4241" s="27" t="n"/>
      <c r="S4241" s="27" t="n"/>
      <c r="T4241" s="27" t="n"/>
    </row>
    <row r="4242" ht="13.8" customFormat="1" customHeight="1" s="70">
      <c r="M4242" s="27" t="n"/>
      <c r="N4242" s="27" t="n"/>
      <c r="O4242" s="27" t="n"/>
      <c r="P4242" s="27" t="n"/>
      <c r="Q4242" s="27" t="n"/>
      <c r="R4242" s="27" t="n"/>
      <c r="S4242" s="27" t="n"/>
      <c r="T4242" s="27" t="n"/>
    </row>
    <row r="4243" ht="13.8" customFormat="1" customHeight="1" s="70">
      <c r="M4243" s="27" t="n"/>
      <c r="N4243" s="27" t="n"/>
      <c r="O4243" s="27" t="n"/>
      <c r="P4243" s="27" t="n"/>
      <c r="Q4243" s="27" t="n"/>
      <c r="R4243" s="27" t="n"/>
      <c r="S4243" s="27" t="n"/>
      <c r="T4243" s="27" t="n"/>
    </row>
    <row r="4244" ht="13.8" customFormat="1" customHeight="1" s="70">
      <c r="M4244" s="27" t="n"/>
      <c r="N4244" s="27" t="n"/>
      <c r="O4244" s="27" t="n"/>
      <c r="P4244" s="27" t="n"/>
      <c r="Q4244" s="27" t="n"/>
      <c r="R4244" s="27" t="n"/>
      <c r="S4244" s="27" t="n"/>
      <c r="T4244" s="27" t="n"/>
    </row>
    <row r="4245" ht="13.8" customFormat="1" customHeight="1" s="70">
      <c r="M4245" s="27" t="n"/>
      <c r="N4245" s="27" t="n"/>
      <c r="O4245" s="27" t="n"/>
      <c r="P4245" s="27" t="n"/>
      <c r="Q4245" s="27" t="n"/>
      <c r="R4245" s="27" t="n"/>
      <c r="S4245" s="27" t="n"/>
      <c r="T4245" s="27" t="n"/>
    </row>
    <row r="4246" ht="13.8" customFormat="1" customHeight="1" s="70">
      <c r="M4246" s="27" t="n"/>
      <c r="N4246" s="27" t="n"/>
      <c r="O4246" s="27" t="n"/>
      <c r="P4246" s="27" t="n"/>
      <c r="Q4246" s="27" t="n"/>
      <c r="R4246" s="27" t="n"/>
      <c r="S4246" s="27" t="n"/>
      <c r="T4246" s="27" t="n"/>
    </row>
    <row r="4247" ht="13.8" customFormat="1" customHeight="1" s="70">
      <c r="M4247" s="27" t="n"/>
      <c r="N4247" s="27" t="n"/>
      <c r="O4247" s="27" t="n"/>
      <c r="P4247" s="27" t="n"/>
      <c r="Q4247" s="27" t="n"/>
      <c r="R4247" s="27" t="n"/>
      <c r="S4247" s="27" t="n"/>
      <c r="T4247" s="27" t="n"/>
    </row>
    <row r="4248" ht="13.8" customFormat="1" customHeight="1" s="70">
      <c r="M4248" s="27" t="n"/>
      <c r="N4248" s="27" t="n"/>
      <c r="O4248" s="27" t="n"/>
      <c r="P4248" s="27" t="n"/>
      <c r="Q4248" s="27" t="n"/>
      <c r="R4248" s="27" t="n"/>
      <c r="S4248" s="27" t="n"/>
      <c r="T4248" s="27" t="n"/>
    </row>
    <row r="4249" ht="13.8" customFormat="1" customHeight="1" s="70">
      <c r="M4249" s="27" t="n"/>
      <c r="N4249" s="27" t="n"/>
      <c r="O4249" s="27" t="n"/>
      <c r="P4249" s="27" t="n"/>
      <c r="Q4249" s="27" t="n"/>
      <c r="R4249" s="27" t="n"/>
      <c r="S4249" s="27" t="n"/>
      <c r="T4249" s="27" t="n"/>
    </row>
    <row r="4250" ht="13.8" customFormat="1" customHeight="1" s="70">
      <c r="M4250" s="27" t="n"/>
      <c r="N4250" s="27" t="n"/>
      <c r="O4250" s="27" t="n"/>
      <c r="P4250" s="27" t="n"/>
      <c r="Q4250" s="27" t="n"/>
      <c r="R4250" s="27" t="n"/>
      <c r="S4250" s="27" t="n"/>
      <c r="T4250" s="27" t="n"/>
    </row>
    <row r="4251" ht="13.8" customFormat="1" customHeight="1" s="70">
      <c r="M4251" s="27" t="n"/>
      <c r="N4251" s="27" t="n"/>
      <c r="O4251" s="27" t="n"/>
      <c r="P4251" s="27" t="n"/>
      <c r="Q4251" s="27" t="n"/>
      <c r="R4251" s="27" t="n"/>
      <c r="S4251" s="27" t="n"/>
      <c r="T4251" s="27" t="n"/>
    </row>
    <row r="4252" ht="13.8" customFormat="1" customHeight="1" s="70">
      <c r="M4252" s="27" t="n"/>
      <c r="N4252" s="27" t="n"/>
      <c r="O4252" s="27" t="n"/>
      <c r="P4252" s="27" t="n"/>
      <c r="Q4252" s="27" t="n"/>
      <c r="R4252" s="27" t="n"/>
      <c r="S4252" s="27" t="n"/>
      <c r="T4252" s="27" t="n"/>
    </row>
    <row r="4253" ht="13.8" customFormat="1" customHeight="1" s="70">
      <c r="M4253" s="27" t="n"/>
      <c r="N4253" s="27" t="n"/>
      <c r="O4253" s="27" t="n"/>
      <c r="P4253" s="27" t="n"/>
      <c r="Q4253" s="27" t="n"/>
      <c r="R4253" s="27" t="n"/>
      <c r="S4253" s="27" t="n"/>
      <c r="T4253" s="27" t="n"/>
    </row>
    <row r="4254" ht="13.8" customFormat="1" customHeight="1" s="70">
      <c r="M4254" s="27" t="n"/>
      <c r="N4254" s="27" t="n"/>
      <c r="O4254" s="27" t="n"/>
      <c r="P4254" s="27" t="n"/>
      <c r="Q4254" s="27" t="n"/>
      <c r="R4254" s="27" t="n"/>
      <c r="S4254" s="27" t="n"/>
      <c r="T4254" s="27" t="n"/>
    </row>
    <row r="4255" ht="13.8" customFormat="1" customHeight="1" s="70">
      <c r="M4255" s="27" t="n"/>
      <c r="N4255" s="27" t="n"/>
      <c r="O4255" s="27" t="n"/>
      <c r="P4255" s="27" t="n"/>
      <c r="Q4255" s="27" t="n"/>
      <c r="R4255" s="27" t="n"/>
      <c r="S4255" s="27" t="n"/>
      <c r="T4255" s="27" t="n"/>
    </row>
    <row r="4256" ht="13.8" customFormat="1" customHeight="1" s="70">
      <c r="M4256" s="27" t="n"/>
      <c r="N4256" s="27" t="n"/>
      <c r="O4256" s="27" t="n"/>
      <c r="P4256" s="27" t="n"/>
      <c r="Q4256" s="27" t="n"/>
      <c r="R4256" s="27" t="n"/>
      <c r="S4256" s="27" t="n"/>
      <c r="T4256" s="27" t="n"/>
    </row>
    <row r="4257" ht="13.8" customFormat="1" customHeight="1" s="70">
      <c r="M4257" s="27" t="n"/>
      <c r="N4257" s="27" t="n"/>
      <c r="O4257" s="27" t="n"/>
      <c r="P4257" s="27" t="n"/>
      <c r="Q4257" s="27" t="n"/>
      <c r="R4257" s="27" t="n"/>
      <c r="S4257" s="27" t="n"/>
      <c r="T4257" s="27" t="n"/>
    </row>
    <row r="4258" ht="13.8" customFormat="1" customHeight="1" s="70">
      <c r="M4258" s="27" t="n"/>
      <c r="N4258" s="27" t="n"/>
      <c r="O4258" s="27" t="n"/>
      <c r="P4258" s="27" t="n"/>
      <c r="Q4258" s="27" t="n"/>
      <c r="R4258" s="27" t="n"/>
      <c r="S4258" s="27" t="n"/>
      <c r="T4258" s="27" t="n"/>
    </row>
    <row r="4259" ht="13.8" customFormat="1" customHeight="1" s="70">
      <c r="M4259" s="27" t="n"/>
      <c r="N4259" s="27" t="n"/>
      <c r="O4259" s="27" t="n"/>
      <c r="P4259" s="27" t="n"/>
      <c r="Q4259" s="27" t="n"/>
      <c r="R4259" s="27" t="n"/>
      <c r="S4259" s="27" t="n"/>
      <c r="T4259" s="27" t="n"/>
    </row>
    <row r="4260" ht="13.8" customFormat="1" customHeight="1" s="70">
      <c r="M4260" s="27" t="n"/>
      <c r="N4260" s="27" t="n"/>
      <c r="O4260" s="27" t="n"/>
      <c r="P4260" s="27" t="n"/>
      <c r="Q4260" s="27" t="n"/>
      <c r="R4260" s="27" t="n"/>
      <c r="S4260" s="27" t="n"/>
      <c r="T4260" s="27" t="n"/>
    </row>
    <row r="4261" ht="13.8" customFormat="1" customHeight="1" s="70">
      <c r="M4261" s="27" t="n"/>
      <c r="N4261" s="27" t="n"/>
      <c r="O4261" s="27" t="n"/>
      <c r="P4261" s="27" t="n"/>
      <c r="Q4261" s="27" t="n"/>
      <c r="R4261" s="27" t="n"/>
      <c r="S4261" s="27" t="n"/>
      <c r="T4261" s="27" t="n"/>
    </row>
    <row r="4262" ht="13.8" customFormat="1" customHeight="1" s="70">
      <c r="M4262" s="27" t="n"/>
      <c r="N4262" s="27" t="n"/>
      <c r="O4262" s="27" t="n"/>
      <c r="P4262" s="27" t="n"/>
      <c r="Q4262" s="27" t="n"/>
      <c r="R4262" s="27" t="n"/>
      <c r="S4262" s="27" t="n"/>
      <c r="T4262" s="27" t="n"/>
    </row>
    <row r="4263" ht="13.8" customFormat="1" customHeight="1" s="70">
      <c r="M4263" s="27" t="n"/>
      <c r="N4263" s="27" t="n"/>
      <c r="O4263" s="27" t="n"/>
      <c r="P4263" s="27" t="n"/>
      <c r="Q4263" s="27" t="n"/>
      <c r="R4263" s="27" t="n"/>
      <c r="S4263" s="27" t="n"/>
      <c r="T4263" s="27" t="n"/>
    </row>
    <row r="4264" ht="13.8" customFormat="1" customHeight="1" s="70">
      <c r="M4264" s="27" t="n"/>
      <c r="N4264" s="27" t="n"/>
      <c r="O4264" s="27" t="n"/>
      <c r="P4264" s="27" t="n"/>
      <c r="Q4264" s="27" t="n"/>
      <c r="R4264" s="27" t="n"/>
      <c r="S4264" s="27" t="n"/>
      <c r="T4264" s="27" t="n"/>
    </row>
    <row r="4265" ht="13.8" customFormat="1" customHeight="1" s="70">
      <c r="M4265" s="27" t="n"/>
      <c r="N4265" s="27" t="n"/>
      <c r="O4265" s="27" t="n"/>
      <c r="P4265" s="27" t="n"/>
      <c r="Q4265" s="27" t="n"/>
      <c r="R4265" s="27" t="n"/>
      <c r="S4265" s="27" t="n"/>
      <c r="T4265" s="27" t="n"/>
    </row>
    <row r="4266" ht="13.8" customFormat="1" customHeight="1" s="70">
      <c r="M4266" s="27" t="n"/>
      <c r="N4266" s="27" t="n"/>
      <c r="O4266" s="27" t="n"/>
      <c r="P4266" s="27" t="n"/>
      <c r="Q4266" s="27" t="n"/>
      <c r="R4266" s="27" t="n"/>
      <c r="S4266" s="27" t="n"/>
      <c r="T4266" s="27" t="n"/>
    </row>
    <row r="4267" ht="13.8" customFormat="1" customHeight="1" s="70">
      <c r="M4267" s="27" t="n"/>
      <c r="N4267" s="27" t="n"/>
      <c r="O4267" s="27" t="n"/>
      <c r="P4267" s="27" t="n"/>
      <c r="Q4267" s="27" t="n"/>
      <c r="R4267" s="27" t="n"/>
      <c r="S4267" s="27" t="n"/>
      <c r="T4267" s="27" t="n"/>
    </row>
    <row r="4268" ht="13.8" customFormat="1" customHeight="1" s="70">
      <c r="M4268" s="27" t="n"/>
      <c r="N4268" s="27" t="n"/>
      <c r="O4268" s="27" t="n"/>
      <c r="P4268" s="27" t="n"/>
      <c r="Q4268" s="27" t="n"/>
      <c r="R4268" s="27" t="n"/>
      <c r="S4268" s="27" t="n"/>
      <c r="T4268" s="27" t="n"/>
    </row>
    <row r="4269" ht="13.8" customFormat="1" customHeight="1" s="70">
      <c r="M4269" s="27" t="n"/>
      <c r="N4269" s="27" t="n"/>
      <c r="O4269" s="27" t="n"/>
      <c r="P4269" s="27" t="n"/>
      <c r="Q4269" s="27" t="n"/>
      <c r="R4269" s="27" t="n"/>
      <c r="S4269" s="27" t="n"/>
      <c r="T4269" s="27" t="n"/>
    </row>
    <row r="4270" ht="13.8" customFormat="1" customHeight="1" s="70">
      <c r="M4270" s="27" t="n"/>
      <c r="N4270" s="27" t="n"/>
      <c r="O4270" s="27" t="n"/>
      <c r="P4270" s="27" t="n"/>
      <c r="Q4270" s="27" t="n"/>
      <c r="R4270" s="27" t="n"/>
      <c r="S4270" s="27" t="n"/>
      <c r="T4270" s="27" t="n"/>
    </row>
    <row r="4271" ht="13.8" customFormat="1" customHeight="1" s="70">
      <c r="M4271" s="27" t="n"/>
      <c r="N4271" s="27" t="n"/>
      <c r="O4271" s="27" t="n"/>
      <c r="P4271" s="27" t="n"/>
      <c r="Q4271" s="27" t="n"/>
      <c r="R4271" s="27" t="n"/>
      <c r="S4271" s="27" t="n"/>
      <c r="T4271" s="27" t="n"/>
    </row>
    <row r="4272" ht="13.8" customFormat="1" customHeight="1" s="70">
      <c r="M4272" s="27" t="n"/>
      <c r="N4272" s="27" t="n"/>
      <c r="O4272" s="27" t="n"/>
      <c r="P4272" s="27" t="n"/>
      <c r="Q4272" s="27" t="n"/>
      <c r="R4272" s="27" t="n"/>
      <c r="S4272" s="27" t="n"/>
      <c r="T4272" s="27" t="n"/>
    </row>
    <row r="4273" ht="13.8" customFormat="1" customHeight="1" s="70">
      <c r="M4273" s="27" t="n"/>
      <c r="N4273" s="27" t="n"/>
      <c r="O4273" s="27" t="n"/>
      <c r="P4273" s="27" t="n"/>
      <c r="Q4273" s="27" t="n"/>
      <c r="R4273" s="27" t="n"/>
      <c r="S4273" s="27" t="n"/>
      <c r="T4273" s="27" t="n"/>
    </row>
    <row r="4274" ht="13.8" customFormat="1" customHeight="1" s="70">
      <c r="M4274" s="27" t="n"/>
      <c r="N4274" s="27" t="n"/>
      <c r="O4274" s="27" t="n"/>
      <c r="P4274" s="27" t="n"/>
      <c r="Q4274" s="27" t="n"/>
      <c r="R4274" s="27" t="n"/>
      <c r="S4274" s="27" t="n"/>
      <c r="T4274" s="27" t="n"/>
    </row>
    <row r="4275" ht="13.8" customFormat="1" customHeight="1" s="70">
      <c r="M4275" s="27" t="n"/>
      <c r="N4275" s="27" t="n"/>
      <c r="O4275" s="27" t="n"/>
      <c r="P4275" s="27" t="n"/>
      <c r="Q4275" s="27" t="n"/>
      <c r="R4275" s="27" t="n"/>
      <c r="S4275" s="27" t="n"/>
      <c r="T4275" s="27" t="n"/>
    </row>
    <row r="4276" ht="13.8" customFormat="1" customHeight="1" s="70">
      <c r="M4276" s="27" t="n"/>
      <c r="N4276" s="27" t="n"/>
      <c r="O4276" s="27" t="n"/>
      <c r="P4276" s="27" t="n"/>
      <c r="Q4276" s="27" t="n"/>
      <c r="R4276" s="27" t="n"/>
      <c r="S4276" s="27" t="n"/>
      <c r="T4276" s="27" t="n"/>
    </row>
    <row r="4277" ht="13.8" customFormat="1" customHeight="1" s="70">
      <c r="M4277" s="27" t="n"/>
      <c r="N4277" s="27" t="n"/>
      <c r="O4277" s="27" t="n"/>
      <c r="P4277" s="27" t="n"/>
      <c r="Q4277" s="27" t="n"/>
      <c r="R4277" s="27" t="n"/>
      <c r="S4277" s="27" t="n"/>
      <c r="T4277" s="27" t="n"/>
    </row>
    <row r="4278" ht="13.8" customFormat="1" customHeight="1" s="70">
      <c r="M4278" s="27" t="n"/>
      <c r="N4278" s="27" t="n"/>
      <c r="O4278" s="27" t="n"/>
      <c r="P4278" s="27" t="n"/>
      <c r="Q4278" s="27" t="n"/>
      <c r="R4278" s="27" t="n"/>
      <c r="S4278" s="27" t="n"/>
      <c r="T4278" s="27" t="n"/>
    </row>
    <row r="4279" ht="13.8" customFormat="1" customHeight="1" s="70">
      <c r="M4279" s="27" t="n"/>
      <c r="N4279" s="27" t="n"/>
      <c r="O4279" s="27" t="n"/>
      <c r="P4279" s="27" t="n"/>
      <c r="Q4279" s="27" t="n"/>
      <c r="R4279" s="27" t="n"/>
      <c r="S4279" s="27" t="n"/>
      <c r="T4279" s="27" t="n"/>
    </row>
    <row r="4280" ht="13.8" customFormat="1" customHeight="1" s="70">
      <c r="M4280" s="27" t="n"/>
      <c r="N4280" s="27" t="n"/>
      <c r="O4280" s="27" t="n"/>
      <c r="P4280" s="27" t="n"/>
      <c r="Q4280" s="27" t="n"/>
      <c r="R4280" s="27" t="n"/>
      <c r="S4280" s="27" t="n"/>
      <c r="T4280" s="27" t="n"/>
    </row>
    <row r="4281" ht="13.8" customFormat="1" customHeight="1" s="70">
      <c r="M4281" s="27" t="n"/>
      <c r="N4281" s="27" t="n"/>
      <c r="O4281" s="27" t="n"/>
      <c r="P4281" s="27" t="n"/>
      <c r="Q4281" s="27" t="n"/>
      <c r="R4281" s="27" t="n"/>
      <c r="S4281" s="27" t="n"/>
      <c r="T4281" s="27" t="n"/>
    </row>
    <row r="4282" ht="13.8" customFormat="1" customHeight="1" s="70">
      <c r="M4282" s="27" t="n"/>
      <c r="N4282" s="27" t="n"/>
      <c r="O4282" s="27" t="n"/>
      <c r="P4282" s="27" t="n"/>
      <c r="Q4282" s="27" t="n"/>
      <c r="R4282" s="27" t="n"/>
      <c r="S4282" s="27" t="n"/>
      <c r="T4282" s="27" t="n"/>
    </row>
    <row r="4283" ht="13.8" customFormat="1" customHeight="1" s="70">
      <c r="M4283" s="27" t="n"/>
      <c r="N4283" s="27" t="n"/>
      <c r="O4283" s="27" t="n"/>
      <c r="P4283" s="27" t="n"/>
      <c r="Q4283" s="27" t="n"/>
      <c r="R4283" s="27" t="n"/>
      <c r="S4283" s="27" t="n"/>
      <c r="T4283" s="27" t="n"/>
    </row>
    <row r="4284" ht="13.8" customFormat="1" customHeight="1" s="70">
      <c r="M4284" s="27" t="n"/>
      <c r="N4284" s="27" t="n"/>
      <c r="O4284" s="27" t="n"/>
      <c r="P4284" s="27" t="n"/>
      <c r="Q4284" s="27" t="n"/>
      <c r="R4284" s="27" t="n"/>
      <c r="S4284" s="27" t="n"/>
      <c r="T4284" s="27" t="n"/>
    </row>
    <row r="4285" ht="13.8" customFormat="1" customHeight="1" s="70">
      <c r="M4285" s="27" t="n"/>
      <c r="N4285" s="27" t="n"/>
      <c r="O4285" s="27" t="n"/>
      <c r="P4285" s="27" t="n"/>
      <c r="Q4285" s="27" t="n"/>
      <c r="R4285" s="27" t="n"/>
      <c r="S4285" s="27" t="n"/>
      <c r="T4285" s="27" t="n"/>
    </row>
    <row r="4286" ht="13.8" customFormat="1" customHeight="1" s="70">
      <c r="M4286" s="27" t="n"/>
      <c r="N4286" s="27" t="n"/>
      <c r="O4286" s="27" t="n"/>
      <c r="P4286" s="27" t="n"/>
      <c r="Q4286" s="27" t="n"/>
      <c r="R4286" s="27" t="n"/>
      <c r="S4286" s="27" t="n"/>
      <c r="T4286" s="27" t="n"/>
    </row>
    <row r="4287" ht="13.8" customFormat="1" customHeight="1" s="70">
      <c r="M4287" s="27" t="n"/>
      <c r="N4287" s="27" t="n"/>
      <c r="O4287" s="27" t="n"/>
      <c r="P4287" s="27" t="n"/>
      <c r="Q4287" s="27" t="n"/>
      <c r="R4287" s="27" t="n"/>
      <c r="S4287" s="27" t="n"/>
      <c r="T4287" s="27" t="n"/>
    </row>
    <row r="4288" ht="13.8" customFormat="1" customHeight="1" s="70">
      <c r="M4288" s="27" t="n"/>
      <c r="N4288" s="27" t="n"/>
      <c r="O4288" s="27" t="n"/>
      <c r="P4288" s="27" t="n"/>
      <c r="Q4288" s="27" t="n"/>
      <c r="R4288" s="27" t="n"/>
      <c r="S4288" s="27" t="n"/>
      <c r="T4288" s="27" t="n"/>
    </row>
    <row r="4289" ht="13.8" customFormat="1" customHeight="1" s="70">
      <c r="M4289" s="27" t="n"/>
      <c r="N4289" s="27" t="n"/>
      <c r="O4289" s="27" t="n"/>
      <c r="P4289" s="27" t="n"/>
      <c r="Q4289" s="27" t="n"/>
      <c r="R4289" s="27" t="n"/>
      <c r="S4289" s="27" t="n"/>
      <c r="T4289" s="27" t="n"/>
    </row>
    <row r="4290" ht="13.8" customFormat="1" customHeight="1" s="70">
      <c r="M4290" s="27" t="n"/>
      <c r="N4290" s="27" t="n"/>
      <c r="O4290" s="27" t="n"/>
      <c r="P4290" s="27" t="n"/>
      <c r="Q4290" s="27" t="n"/>
      <c r="R4290" s="27" t="n"/>
      <c r="S4290" s="27" t="n"/>
      <c r="T4290" s="27" t="n"/>
    </row>
    <row r="4291" ht="13.8" customFormat="1" customHeight="1" s="70">
      <c r="M4291" s="27" t="n"/>
      <c r="N4291" s="27" t="n"/>
      <c r="O4291" s="27" t="n"/>
      <c r="P4291" s="27" t="n"/>
      <c r="Q4291" s="27" t="n"/>
      <c r="R4291" s="27" t="n"/>
      <c r="S4291" s="27" t="n"/>
      <c r="T4291" s="27" t="n"/>
    </row>
    <row r="4292" ht="13.8" customFormat="1" customHeight="1" s="70">
      <c r="M4292" s="27" t="n"/>
      <c r="N4292" s="27" t="n"/>
      <c r="O4292" s="27" t="n"/>
      <c r="P4292" s="27" t="n"/>
      <c r="Q4292" s="27" t="n"/>
      <c r="R4292" s="27" t="n"/>
      <c r="S4292" s="27" t="n"/>
      <c r="T4292" s="27" t="n"/>
    </row>
    <row r="4293" ht="13.8" customFormat="1" customHeight="1" s="70">
      <c r="M4293" s="27" t="n"/>
      <c r="N4293" s="27" t="n"/>
      <c r="O4293" s="27" t="n"/>
      <c r="P4293" s="27" t="n"/>
      <c r="Q4293" s="27" t="n"/>
      <c r="R4293" s="27" t="n"/>
      <c r="S4293" s="27" t="n"/>
      <c r="T4293" s="27" t="n"/>
    </row>
    <row r="4294" ht="13.8" customFormat="1" customHeight="1" s="70">
      <c r="M4294" s="27" t="n"/>
      <c r="N4294" s="27" t="n"/>
      <c r="O4294" s="27" t="n"/>
      <c r="P4294" s="27" t="n"/>
      <c r="Q4294" s="27" t="n"/>
      <c r="R4294" s="27" t="n"/>
      <c r="S4294" s="27" t="n"/>
      <c r="T4294" s="27" t="n"/>
    </row>
    <row r="4295" ht="13.8" customFormat="1" customHeight="1" s="70">
      <c r="M4295" s="27" t="n"/>
      <c r="N4295" s="27" t="n"/>
      <c r="O4295" s="27" t="n"/>
      <c r="P4295" s="27" t="n"/>
      <c r="Q4295" s="27" t="n"/>
      <c r="R4295" s="27" t="n"/>
      <c r="S4295" s="27" t="n"/>
      <c r="T4295" s="27" t="n"/>
    </row>
    <row r="4296" ht="13.8" customFormat="1" customHeight="1" s="70">
      <c r="M4296" s="27" t="n"/>
      <c r="N4296" s="27" t="n"/>
      <c r="O4296" s="27" t="n"/>
      <c r="P4296" s="27" t="n"/>
      <c r="Q4296" s="27" t="n"/>
      <c r="R4296" s="27" t="n"/>
      <c r="S4296" s="27" t="n"/>
      <c r="T4296" s="27" t="n"/>
    </row>
    <row r="4297" ht="13.8" customFormat="1" customHeight="1" s="70">
      <c r="M4297" s="27" t="n"/>
      <c r="N4297" s="27" t="n"/>
      <c r="O4297" s="27" t="n"/>
      <c r="P4297" s="27" t="n"/>
      <c r="Q4297" s="27" t="n"/>
      <c r="R4297" s="27" t="n"/>
      <c r="S4297" s="27" t="n"/>
      <c r="T4297" s="27" t="n"/>
    </row>
    <row r="4298" ht="13.8" customFormat="1" customHeight="1" s="70">
      <c r="M4298" s="27" t="n"/>
      <c r="N4298" s="27" t="n"/>
      <c r="O4298" s="27" t="n"/>
      <c r="P4298" s="27" t="n"/>
      <c r="Q4298" s="27" t="n"/>
      <c r="R4298" s="27" t="n"/>
      <c r="S4298" s="27" t="n"/>
      <c r="T4298" s="27" t="n"/>
    </row>
    <row r="4299" ht="13.8" customFormat="1" customHeight="1" s="70">
      <c r="M4299" s="27" t="n"/>
      <c r="N4299" s="27" t="n"/>
      <c r="O4299" s="27" t="n"/>
      <c r="P4299" s="27" t="n"/>
      <c r="Q4299" s="27" t="n"/>
      <c r="R4299" s="27" t="n"/>
      <c r="S4299" s="27" t="n"/>
      <c r="T4299" s="27" t="n"/>
    </row>
    <row r="4300" ht="13.8" customFormat="1" customHeight="1" s="70">
      <c r="M4300" s="27" t="n"/>
      <c r="N4300" s="27" t="n"/>
      <c r="O4300" s="27" t="n"/>
      <c r="P4300" s="27" t="n"/>
      <c r="Q4300" s="27" t="n"/>
      <c r="R4300" s="27" t="n"/>
      <c r="S4300" s="27" t="n"/>
      <c r="T4300" s="27" t="n"/>
    </row>
    <row r="4301" ht="13.8" customFormat="1" customHeight="1" s="70">
      <c r="M4301" s="27" t="n"/>
      <c r="N4301" s="27" t="n"/>
      <c r="O4301" s="27" t="n"/>
      <c r="P4301" s="27" t="n"/>
      <c r="Q4301" s="27" t="n"/>
      <c r="R4301" s="27" t="n"/>
      <c r="S4301" s="27" t="n"/>
      <c r="T4301" s="27" t="n"/>
    </row>
    <row r="4302" ht="13.8" customFormat="1" customHeight="1" s="70">
      <c r="M4302" s="27" t="n"/>
      <c r="N4302" s="27" t="n"/>
      <c r="O4302" s="27" t="n"/>
      <c r="P4302" s="27" t="n"/>
      <c r="Q4302" s="27" t="n"/>
      <c r="R4302" s="27" t="n"/>
      <c r="S4302" s="27" t="n"/>
      <c r="T4302" s="27" t="n"/>
    </row>
    <row r="4303" ht="13.8" customFormat="1" customHeight="1" s="70">
      <c r="M4303" s="27" t="n"/>
      <c r="N4303" s="27" t="n"/>
      <c r="O4303" s="27" t="n"/>
      <c r="P4303" s="27" t="n"/>
      <c r="Q4303" s="27" t="n"/>
      <c r="R4303" s="27" t="n"/>
      <c r="S4303" s="27" t="n"/>
      <c r="T4303" s="27" t="n"/>
    </row>
    <row r="4304" ht="13.8" customFormat="1" customHeight="1" s="70">
      <c r="M4304" s="27" t="n"/>
      <c r="N4304" s="27" t="n"/>
      <c r="O4304" s="27" t="n"/>
      <c r="P4304" s="27" t="n"/>
      <c r="Q4304" s="27" t="n"/>
      <c r="R4304" s="27" t="n"/>
      <c r="S4304" s="27" t="n"/>
      <c r="T4304" s="27" t="n"/>
    </row>
    <row r="4305" ht="13.8" customFormat="1" customHeight="1" s="70">
      <c r="M4305" s="27" t="n"/>
      <c r="N4305" s="27" t="n"/>
      <c r="O4305" s="27" t="n"/>
      <c r="P4305" s="27" t="n"/>
      <c r="Q4305" s="27" t="n"/>
      <c r="R4305" s="27" t="n"/>
      <c r="S4305" s="27" t="n"/>
      <c r="T4305" s="27" t="n"/>
    </row>
    <row r="4306" ht="13.8" customFormat="1" customHeight="1" s="70">
      <c r="M4306" s="27" t="n"/>
      <c r="N4306" s="27" t="n"/>
      <c r="O4306" s="27" t="n"/>
      <c r="P4306" s="27" t="n"/>
      <c r="Q4306" s="27" t="n"/>
      <c r="R4306" s="27" t="n"/>
      <c r="S4306" s="27" t="n"/>
      <c r="T4306" s="27" t="n"/>
    </row>
    <row r="4307" ht="13.8" customFormat="1" customHeight="1" s="70">
      <c r="M4307" s="27" t="n"/>
      <c r="N4307" s="27" t="n"/>
      <c r="O4307" s="27" t="n"/>
      <c r="P4307" s="27" t="n"/>
      <c r="Q4307" s="27" t="n"/>
      <c r="R4307" s="27" t="n"/>
      <c r="S4307" s="27" t="n"/>
      <c r="T4307" s="27" t="n"/>
    </row>
    <row r="4308" ht="13.8" customFormat="1" customHeight="1" s="70">
      <c r="M4308" s="27" t="n"/>
      <c r="N4308" s="27" t="n"/>
      <c r="O4308" s="27" t="n"/>
      <c r="P4308" s="27" t="n"/>
      <c r="Q4308" s="27" t="n"/>
      <c r="R4308" s="27" t="n"/>
      <c r="S4308" s="27" t="n"/>
      <c r="T4308" s="27" t="n"/>
    </row>
    <row r="4309" ht="13.8" customFormat="1" customHeight="1" s="70">
      <c r="M4309" s="27" t="n"/>
      <c r="N4309" s="27" t="n"/>
      <c r="O4309" s="27" t="n"/>
      <c r="P4309" s="27" t="n"/>
      <c r="Q4309" s="27" t="n"/>
      <c r="R4309" s="27" t="n"/>
      <c r="S4309" s="27" t="n"/>
      <c r="T4309" s="27" t="n"/>
    </row>
    <row r="4310" ht="13.8" customFormat="1" customHeight="1" s="70">
      <c r="M4310" s="27" t="n"/>
      <c r="N4310" s="27" t="n"/>
      <c r="O4310" s="27" t="n"/>
      <c r="P4310" s="27" t="n"/>
      <c r="Q4310" s="27" t="n"/>
      <c r="R4310" s="27" t="n"/>
      <c r="S4310" s="27" t="n"/>
      <c r="T4310" s="27" t="n"/>
    </row>
    <row r="4311" ht="13.8" customFormat="1" customHeight="1" s="70">
      <c r="M4311" s="27" t="n"/>
      <c r="N4311" s="27" t="n"/>
      <c r="O4311" s="27" t="n"/>
      <c r="P4311" s="27" t="n"/>
      <c r="Q4311" s="27" t="n"/>
      <c r="R4311" s="27" t="n"/>
      <c r="S4311" s="27" t="n"/>
      <c r="T4311" s="27" t="n"/>
    </row>
    <row r="4312" ht="13.8" customFormat="1" customHeight="1" s="70">
      <c r="M4312" s="27" t="n"/>
      <c r="N4312" s="27" t="n"/>
      <c r="O4312" s="27" t="n"/>
      <c r="P4312" s="27" t="n"/>
      <c r="Q4312" s="27" t="n"/>
      <c r="R4312" s="27" t="n"/>
      <c r="S4312" s="27" t="n"/>
      <c r="T4312" s="27" t="n"/>
    </row>
    <row r="4313" ht="13.8" customFormat="1" customHeight="1" s="70">
      <c r="M4313" s="27" t="n"/>
      <c r="N4313" s="27" t="n"/>
      <c r="O4313" s="27" t="n"/>
      <c r="P4313" s="27" t="n"/>
      <c r="Q4313" s="27" t="n"/>
      <c r="R4313" s="27" t="n"/>
      <c r="S4313" s="27" t="n"/>
      <c r="T4313" s="27" t="n"/>
    </row>
    <row r="4314" ht="13.8" customFormat="1" customHeight="1" s="70">
      <c r="M4314" s="27" t="n"/>
      <c r="N4314" s="27" t="n"/>
      <c r="O4314" s="27" t="n"/>
      <c r="P4314" s="27" t="n"/>
      <c r="Q4314" s="27" t="n"/>
      <c r="R4314" s="27" t="n"/>
      <c r="S4314" s="27" t="n"/>
      <c r="T4314" s="27" t="n"/>
    </row>
    <row r="4315" ht="13.8" customFormat="1" customHeight="1" s="70">
      <c r="M4315" s="27" t="n"/>
      <c r="N4315" s="27" t="n"/>
      <c r="O4315" s="27" t="n"/>
      <c r="P4315" s="27" t="n"/>
      <c r="Q4315" s="27" t="n"/>
      <c r="R4315" s="27" t="n"/>
      <c r="S4315" s="27" t="n"/>
      <c r="T4315" s="27" t="n"/>
    </row>
    <row r="4316" ht="13.8" customFormat="1" customHeight="1" s="70">
      <c r="M4316" s="27" t="n"/>
      <c r="N4316" s="27" t="n"/>
      <c r="O4316" s="27" t="n"/>
      <c r="P4316" s="27" t="n"/>
      <c r="Q4316" s="27" t="n"/>
      <c r="R4316" s="27" t="n"/>
      <c r="S4316" s="27" t="n"/>
      <c r="T4316" s="27" t="n"/>
    </row>
    <row r="4317" ht="13.8" customFormat="1" customHeight="1" s="70">
      <c r="M4317" s="27" t="n"/>
      <c r="N4317" s="27" t="n"/>
      <c r="O4317" s="27" t="n"/>
      <c r="P4317" s="27" t="n"/>
      <c r="Q4317" s="27" t="n"/>
      <c r="R4317" s="27" t="n"/>
      <c r="S4317" s="27" t="n"/>
      <c r="T4317" s="27" t="n"/>
    </row>
    <row r="4318" ht="13.8" customFormat="1" customHeight="1" s="70">
      <c r="M4318" s="27" t="n"/>
      <c r="N4318" s="27" t="n"/>
      <c r="O4318" s="27" t="n"/>
      <c r="P4318" s="27" t="n"/>
      <c r="Q4318" s="27" t="n"/>
      <c r="R4318" s="27" t="n"/>
      <c r="S4318" s="27" t="n"/>
      <c r="T4318" s="27" t="n"/>
    </row>
    <row r="4319" ht="13.8" customFormat="1" customHeight="1" s="70">
      <c r="M4319" s="27" t="n"/>
      <c r="N4319" s="27" t="n"/>
      <c r="O4319" s="27" t="n"/>
      <c r="P4319" s="27" t="n"/>
      <c r="Q4319" s="27" t="n"/>
      <c r="R4319" s="27" t="n"/>
      <c r="S4319" s="27" t="n"/>
      <c r="T4319" s="27" t="n"/>
    </row>
    <row r="4320" ht="13.8" customFormat="1" customHeight="1" s="70">
      <c r="M4320" s="27" t="n"/>
      <c r="N4320" s="27" t="n"/>
      <c r="O4320" s="27" t="n"/>
      <c r="P4320" s="27" t="n"/>
      <c r="Q4320" s="27" t="n"/>
      <c r="R4320" s="27" t="n"/>
      <c r="S4320" s="27" t="n"/>
      <c r="T4320" s="27" t="n"/>
    </row>
    <row r="4321" ht="13.8" customFormat="1" customHeight="1" s="70">
      <c r="M4321" s="27" t="n"/>
      <c r="N4321" s="27" t="n"/>
      <c r="O4321" s="27" t="n"/>
      <c r="P4321" s="27" t="n"/>
      <c r="Q4321" s="27" t="n"/>
      <c r="R4321" s="27" t="n"/>
      <c r="S4321" s="27" t="n"/>
      <c r="T4321" s="27" t="n"/>
    </row>
    <row r="4322" ht="13.8" customFormat="1" customHeight="1" s="70">
      <c r="M4322" s="27" t="n"/>
      <c r="N4322" s="27" t="n"/>
      <c r="O4322" s="27" t="n"/>
      <c r="P4322" s="27" t="n"/>
      <c r="Q4322" s="27" t="n"/>
      <c r="R4322" s="27" t="n"/>
      <c r="S4322" s="27" t="n"/>
      <c r="T4322" s="27" t="n"/>
    </row>
    <row r="4323" ht="13.8" customFormat="1" customHeight="1" s="70">
      <c r="M4323" s="27" t="n"/>
      <c r="N4323" s="27" t="n"/>
      <c r="O4323" s="27" t="n"/>
      <c r="P4323" s="27" t="n"/>
      <c r="Q4323" s="27" t="n"/>
      <c r="R4323" s="27" t="n"/>
      <c r="S4323" s="27" t="n"/>
      <c r="T4323" s="27" t="n"/>
    </row>
    <row r="4324" ht="13.8" customFormat="1" customHeight="1" s="70">
      <c r="M4324" s="27" t="n"/>
      <c r="N4324" s="27" t="n"/>
      <c r="O4324" s="27" t="n"/>
      <c r="P4324" s="27" t="n"/>
      <c r="Q4324" s="27" t="n"/>
      <c r="R4324" s="27" t="n"/>
      <c r="S4324" s="27" t="n"/>
      <c r="T4324" s="27" t="n"/>
    </row>
    <row r="4325" ht="13.8" customFormat="1" customHeight="1" s="70">
      <c r="M4325" s="27" t="n"/>
      <c r="N4325" s="27" t="n"/>
      <c r="O4325" s="27" t="n"/>
      <c r="P4325" s="27" t="n"/>
      <c r="Q4325" s="27" t="n"/>
      <c r="R4325" s="27" t="n"/>
      <c r="S4325" s="27" t="n"/>
      <c r="T4325" s="27" t="n"/>
    </row>
    <row r="4326" ht="13.8" customFormat="1" customHeight="1" s="70">
      <c r="M4326" s="27" t="n"/>
      <c r="N4326" s="27" t="n"/>
      <c r="O4326" s="27" t="n"/>
      <c r="P4326" s="27" t="n"/>
      <c r="Q4326" s="27" t="n"/>
      <c r="R4326" s="27" t="n"/>
      <c r="S4326" s="27" t="n"/>
      <c r="T4326" s="27" t="n"/>
    </row>
    <row r="4327" ht="13.8" customFormat="1" customHeight="1" s="70">
      <c r="M4327" s="27" t="n"/>
      <c r="N4327" s="27" t="n"/>
      <c r="O4327" s="27" t="n"/>
      <c r="P4327" s="27" t="n"/>
      <c r="Q4327" s="27" t="n"/>
      <c r="R4327" s="27" t="n"/>
      <c r="S4327" s="27" t="n"/>
      <c r="T4327" s="27" t="n"/>
    </row>
    <row r="4328" ht="13.8" customFormat="1" customHeight="1" s="70">
      <c r="M4328" s="27" t="n"/>
      <c r="N4328" s="27" t="n"/>
      <c r="O4328" s="27" t="n"/>
      <c r="P4328" s="27" t="n"/>
      <c r="Q4328" s="27" t="n"/>
      <c r="R4328" s="27" t="n"/>
      <c r="S4328" s="27" t="n"/>
      <c r="T4328" s="27" t="n"/>
    </row>
    <row r="4329" ht="13.8" customFormat="1" customHeight="1" s="70">
      <c r="M4329" s="27" t="n"/>
      <c r="N4329" s="27" t="n"/>
      <c r="O4329" s="27" t="n"/>
      <c r="P4329" s="27" t="n"/>
      <c r="Q4329" s="27" t="n"/>
      <c r="R4329" s="27" t="n"/>
      <c r="S4329" s="27" t="n"/>
      <c r="T4329" s="27" t="n"/>
    </row>
    <row r="4330" ht="13.8" customFormat="1" customHeight="1" s="70">
      <c r="M4330" s="27" t="n"/>
      <c r="N4330" s="27" t="n"/>
      <c r="O4330" s="27" t="n"/>
      <c r="P4330" s="27" t="n"/>
      <c r="Q4330" s="27" t="n"/>
      <c r="R4330" s="27" t="n"/>
      <c r="S4330" s="27" t="n"/>
      <c r="T4330" s="27" t="n"/>
    </row>
    <row r="4331" ht="13.8" customFormat="1" customHeight="1" s="70">
      <c r="M4331" s="27" t="n"/>
      <c r="N4331" s="27" t="n"/>
      <c r="O4331" s="27" t="n"/>
      <c r="P4331" s="27" t="n"/>
      <c r="Q4331" s="27" t="n"/>
      <c r="R4331" s="27" t="n"/>
      <c r="S4331" s="27" t="n"/>
      <c r="T4331" s="27" t="n"/>
    </row>
    <row r="4332" ht="13.8" customFormat="1" customHeight="1" s="70">
      <c r="M4332" s="27" t="n"/>
      <c r="N4332" s="27" t="n"/>
      <c r="O4332" s="27" t="n"/>
      <c r="P4332" s="27" t="n"/>
      <c r="Q4332" s="27" t="n"/>
      <c r="R4332" s="27" t="n"/>
      <c r="S4332" s="27" t="n"/>
      <c r="T4332" s="27" t="n"/>
    </row>
    <row r="4333" ht="13.8" customFormat="1" customHeight="1" s="70">
      <c r="M4333" s="27" t="n"/>
      <c r="N4333" s="27" t="n"/>
      <c r="O4333" s="27" t="n"/>
      <c r="P4333" s="27" t="n"/>
      <c r="Q4333" s="27" t="n"/>
      <c r="R4333" s="27" t="n"/>
      <c r="S4333" s="27" t="n"/>
      <c r="T4333" s="27" t="n"/>
    </row>
    <row r="4334" ht="13.8" customFormat="1" customHeight="1" s="70">
      <c r="M4334" s="27" t="n"/>
      <c r="N4334" s="27" t="n"/>
      <c r="O4334" s="27" t="n"/>
      <c r="P4334" s="27" t="n"/>
      <c r="Q4334" s="27" t="n"/>
      <c r="R4334" s="27" t="n"/>
      <c r="S4334" s="27" t="n"/>
      <c r="T4334" s="27" t="n"/>
    </row>
    <row r="4335" ht="13.8" customFormat="1" customHeight="1" s="70">
      <c r="M4335" s="27" t="n"/>
      <c r="N4335" s="27" t="n"/>
      <c r="O4335" s="27" t="n"/>
      <c r="P4335" s="27" t="n"/>
      <c r="Q4335" s="27" t="n"/>
      <c r="R4335" s="27" t="n"/>
      <c r="S4335" s="27" t="n"/>
      <c r="T4335" s="27" t="n"/>
    </row>
    <row r="4336" ht="13.8" customFormat="1" customHeight="1" s="70">
      <c r="M4336" s="27" t="n"/>
      <c r="N4336" s="27" t="n"/>
      <c r="O4336" s="27" t="n"/>
      <c r="P4336" s="27" t="n"/>
      <c r="Q4336" s="27" t="n"/>
      <c r="R4336" s="27" t="n"/>
      <c r="S4336" s="27" t="n"/>
      <c r="T4336" s="27" t="n"/>
    </row>
    <row r="4337" ht="13.8" customFormat="1" customHeight="1" s="70">
      <c r="M4337" s="27" t="n"/>
      <c r="N4337" s="27" t="n"/>
      <c r="O4337" s="27" t="n"/>
      <c r="P4337" s="27" t="n"/>
      <c r="Q4337" s="27" t="n"/>
      <c r="R4337" s="27" t="n"/>
      <c r="S4337" s="27" t="n"/>
      <c r="T4337" s="27" t="n"/>
    </row>
    <row r="4338" ht="13.8" customFormat="1" customHeight="1" s="70">
      <c r="M4338" s="27" t="n"/>
      <c r="N4338" s="27" t="n"/>
      <c r="O4338" s="27" t="n"/>
      <c r="P4338" s="27" t="n"/>
      <c r="Q4338" s="27" t="n"/>
      <c r="R4338" s="27" t="n"/>
      <c r="S4338" s="27" t="n"/>
      <c r="T4338" s="27" t="n"/>
    </row>
    <row r="4339" ht="13.8" customFormat="1" customHeight="1" s="70">
      <c r="M4339" s="27" t="n"/>
      <c r="N4339" s="27" t="n"/>
      <c r="O4339" s="27" t="n"/>
      <c r="P4339" s="27" t="n"/>
      <c r="Q4339" s="27" t="n"/>
      <c r="R4339" s="27" t="n"/>
      <c r="S4339" s="27" t="n"/>
      <c r="T4339" s="27" t="n"/>
    </row>
    <row r="4340" ht="13.8" customFormat="1" customHeight="1" s="70">
      <c r="M4340" s="27" t="n"/>
      <c r="N4340" s="27" t="n"/>
      <c r="O4340" s="27" t="n"/>
      <c r="P4340" s="27" t="n"/>
      <c r="Q4340" s="27" t="n"/>
      <c r="R4340" s="27" t="n"/>
      <c r="S4340" s="27" t="n"/>
      <c r="T4340" s="27" t="n"/>
    </row>
    <row r="4341" ht="13.8" customFormat="1" customHeight="1" s="70">
      <c r="M4341" s="27" t="n"/>
      <c r="N4341" s="27" t="n"/>
      <c r="O4341" s="27" t="n"/>
      <c r="P4341" s="27" t="n"/>
      <c r="Q4341" s="27" t="n"/>
      <c r="R4341" s="27" t="n"/>
      <c r="S4341" s="27" t="n"/>
      <c r="T4341" s="27" t="n"/>
    </row>
    <row r="4342" ht="13.8" customFormat="1" customHeight="1" s="70">
      <c r="M4342" s="27" t="n"/>
      <c r="N4342" s="27" t="n"/>
      <c r="O4342" s="27" t="n"/>
      <c r="P4342" s="27" t="n"/>
      <c r="Q4342" s="27" t="n"/>
      <c r="R4342" s="27" t="n"/>
      <c r="S4342" s="27" t="n"/>
      <c r="T4342" s="27" t="n"/>
    </row>
    <row r="4343" ht="13.8" customFormat="1" customHeight="1" s="70">
      <c r="M4343" s="27" t="n"/>
      <c r="N4343" s="27" t="n"/>
      <c r="O4343" s="27" t="n"/>
      <c r="P4343" s="27" t="n"/>
      <c r="Q4343" s="27" t="n"/>
      <c r="R4343" s="27" t="n"/>
      <c r="S4343" s="27" t="n"/>
      <c r="T4343" s="27" t="n"/>
    </row>
    <row r="4344" ht="13.8" customFormat="1" customHeight="1" s="70">
      <c r="M4344" s="27" t="n"/>
      <c r="N4344" s="27" t="n"/>
      <c r="O4344" s="27" t="n"/>
      <c r="P4344" s="27" t="n"/>
      <c r="Q4344" s="27" t="n"/>
      <c r="R4344" s="27" t="n"/>
      <c r="S4344" s="27" t="n"/>
      <c r="T4344" s="27" t="n"/>
    </row>
    <row r="4345" ht="13.8" customFormat="1" customHeight="1" s="70">
      <c r="M4345" s="27" t="n"/>
      <c r="N4345" s="27" t="n"/>
      <c r="O4345" s="27" t="n"/>
      <c r="P4345" s="27" t="n"/>
      <c r="Q4345" s="27" t="n"/>
      <c r="R4345" s="27" t="n"/>
      <c r="S4345" s="27" t="n"/>
      <c r="T4345" s="27" t="n"/>
    </row>
    <row r="4346" ht="13.8" customFormat="1" customHeight="1" s="70">
      <c r="M4346" s="27" t="n"/>
      <c r="N4346" s="27" t="n"/>
      <c r="O4346" s="27" t="n"/>
      <c r="P4346" s="27" t="n"/>
      <c r="Q4346" s="27" t="n"/>
      <c r="R4346" s="27" t="n"/>
      <c r="S4346" s="27" t="n"/>
      <c r="T4346" s="27" t="n"/>
    </row>
    <row r="4347" ht="13.8" customFormat="1" customHeight="1" s="70">
      <c r="M4347" s="27" t="n"/>
      <c r="N4347" s="27" t="n"/>
      <c r="O4347" s="27" t="n"/>
      <c r="P4347" s="27" t="n"/>
      <c r="Q4347" s="27" t="n"/>
      <c r="R4347" s="27" t="n"/>
      <c r="S4347" s="27" t="n"/>
      <c r="T4347" s="27" t="n"/>
    </row>
    <row r="4348" ht="13.8" customFormat="1" customHeight="1" s="70">
      <c r="M4348" s="27" t="n"/>
      <c r="N4348" s="27" t="n"/>
      <c r="O4348" s="27" t="n"/>
      <c r="P4348" s="27" t="n"/>
      <c r="Q4348" s="27" t="n"/>
      <c r="R4348" s="27" t="n"/>
      <c r="S4348" s="27" t="n"/>
      <c r="T4348" s="27" t="n"/>
    </row>
    <row r="4349" ht="13.8" customFormat="1" customHeight="1" s="70">
      <c r="M4349" s="27" t="n"/>
      <c r="N4349" s="27" t="n"/>
      <c r="O4349" s="27" t="n"/>
      <c r="P4349" s="27" t="n"/>
      <c r="Q4349" s="27" t="n"/>
      <c r="R4349" s="27" t="n"/>
      <c r="S4349" s="27" t="n"/>
      <c r="T4349" s="27" t="n"/>
    </row>
    <row r="4350" ht="13.8" customFormat="1" customHeight="1" s="70">
      <c r="M4350" s="27" t="n"/>
      <c r="N4350" s="27" t="n"/>
      <c r="O4350" s="27" t="n"/>
      <c r="P4350" s="27" t="n"/>
      <c r="Q4350" s="27" t="n"/>
      <c r="R4350" s="27" t="n"/>
      <c r="S4350" s="27" t="n"/>
      <c r="T4350" s="27" t="n"/>
    </row>
    <row r="4351" ht="13.8" customFormat="1" customHeight="1" s="70">
      <c r="M4351" s="27" t="n"/>
      <c r="N4351" s="27" t="n"/>
      <c r="O4351" s="27" t="n"/>
      <c r="P4351" s="27" t="n"/>
      <c r="Q4351" s="27" t="n"/>
      <c r="R4351" s="27" t="n"/>
      <c r="S4351" s="27" t="n"/>
      <c r="T4351" s="27" t="n"/>
    </row>
    <row r="4352" ht="13.8" customFormat="1" customHeight="1" s="70">
      <c r="M4352" s="27" t="n"/>
      <c r="N4352" s="27" t="n"/>
      <c r="O4352" s="27" t="n"/>
      <c r="P4352" s="27" t="n"/>
      <c r="Q4352" s="27" t="n"/>
      <c r="R4352" s="27" t="n"/>
      <c r="S4352" s="27" t="n"/>
      <c r="T4352" s="27" t="n"/>
    </row>
    <row r="4353" ht="13.8" customFormat="1" customHeight="1" s="70">
      <c r="M4353" s="27" t="n"/>
      <c r="N4353" s="27" t="n"/>
      <c r="O4353" s="27" t="n"/>
      <c r="P4353" s="27" t="n"/>
      <c r="Q4353" s="27" t="n"/>
      <c r="R4353" s="27" t="n"/>
      <c r="S4353" s="27" t="n"/>
      <c r="T4353" s="27" t="n"/>
    </row>
    <row r="4354" ht="13.8" customFormat="1" customHeight="1" s="70">
      <c r="M4354" s="27" t="n"/>
      <c r="N4354" s="27" t="n"/>
      <c r="O4354" s="27" t="n"/>
      <c r="P4354" s="27" t="n"/>
      <c r="Q4354" s="27" t="n"/>
      <c r="R4354" s="27" t="n"/>
      <c r="S4354" s="27" t="n"/>
      <c r="T4354" s="27" t="n"/>
    </row>
    <row r="4355" ht="13.8" customFormat="1" customHeight="1" s="70">
      <c r="M4355" s="27" t="n"/>
      <c r="N4355" s="27" t="n"/>
      <c r="O4355" s="27" t="n"/>
      <c r="P4355" s="27" t="n"/>
      <c r="Q4355" s="27" t="n"/>
      <c r="R4355" s="27" t="n"/>
      <c r="S4355" s="27" t="n"/>
      <c r="T4355" s="27" t="n"/>
    </row>
    <row r="4356" ht="13.8" customFormat="1" customHeight="1" s="70">
      <c r="M4356" s="27" t="n"/>
      <c r="N4356" s="27" t="n"/>
      <c r="O4356" s="27" t="n"/>
      <c r="P4356" s="27" t="n"/>
      <c r="Q4356" s="27" t="n"/>
      <c r="R4356" s="27" t="n"/>
      <c r="S4356" s="27" t="n"/>
      <c r="T4356" s="27" t="n"/>
    </row>
    <row r="4357" ht="13.8" customFormat="1" customHeight="1" s="70">
      <c r="M4357" s="27" t="n"/>
      <c r="N4357" s="27" t="n"/>
      <c r="O4357" s="27" t="n"/>
      <c r="P4357" s="27" t="n"/>
      <c r="Q4357" s="27" t="n"/>
      <c r="R4357" s="27" t="n"/>
      <c r="S4357" s="27" t="n"/>
      <c r="T4357" s="27" t="n"/>
    </row>
    <row r="4358" ht="13.8" customFormat="1" customHeight="1" s="70">
      <c r="M4358" s="27" t="n"/>
      <c r="N4358" s="27" t="n"/>
      <c r="O4358" s="27" t="n"/>
      <c r="P4358" s="27" t="n"/>
      <c r="Q4358" s="27" t="n"/>
      <c r="R4358" s="27" t="n"/>
      <c r="S4358" s="27" t="n"/>
      <c r="T4358" s="27" t="n"/>
    </row>
    <row r="4359" ht="13.8" customFormat="1" customHeight="1" s="70">
      <c r="M4359" s="27" t="n"/>
      <c r="N4359" s="27" t="n"/>
      <c r="O4359" s="27" t="n"/>
      <c r="P4359" s="27" t="n"/>
      <c r="Q4359" s="27" t="n"/>
      <c r="R4359" s="27" t="n"/>
      <c r="S4359" s="27" t="n"/>
      <c r="T4359" s="27" t="n"/>
    </row>
    <row r="4360" ht="13.8" customFormat="1" customHeight="1" s="70">
      <c r="M4360" s="27" t="n"/>
      <c r="N4360" s="27" t="n"/>
      <c r="O4360" s="27" t="n"/>
      <c r="P4360" s="27" t="n"/>
      <c r="Q4360" s="27" t="n"/>
      <c r="R4360" s="27" t="n"/>
      <c r="S4360" s="27" t="n"/>
      <c r="T4360" s="27" t="n"/>
    </row>
    <row r="4361" ht="13.8" customFormat="1" customHeight="1" s="70">
      <c r="M4361" s="27" t="n"/>
      <c r="N4361" s="27" t="n"/>
      <c r="O4361" s="27" t="n"/>
      <c r="P4361" s="27" t="n"/>
      <c r="Q4361" s="27" t="n"/>
      <c r="R4361" s="27" t="n"/>
      <c r="S4361" s="27" t="n"/>
      <c r="T4361" s="27" t="n"/>
    </row>
    <row r="4362" ht="13.8" customFormat="1" customHeight="1" s="70">
      <c r="M4362" s="27" t="n"/>
      <c r="N4362" s="27" t="n"/>
      <c r="O4362" s="27" t="n"/>
      <c r="P4362" s="27" t="n"/>
      <c r="Q4362" s="27" t="n"/>
      <c r="R4362" s="27" t="n"/>
      <c r="S4362" s="27" t="n"/>
      <c r="T4362" s="27" t="n"/>
    </row>
    <row r="4363" ht="13.8" customFormat="1" customHeight="1" s="70">
      <c r="M4363" s="27" t="n"/>
      <c r="N4363" s="27" t="n"/>
      <c r="O4363" s="27" t="n"/>
      <c r="P4363" s="27" t="n"/>
      <c r="Q4363" s="27" t="n"/>
      <c r="R4363" s="27" t="n"/>
      <c r="S4363" s="27" t="n"/>
      <c r="T4363" s="27" t="n"/>
    </row>
    <row r="4364" ht="13.8" customFormat="1" customHeight="1" s="70">
      <c r="M4364" s="27" t="n"/>
      <c r="N4364" s="27" t="n"/>
      <c r="O4364" s="27" t="n"/>
      <c r="P4364" s="27" t="n"/>
      <c r="Q4364" s="27" t="n"/>
      <c r="R4364" s="27" t="n"/>
      <c r="S4364" s="27" t="n"/>
      <c r="T4364" s="27" t="n"/>
    </row>
    <row r="4365" ht="13.8" customFormat="1" customHeight="1" s="70">
      <c r="M4365" s="27" t="n"/>
      <c r="N4365" s="27" t="n"/>
      <c r="O4365" s="27" t="n"/>
      <c r="P4365" s="27" t="n"/>
      <c r="Q4365" s="27" t="n"/>
      <c r="R4365" s="27" t="n"/>
      <c r="S4365" s="27" t="n"/>
      <c r="T4365" s="27" t="n"/>
    </row>
    <row r="4366" ht="13.8" customFormat="1" customHeight="1" s="70">
      <c r="M4366" s="27" t="n"/>
      <c r="N4366" s="27" t="n"/>
      <c r="O4366" s="27" t="n"/>
      <c r="P4366" s="27" t="n"/>
      <c r="Q4366" s="27" t="n"/>
      <c r="R4366" s="27" t="n"/>
      <c r="S4366" s="27" t="n"/>
      <c r="T4366" s="27" t="n"/>
    </row>
    <row r="4367" ht="13.8" customFormat="1" customHeight="1" s="70">
      <c r="M4367" s="27" t="n"/>
      <c r="N4367" s="27" t="n"/>
      <c r="O4367" s="27" t="n"/>
      <c r="P4367" s="27" t="n"/>
      <c r="Q4367" s="27" t="n"/>
      <c r="R4367" s="27" t="n"/>
      <c r="S4367" s="27" t="n"/>
      <c r="T4367" s="27" t="n"/>
    </row>
    <row r="4368" ht="13.8" customFormat="1" customHeight="1" s="70">
      <c r="M4368" s="27" t="n"/>
      <c r="N4368" s="27" t="n"/>
      <c r="O4368" s="27" t="n"/>
      <c r="P4368" s="27" t="n"/>
      <c r="Q4368" s="27" t="n"/>
      <c r="R4368" s="27" t="n"/>
      <c r="S4368" s="27" t="n"/>
      <c r="T4368" s="27" t="n"/>
    </row>
    <row r="4369" ht="13.8" customFormat="1" customHeight="1" s="70">
      <c r="M4369" s="27" t="n"/>
      <c r="N4369" s="27" t="n"/>
      <c r="O4369" s="27" t="n"/>
      <c r="P4369" s="27" t="n"/>
      <c r="Q4369" s="27" t="n"/>
      <c r="R4369" s="27" t="n"/>
      <c r="S4369" s="27" t="n"/>
      <c r="T4369" s="27" t="n"/>
    </row>
    <row r="4370" ht="13.8" customFormat="1" customHeight="1" s="70">
      <c r="M4370" s="27" t="n"/>
      <c r="N4370" s="27" t="n"/>
      <c r="O4370" s="27" t="n"/>
      <c r="P4370" s="27" t="n"/>
      <c r="Q4370" s="27" t="n"/>
      <c r="R4370" s="27" t="n"/>
      <c r="S4370" s="27" t="n"/>
      <c r="T4370" s="27" t="n"/>
    </row>
    <row r="4371" ht="13.8" customFormat="1" customHeight="1" s="70">
      <c r="M4371" s="27" t="n"/>
      <c r="N4371" s="27" t="n"/>
      <c r="O4371" s="27" t="n"/>
      <c r="P4371" s="27" t="n"/>
      <c r="Q4371" s="27" t="n"/>
      <c r="R4371" s="27" t="n"/>
      <c r="S4371" s="27" t="n"/>
      <c r="T4371" s="27" t="n"/>
    </row>
    <row r="4372" ht="13.8" customFormat="1" customHeight="1" s="70">
      <c r="M4372" s="27" t="n"/>
      <c r="N4372" s="27" t="n"/>
      <c r="O4372" s="27" t="n"/>
      <c r="P4372" s="27" t="n"/>
      <c r="Q4372" s="27" t="n"/>
      <c r="R4372" s="27" t="n"/>
      <c r="S4372" s="27" t="n"/>
      <c r="T4372" s="27" t="n"/>
    </row>
    <row r="4373" ht="13.8" customFormat="1" customHeight="1" s="70">
      <c r="M4373" s="27" t="n"/>
      <c r="N4373" s="27" t="n"/>
      <c r="O4373" s="27" t="n"/>
      <c r="P4373" s="27" t="n"/>
      <c r="Q4373" s="27" t="n"/>
      <c r="R4373" s="27" t="n"/>
      <c r="S4373" s="27" t="n"/>
      <c r="T4373" s="27" t="n"/>
    </row>
    <row r="4374" ht="13.8" customFormat="1" customHeight="1" s="70">
      <c r="M4374" s="27" t="n"/>
      <c r="N4374" s="27" t="n"/>
      <c r="O4374" s="27" t="n"/>
      <c r="P4374" s="27" t="n"/>
      <c r="Q4374" s="27" t="n"/>
      <c r="R4374" s="27" t="n"/>
      <c r="S4374" s="27" t="n"/>
      <c r="T4374" s="27" t="n"/>
    </row>
    <row r="4375" ht="13.8" customFormat="1" customHeight="1" s="70">
      <c r="M4375" s="27" t="n"/>
      <c r="N4375" s="27" t="n"/>
      <c r="O4375" s="27" t="n"/>
      <c r="P4375" s="27" t="n"/>
      <c r="Q4375" s="27" t="n"/>
      <c r="R4375" s="27" t="n"/>
      <c r="S4375" s="27" t="n"/>
      <c r="T4375" s="27" t="n"/>
    </row>
    <row r="4376" ht="13.8" customFormat="1" customHeight="1" s="70">
      <c r="M4376" s="27" t="n"/>
      <c r="N4376" s="27" t="n"/>
      <c r="O4376" s="27" t="n"/>
      <c r="P4376" s="27" t="n"/>
      <c r="Q4376" s="27" t="n"/>
      <c r="R4376" s="27" t="n"/>
      <c r="S4376" s="27" t="n"/>
      <c r="T4376" s="27" t="n"/>
    </row>
    <row r="4377" ht="13.8" customFormat="1" customHeight="1" s="70">
      <c r="M4377" s="27" t="n"/>
      <c r="N4377" s="27" t="n"/>
      <c r="O4377" s="27" t="n"/>
      <c r="P4377" s="27" t="n"/>
      <c r="Q4377" s="27" t="n"/>
      <c r="R4377" s="27" t="n"/>
      <c r="S4377" s="27" t="n"/>
      <c r="T4377" s="27" t="n"/>
    </row>
    <row r="4378" ht="13.8" customFormat="1" customHeight="1" s="70">
      <c r="M4378" s="27" t="n"/>
      <c r="N4378" s="27" t="n"/>
      <c r="O4378" s="27" t="n"/>
      <c r="P4378" s="27" t="n"/>
      <c r="Q4378" s="27" t="n"/>
      <c r="R4378" s="27" t="n"/>
      <c r="S4378" s="27" t="n"/>
      <c r="T4378" s="27" t="n"/>
    </row>
    <row r="4379" ht="13.8" customFormat="1" customHeight="1" s="70">
      <c r="M4379" s="27" t="n"/>
      <c r="N4379" s="27" t="n"/>
      <c r="O4379" s="27" t="n"/>
      <c r="P4379" s="27" t="n"/>
      <c r="Q4379" s="27" t="n"/>
      <c r="R4379" s="27" t="n"/>
      <c r="S4379" s="27" t="n"/>
      <c r="T4379" s="27" t="n"/>
    </row>
    <row r="4380" ht="13.8" customFormat="1" customHeight="1" s="70">
      <c r="M4380" s="27" t="n"/>
      <c r="N4380" s="27" t="n"/>
      <c r="O4380" s="27" t="n"/>
      <c r="P4380" s="27" t="n"/>
      <c r="Q4380" s="27" t="n"/>
      <c r="R4380" s="27" t="n"/>
      <c r="S4380" s="27" t="n"/>
      <c r="T4380" s="27" t="n"/>
    </row>
    <row r="4381" ht="13.8" customFormat="1" customHeight="1" s="70">
      <c r="M4381" s="27" t="n"/>
      <c r="N4381" s="27" t="n"/>
      <c r="O4381" s="27" t="n"/>
      <c r="P4381" s="27" t="n"/>
      <c r="Q4381" s="27" t="n"/>
      <c r="R4381" s="27" t="n"/>
      <c r="S4381" s="27" t="n"/>
      <c r="T4381" s="27" t="n"/>
    </row>
    <row r="4382" ht="13.8" customFormat="1" customHeight="1" s="70">
      <c r="M4382" s="27" t="n"/>
      <c r="N4382" s="27" t="n"/>
      <c r="O4382" s="27" t="n"/>
      <c r="P4382" s="27" t="n"/>
      <c r="Q4382" s="27" t="n"/>
      <c r="R4382" s="27" t="n"/>
      <c r="S4382" s="27" t="n"/>
      <c r="T4382" s="27" t="n"/>
    </row>
    <row r="4383" ht="13.8" customFormat="1" customHeight="1" s="70">
      <c r="M4383" s="27" t="n"/>
      <c r="N4383" s="27" t="n"/>
      <c r="O4383" s="27" t="n"/>
      <c r="P4383" s="27" t="n"/>
      <c r="Q4383" s="27" t="n"/>
      <c r="R4383" s="27" t="n"/>
      <c r="S4383" s="27" t="n"/>
      <c r="T4383" s="27" t="n"/>
    </row>
    <row r="4384" ht="13.8" customFormat="1" customHeight="1" s="70">
      <c r="M4384" s="27" t="n"/>
      <c r="N4384" s="27" t="n"/>
      <c r="O4384" s="27" t="n"/>
      <c r="P4384" s="27" t="n"/>
      <c r="Q4384" s="27" t="n"/>
      <c r="R4384" s="27" t="n"/>
      <c r="S4384" s="27" t="n"/>
      <c r="T4384" s="27" t="n"/>
    </row>
    <row r="4385" ht="13.8" customFormat="1" customHeight="1" s="70">
      <c r="M4385" s="27" t="n"/>
      <c r="N4385" s="27" t="n"/>
      <c r="O4385" s="27" t="n"/>
      <c r="P4385" s="27" t="n"/>
      <c r="Q4385" s="27" t="n"/>
      <c r="R4385" s="27" t="n"/>
      <c r="S4385" s="27" t="n"/>
      <c r="T4385" s="27" t="n"/>
    </row>
    <row r="4386" ht="13.8" customFormat="1" customHeight="1" s="70">
      <c r="M4386" s="27" t="n"/>
      <c r="N4386" s="27" t="n"/>
      <c r="O4386" s="27" t="n"/>
      <c r="P4386" s="27" t="n"/>
      <c r="Q4386" s="27" t="n"/>
      <c r="R4386" s="27" t="n"/>
      <c r="S4386" s="27" t="n"/>
      <c r="T4386" s="27" t="n"/>
    </row>
    <row r="4387" ht="13.8" customFormat="1" customHeight="1" s="70">
      <c r="M4387" s="27" t="n"/>
      <c r="N4387" s="27" t="n"/>
      <c r="O4387" s="27" t="n"/>
      <c r="P4387" s="27" t="n"/>
      <c r="Q4387" s="27" t="n"/>
      <c r="R4387" s="27" t="n"/>
      <c r="S4387" s="27" t="n"/>
      <c r="T4387" s="27" t="n"/>
    </row>
    <row r="4388" ht="13.8" customFormat="1" customHeight="1" s="70">
      <c r="M4388" s="27" t="n"/>
      <c r="N4388" s="27" t="n"/>
      <c r="O4388" s="27" t="n"/>
      <c r="P4388" s="27" t="n"/>
      <c r="Q4388" s="27" t="n"/>
      <c r="R4388" s="27" t="n"/>
      <c r="S4388" s="27" t="n"/>
      <c r="T4388" s="27" t="n"/>
    </row>
    <row r="4389" ht="13.8" customFormat="1" customHeight="1" s="70">
      <c r="M4389" s="27" t="n"/>
      <c r="N4389" s="27" t="n"/>
      <c r="O4389" s="27" t="n"/>
      <c r="P4389" s="27" t="n"/>
      <c r="Q4389" s="27" t="n"/>
      <c r="R4389" s="27" t="n"/>
      <c r="S4389" s="27" t="n"/>
      <c r="T4389" s="27" t="n"/>
    </row>
    <row r="4390" ht="13.8" customFormat="1" customHeight="1" s="70">
      <c r="M4390" s="27" t="n"/>
      <c r="N4390" s="27" t="n"/>
      <c r="O4390" s="27" t="n"/>
      <c r="P4390" s="27" t="n"/>
      <c r="Q4390" s="27" t="n"/>
      <c r="R4390" s="27" t="n"/>
      <c r="S4390" s="27" t="n"/>
      <c r="T4390" s="27" t="n"/>
    </row>
    <row r="4391" ht="13.8" customFormat="1" customHeight="1" s="70">
      <c r="M4391" s="27" t="n"/>
      <c r="N4391" s="27" t="n"/>
      <c r="O4391" s="27" t="n"/>
      <c r="P4391" s="27" t="n"/>
      <c r="Q4391" s="27" t="n"/>
      <c r="R4391" s="27" t="n"/>
      <c r="S4391" s="27" t="n"/>
      <c r="T4391" s="27" t="n"/>
    </row>
    <row r="4392" ht="13.8" customFormat="1" customHeight="1" s="70">
      <c r="M4392" s="27" t="n"/>
      <c r="N4392" s="27" t="n"/>
      <c r="O4392" s="27" t="n"/>
      <c r="P4392" s="27" t="n"/>
      <c r="Q4392" s="27" t="n"/>
      <c r="R4392" s="27" t="n"/>
      <c r="S4392" s="27" t="n"/>
      <c r="T4392" s="27" t="n"/>
    </row>
    <row r="4393" ht="13.8" customFormat="1" customHeight="1" s="70">
      <c r="M4393" s="27" t="n"/>
      <c r="N4393" s="27" t="n"/>
      <c r="O4393" s="27" t="n"/>
      <c r="P4393" s="27" t="n"/>
      <c r="Q4393" s="27" t="n"/>
      <c r="R4393" s="27" t="n"/>
      <c r="S4393" s="27" t="n"/>
      <c r="T4393" s="27" t="n"/>
    </row>
    <row r="4394" ht="13.8" customFormat="1" customHeight="1" s="70">
      <c r="M4394" s="27" t="n"/>
      <c r="N4394" s="27" t="n"/>
      <c r="O4394" s="27" t="n"/>
      <c r="P4394" s="27" t="n"/>
      <c r="Q4394" s="27" t="n"/>
      <c r="R4394" s="27" t="n"/>
      <c r="S4394" s="27" t="n"/>
      <c r="T4394" s="27" t="n"/>
    </row>
    <row r="4395" ht="13.8" customFormat="1" customHeight="1" s="70">
      <c r="M4395" s="27" t="n"/>
      <c r="N4395" s="27" t="n"/>
      <c r="O4395" s="27" t="n"/>
      <c r="P4395" s="27" t="n"/>
      <c r="Q4395" s="27" t="n"/>
      <c r="R4395" s="27" t="n"/>
      <c r="S4395" s="27" t="n"/>
      <c r="T4395" s="27" t="n"/>
    </row>
    <row r="4396" ht="13.8" customFormat="1" customHeight="1" s="70">
      <c r="M4396" s="27" t="n"/>
      <c r="N4396" s="27" t="n"/>
      <c r="O4396" s="27" t="n"/>
      <c r="P4396" s="27" t="n"/>
      <c r="Q4396" s="27" t="n"/>
      <c r="R4396" s="27" t="n"/>
      <c r="S4396" s="27" t="n"/>
      <c r="T4396" s="27" t="n"/>
    </row>
    <row r="4397" ht="13.8" customFormat="1" customHeight="1" s="70">
      <c r="M4397" s="27" t="n"/>
      <c r="N4397" s="27" t="n"/>
      <c r="O4397" s="27" t="n"/>
      <c r="P4397" s="27" t="n"/>
      <c r="Q4397" s="27" t="n"/>
      <c r="R4397" s="27" t="n"/>
      <c r="S4397" s="27" t="n"/>
      <c r="T4397" s="27" t="n"/>
    </row>
    <row r="4398" ht="13.8" customFormat="1" customHeight="1" s="70">
      <c r="M4398" s="27" t="n"/>
      <c r="N4398" s="27" t="n"/>
      <c r="O4398" s="27" t="n"/>
      <c r="P4398" s="27" t="n"/>
      <c r="Q4398" s="27" t="n"/>
      <c r="R4398" s="27" t="n"/>
      <c r="S4398" s="27" t="n"/>
      <c r="T4398" s="27" t="n"/>
    </row>
    <row r="4399" ht="13.8" customFormat="1" customHeight="1" s="70">
      <c r="M4399" s="27" t="n"/>
      <c r="N4399" s="27" t="n"/>
      <c r="O4399" s="27" t="n"/>
      <c r="P4399" s="27" t="n"/>
      <c r="Q4399" s="27" t="n"/>
      <c r="R4399" s="27" t="n"/>
      <c r="S4399" s="27" t="n"/>
      <c r="T4399" s="27" t="n"/>
    </row>
    <row r="4400" ht="13.8" customFormat="1" customHeight="1" s="70">
      <c r="M4400" s="27" t="n"/>
      <c r="N4400" s="27" t="n"/>
      <c r="O4400" s="27" t="n"/>
      <c r="P4400" s="27" t="n"/>
      <c r="Q4400" s="27" t="n"/>
      <c r="R4400" s="27" t="n"/>
      <c r="S4400" s="27" t="n"/>
      <c r="T4400" s="27" t="n"/>
    </row>
    <row r="4401" ht="13.8" customFormat="1" customHeight="1" s="70">
      <c r="M4401" s="27" t="n"/>
      <c r="N4401" s="27" t="n"/>
      <c r="O4401" s="27" t="n"/>
      <c r="P4401" s="27" t="n"/>
      <c r="Q4401" s="27" t="n"/>
      <c r="R4401" s="27" t="n"/>
      <c r="S4401" s="27" t="n"/>
      <c r="T4401" s="27" t="n"/>
    </row>
    <row r="4402" ht="13.8" customFormat="1" customHeight="1" s="70">
      <c r="M4402" s="27" t="n"/>
      <c r="N4402" s="27" t="n"/>
      <c r="O4402" s="27" t="n"/>
      <c r="P4402" s="27" t="n"/>
      <c r="Q4402" s="27" t="n"/>
      <c r="R4402" s="27" t="n"/>
      <c r="S4402" s="27" t="n"/>
      <c r="T4402" s="27" t="n"/>
    </row>
    <row r="4403" ht="13.8" customFormat="1" customHeight="1" s="70">
      <c r="M4403" s="27" t="n"/>
      <c r="N4403" s="27" t="n"/>
      <c r="O4403" s="27" t="n"/>
      <c r="P4403" s="27" t="n"/>
      <c r="Q4403" s="27" t="n"/>
      <c r="R4403" s="27" t="n"/>
      <c r="S4403" s="27" t="n"/>
      <c r="T4403" s="27" t="n"/>
    </row>
    <row r="4404" ht="13.8" customFormat="1" customHeight="1" s="70">
      <c r="M4404" s="27" t="n"/>
      <c r="N4404" s="27" t="n"/>
      <c r="O4404" s="27" t="n"/>
      <c r="P4404" s="27" t="n"/>
      <c r="Q4404" s="27" t="n"/>
      <c r="R4404" s="27" t="n"/>
      <c r="S4404" s="27" t="n"/>
      <c r="T4404" s="27" t="n"/>
    </row>
    <row r="4405" ht="13.8" customFormat="1" customHeight="1" s="70">
      <c r="M4405" s="27" t="n"/>
      <c r="N4405" s="27" t="n"/>
      <c r="O4405" s="27" t="n"/>
      <c r="P4405" s="27" t="n"/>
      <c r="Q4405" s="27" t="n"/>
      <c r="R4405" s="27" t="n"/>
      <c r="S4405" s="27" t="n"/>
      <c r="T4405" s="27" t="n"/>
    </row>
    <row r="4406" ht="13.8" customFormat="1" customHeight="1" s="70">
      <c r="M4406" s="27" t="n"/>
      <c r="N4406" s="27" t="n"/>
      <c r="O4406" s="27" t="n"/>
      <c r="P4406" s="27" t="n"/>
      <c r="Q4406" s="27" t="n"/>
      <c r="R4406" s="27" t="n"/>
      <c r="S4406" s="27" t="n"/>
      <c r="T4406" s="27" t="n"/>
    </row>
    <row r="4407" ht="13.8" customFormat="1" customHeight="1" s="70">
      <c r="M4407" s="27" t="n"/>
      <c r="N4407" s="27" t="n"/>
      <c r="O4407" s="27" t="n"/>
      <c r="P4407" s="27" t="n"/>
      <c r="Q4407" s="27" t="n"/>
      <c r="R4407" s="27" t="n"/>
      <c r="S4407" s="27" t="n"/>
      <c r="T4407" s="27" t="n"/>
    </row>
    <row r="4408" ht="13.8" customFormat="1" customHeight="1" s="70">
      <c r="M4408" s="27" t="n"/>
      <c r="N4408" s="27" t="n"/>
      <c r="O4408" s="27" t="n"/>
      <c r="P4408" s="27" t="n"/>
      <c r="Q4408" s="27" t="n"/>
      <c r="R4408" s="27" t="n"/>
      <c r="S4408" s="27" t="n"/>
      <c r="T4408" s="27" t="n"/>
    </row>
    <row r="4409" ht="13.8" customFormat="1" customHeight="1" s="70">
      <c r="M4409" s="27" t="n"/>
      <c r="N4409" s="27" t="n"/>
      <c r="O4409" s="27" t="n"/>
      <c r="P4409" s="27" t="n"/>
      <c r="Q4409" s="27" t="n"/>
      <c r="R4409" s="27" t="n"/>
      <c r="S4409" s="27" t="n"/>
      <c r="T4409" s="27" t="n"/>
    </row>
    <row r="4410" ht="13.8" customFormat="1" customHeight="1" s="70">
      <c r="M4410" s="27" t="n"/>
      <c r="N4410" s="27" t="n"/>
      <c r="O4410" s="27" t="n"/>
      <c r="P4410" s="27" t="n"/>
      <c r="Q4410" s="27" t="n"/>
      <c r="R4410" s="27" t="n"/>
      <c r="S4410" s="27" t="n"/>
      <c r="T4410" s="27" t="n"/>
    </row>
    <row r="4411" ht="13.8" customFormat="1" customHeight="1" s="70">
      <c r="M4411" s="27" t="n"/>
      <c r="N4411" s="27" t="n"/>
      <c r="O4411" s="27" t="n"/>
      <c r="P4411" s="27" t="n"/>
      <c r="Q4411" s="27" t="n"/>
      <c r="R4411" s="27" t="n"/>
      <c r="S4411" s="27" t="n"/>
      <c r="T4411" s="27" t="n"/>
    </row>
    <row r="4412" ht="13.8" customFormat="1" customHeight="1" s="70">
      <c r="M4412" s="27" t="n"/>
      <c r="N4412" s="27" t="n"/>
      <c r="O4412" s="27" t="n"/>
      <c r="P4412" s="27" t="n"/>
      <c r="Q4412" s="27" t="n"/>
      <c r="R4412" s="27" t="n"/>
      <c r="S4412" s="27" t="n"/>
      <c r="T4412" s="27" t="n"/>
    </row>
    <row r="4413" ht="13.8" customFormat="1" customHeight="1" s="70">
      <c r="M4413" s="27" t="n"/>
      <c r="N4413" s="27" t="n"/>
      <c r="O4413" s="27" t="n"/>
      <c r="P4413" s="27" t="n"/>
      <c r="Q4413" s="27" t="n"/>
      <c r="R4413" s="27" t="n"/>
      <c r="S4413" s="27" t="n"/>
      <c r="T4413" s="27" t="n"/>
    </row>
    <row r="4414" ht="13.8" customFormat="1" customHeight="1" s="70">
      <c r="M4414" s="27" t="n"/>
      <c r="N4414" s="27" t="n"/>
      <c r="O4414" s="27" t="n"/>
      <c r="P4414" s="27" t="n"/>
      <c r="Q4414" s="27" t="n"/>
      <c r="R4414" s="27" t="n"/>
      <c r="S4414" s="27" t="n"/>
      <c r="T4414" s="27" t="n"/>
    </row>
    <row r="4415" ht="13.8" customFormat="1" customHeight="1" s="70">
      <c r="M4415" s="27" t="n"/>
      <c r="N4415" s="27" t="n"/>
      <c r="O4415" s="27" t="n"/>
      <c r="P4415" s="27" t="n"/>
      <c r="Q4415" s="27" t="n"/>
      <c r="R4415" s="27" t="n"/>
      <c r="S4415" s="27" t="n"/>
      <c r="T4415" s="27" t="n"/>
    </row>
    <row r="4416" ht="13.8" customFormat="1" customHeight="1" s="70">
      <c r="M4416" s="27" t="n"/>
      <c r="N4416" s="27" t="n"/>
      <c r="O4416" s="27" t="n"/>
      <c r="P4416" s="27" t="n"/>
      <c r="Q4416" s="27" t="n"/>
      <c r="R4416" s="27" t="n"/>
      <c r="S4416" s="27" t="n"/>
      <c r="T4416" s="27" t="n"/>
    </row>
    <row r="4417" ht="13.8" customFormat="1" customHeight="1" s="70">
      <c r="M4417" s="27" t="n"/>
      <c r="N4417" s="27" t="n"/>
      <c r="O4417" s="27" t="n"/>
      <c r="P4417" s="27" t="n"/>
      <c r="Q4417" s="27" t="n"/>
      <c r="R4417" s="27" t="n"/>
      <c r="S4417" s="27" t="n"/>
      <c r="T4417" s="27" t="n"/>
    </row>
    <row r="4418" ht="13.8" customFormat="1" customHeight="1" s="70">
      <c r="M4418" s="27" t="n"/>
      <c r="N4418" s="27" t="n"/>
      <c r="O4418" s="27" t="n"/>
      <c r="P4418" s="27" t="n"/>
      <c r="Q4418" s="27" t="n"/>
      <c r="R4418" s="27" t="n"/>
      <c r="S4418" s="27" t="n"/>
      <c r="T4418" s="27" t="n"/>
    </row>
    <row r="4419" ht="13.8" customFormat="1" customHeight="1" s="70">
      <c r="M4419" s="27" t="n"/>
      <c r="N4419" s="27" t="n"/>
      <c r="O4419" s="27" t="n"/>
      <c r="P4419" s="27" t="n"/>
      <c r="Q4419" s="27" t="n"/>
      <c r="R4419" s="27" t="n"/>
      <c r="S4419" s="27" t="n"/>
      <c r="T4419" s="27" t="n"/>
    </row>
    <row r="4420" ht="13.8" customFormat="1" customHeight="1" s="70">
      <c r="M4420" s="27" t="n"/>
      <c r="N4420" s="27" t="n"/>
      <c r="O4420" s="27" t="n"/>
      <c r="P4420" s="27" t="n"/>
      <c r="Q4420" s="27" t="n"/>
      <c r="R4420" s="27" t="n"/>
      <c r="S4420" s="27" t="n"/>
      <c r="T4420" s="27" t="n"/>
    </row>
    <row r="4421" ht="13.8" customFormat="1" customHeight="1" s="70">
      <c r="M4421" s="27" t="n"/>
      <c r="N4421" s="27" t="n"/>
      <c r="O4421" s="27" t="n"/>
      <c r="P4421" s="27" t="n"/>
      <c r="Q4421" s="27" t="n"/>
      <c r="R4421" s="27" t="n"/>
      <c r="S4421" s="27" t="n"/>
      <c r="T4421" s="27" t="n"/>
    </row>
    <row r="4422" ht="13.8" customFormat="1" customHeight="1" s="70">
      <c r="M4422" s="27" t="n"/>
      <c r="N4422" s="27" t="n"/>
      <c r="O4422" s="27" t="n"/>
      <c r="P4422" s="27" t="n"/>
      <c r="Q4422" s="27" t="n"/>
      <c r="R4422" s="27" t="n"/>
      <c r="S4422" s="27" t="n"/>
      <c r="T4422" s="27" t="n"/>
    </row>
    <row r="4423" ht="13.8" customFormat="1" customHeight="1" s="70">
      <c r="M4423" s="27" t="n"/>
      <c r="N4423" s="27" t="n"/>
      <c r="O4423" s="27" t="n"/>
      <c r="P4423" s="27" t="n"/>
      <c r="Q4423" s="27" t="n"/>
      <c r="R4423" s="27" t="n"/>
      <c r="S4423" s="27" t="n"/>
      <c r="T4423" s="27" t="n"/>
    </row>
    <row r="4424" ht="13.8" customFormat="1" customHeight="1" s="70">
      <c r="M4424" s="27" t="n"/>
      <c r="N4424" s="27" t="n"/>
      <c r="O4424" s="27" t="n"/>
      <c r="P4424" s="27" t="n"/>
      <c r="Q4424" s="27" t="n"/>
      <c r="R4424" s="27" t="n"/>
      <c r="S4424" s="27" t="n"/>
      <c r="T4424" s="27" t="n"/>
    </row>
    <row r="4425" ht="13.8" customFormat="1" customHeight="1" s="70">
      <c r="M4425" s="27" t="n"/>
      <c r="N4425" s="27" t="n"/>
      <c r="O4425" s="27" t="n"/>
      <c r="P4425" s="27" t="n"/>
      <c r="Q4425" s="27" t="n"/>
      <c r="R4425" s="27" t="n"/>
      <c r="S4425" s="27" t="n"/>
      <c r="T4425" s="27" t="n"/>
    </row>
    <row r="4426" ht="13.8" customFormat="1" customHeight="1" s="70">
      <c r="M4426" s="27" t="n"/>
      <c r="N4426" s="27" t="n"/>
      <c r="O4426" s="27" t="n"/>
      <c r="P4426" s="27" t="n"/>
      <c r="Q4426" s="27" t="n"/>
      <c r="R4426" s="27" t="n"/>
      <c r="S4426" s="27" t="n"/>
      <c r="T4426" s="27" t="n"/>
    </row>
    <row r="4427" ht="13.8" customFormat="1" customHeight="1" s="70">
      <c r="M4427" s="27" t="n"/>
      <c r="N4427" s="27" t="n"/>
      <c r="O4427" s="27" t="n"/>
      <c r="P4427" s="27" t="n"/>
      <c r="Q4427" s="27" t="n"/>
      <c r="R4427" s="27" t="n"/>
      <c r="S4427" s="27" t="n"/>
      <c r="T4427" s="27" t="n"/>
    </row>
    <row r="4428" ht="13.8" customFormat="1" customHeight="1" s="70">
      <c r="M4428" s="27" t="n"/>
      <c r="N4428" s="27" t="n"/>
      <c r="O4428" s="27" t="n"/>
      <c r="P4428" s="27" t="n"/>
      <c r="Q4428" s="27" t="n"/>
      <c r="R4428" s="27" t="n"/>
      <c r="S4428" s="27" t="n"/>
      <c r="T4428" s="27" t="n"/>
    </row>
    <row r="4429" ht="13.8" customFormat="1" customHeight="1" s="70">
      <c r="M4429" s="27" t="n"/>
      <c r="N4429" s="27" t="n"/>
      <c r="O4429" s="27" t="n"/>
      <c r="P4429" s="27" t="n"/>
      <c r="Q4429" s="27" t="n"/>
      <c r="R4429" s="27" t="n"/>
      <c r="S4429" s="27" t="n"/>
      <c r="T4429" s="27" t="n"/>
    </row>
    <row r="4430" ht="13.8" customFormat="1" customHeight="1" s="70">
      <c r="M4430" s="27" t="n"/>
      <c r="N4430" s="27" t="n"/>
      <c r="O4430" s="27" t="n"/>
      <c r="P4430" s="27" t="n"/>
      <c r="Q4430" s="27" t="n"/>
      <c r="R4430" s="27" t="n"/>
      <c r="S4430" s="27" t="n"/>
      <c r="T4430" s="27" t="n"/>
    </row>
    <row r="4431" ht="13.8" customFormat="1" customHeight="1" s="70">
      <c r="M4431" s="27" t="n"/>
      <c r="N4431" s="27" t="n"/>
      <c r="O4431" s="27" t="n"/>
      <c r="P4431" s="27" t="n"/>
      <c r="Q4431" s="27" t="n"/>
      <c r="R4431" s="27" t="n"/>
      <c r="S4431" s="27" t="n"/>
      <c r="T4431" s="27" t="n"/>
    </row>
    <row r="4432" ht="13.8" customFormat="1" customHeight="1" s="70">
      <c r="M4432" s="27" t="n"/>
      <c r="N4432" s="27" t="n"/>
      <c r="O4432" s="27" t="n"/>
      <c r="P4432" s="27" t="n"/>
      <c r="Q4432" s="27" t="n"/>
      <c r="R4432" s="27" t="n"/>
      <c r="S4432" s="27" t="n"/>
      <c r="T4432" s="27" t="n"/>
    </row>
    <row r="4433" ht="13.8" customFormat="1" customHeight="1" s="70">
      <c r="M4433" s="27" t="n"/>
      <c r="N4433" s="27" t="n"/>
      <c r="O4433" s="27" t="n"/>
      <c r="P4433" s="27" t="n"/>
      <c r="Q4433" s="27" t="n"/>
      <c r="R4433" s="27" t="n"/>
      <c r="S4433" s="27" t="n"/>
      <c r="T4433" s="27" t="n"/>
    </row>
    <row r="4434" ht="13.8" customFormat="1" customHeight="1" s="70">
      <c r="M4434" s="27" t="n"/>
      <c r="N4434" s="27" t="n"/>
      <c r="O4434" s="27" t="n"/>
      <c r="P4434" s="27" t="n"/>
      <c r="Q4434" s="27" t="n"/>
      <c r="R4434" s="27" t="n"/>
      <c r="S4434" s="27" t="n"/>
      <c r="T4434" s="27" t="n"/>
    </row>
    <row r="4435" ht="13.8" customFormat="1" customHeight="1" s="70">
      <c r="M4435" s="27" t="n"/>
      <c r="N4435" s="27" t="n"/>
      <c r="O4435" s="27" t="n"/>
      <c r="P4435" s="27" t="n"/>
      <c r="Q4435" s="27" t="n"/>
      <c r="R4435" s="27" t="n"/>
      <c r="S4435" s="27" t="n"/>
      <c r="T4435" s="27" t="n"/>
    </row>
    <row r="4436" ht="13.8" customFormat="1" customHeight="1" s="70">
      <c r="M4436" s="27" t="n"/>
      <c r="N4436" s="27" t="n"/>
      <c r="O4436" s="27" t="n"/>
      <c r="P4436" s="27" t="n"/>
      <c r="Q4436" s="27" t="n"/>
      <c r="R4436" s="27" t="n"/>
      <c r="S4436" s="27" t="n"/>
      <c r="T4436" s="27" t="n"/>
    </row>
    <row r="4437" ht="13.8" customFormat="1" customHeight="1" s="70">
      <c r="M4437" s="27" t="n"/>
      <c r="N4437" s="27" t="n"/>
      <c r="O4437" s="27" t="n"/>
      <c r="P4437" s="27" t="n"/>
      <c r="Q4437" s="27" t="n"/>
      <c r="R4437" s="27" t="n"/>
      <c r="S4437" s="27" t="n"/>
      <c r="T4437" s="27" t="n"/>
    </row>
    <row r="4438" ht="13.8" customFormat="1" customHeight="1" s="70">
      <c r="M4438" s="27" t="n"/>
      <c r="N4438" s="27" t="n"/>
      <c r="O4438" s="27" t="n"/>
      <c r="P4438" s="27" t="n"/>
      <c r="Q4438" s="27" t="n"/>
      <c r="R4438" s="27" t="n"/>
      <c r="S4438" s="27" t="n"/>
      <c r="T4438" s="27" t="n"/>
    </row>
    <row r="4439" ht="13.8" customFormat="1" customHeight="1" s="70">
      <c r="M4439" s="27" t="n"/>
      <c r="N4439" s="27" t="n"/>
      <c r="O4439" s="27" t="n"/>
      <c r="P4439" s="27" t="n"/>
      <c r="Q4439" s="27" t="n"/>
      <c r="R4439" s="27" t="n"/>
      <c r="S4439" s="27" t="n"/>
      <c r="T4439" s="27" t="n"/>
    </row>
    <row r="4440" ht="13.8" customFormat="1" customHeight="1" s="70">
      <c r="M4440" s="27" t="n"/>
      <c r="N4440" s="27" t="n"/>
      <c r="O4440" s="27" t="n"/>
      <c r="P4440" s="27" t="n"/>
      <c r="Q4440" s="27" t="n"/>
      <c r="R4440" s="27" t="n"/>
      <c r="S4440" s="27" t="n"/>
      <c r="T4440" s="27" t="n"/>
    </row>
    <row r="4441" ht="13.8" customFormat="1" customHeight="1" s="70">
      <c r="M4441" s="27" t="n"/>
      <c r="N4441" s="27" t="n"/>
      <c r="O4441" s="27" t="n"/>
      <c r="P4441" s="27" t="n"/>
      <c r="Q4441" s="27" t="n"/>
      <c r="R4441" s="27" t="n"/>
      <c r="S4441" s="27" t="n"/>
      <c r="T4441" s="27" t="n"/>
    </row>
    <row r="4442" ht="13.8" customFormat="1" customHeight="1" s="70">
      <c r="M4442" s="27" t="n"/>
      <c r="N4442" s="27" t="n"/>
      <c r="O4442" s="27" t="n"/>
      <c r="P4442" s="27" t="n"/>
      <c r="Q4442" s="27" t="n"/>
      <c r="R4442" s="27" t="n"/>
      <c r="S4442" s="27" t="n"/>
      <c r="T4442" s="27" t="n"/>
    </row>
    <row r="4443" ht="13.8" customFormat="1" customHeight="1" s="70">
      <c r="M4443" s="27" t="n"/>
      <c r="N4443" s="27" t="n"/>
      <c r="O4443" s="27" t="n"/>
      <c r="P4443" s="27" t="n"/>
      <c r="Q4443" s="27" t="n"/>
      <c r="R4443" s="27" t="n"/>
      <c r="S4443" s="27" t="n"/>
      <c r="T4443" s="27" t="n"/>
    </row>
    <row r="4444" ht="13.8" customFormat="1" customHeight="1" s="70">
      <c r="M4444" s="27" t="n"/>
      <c r="N4444" s="27" t="n"/>
      <c r="O4444" s="27" t="n"/>
      <c r="P4444" s="27" t="n"/>
      <c r="Q4444" s="27" t="n"/>
      <c r="R4444" s="27" t="n"/>
      <c r="S4444" s="27" t="n"/>
      <c r="T4444" s="27" t="n"/>
    </row>
    <row r="4445" ht="13.8" customFormat="1" customHeight="1" s="70">
      <c r="M4445" s="27" t="n"/>
      <c r="N4445" s="27" t="n"/>
      <c r="O4445" s="27" t="n"/>
      <c r="P4445" s="27" t="n"/>
      <c r="Q4445" s="27" t="n"/>
      <c r="R4445" s="27" t="n"/>
      <c r="S4445" s="27" t="n"/>
      <c r="T4445" s="27" t="n"/>
    </row>
    <row r="4446" ht="13.8" customFormat="1" customHeight="1" s="70">
      <c r="M4446" s="27" t="n"/>
      <c r="N4446" s="27" t="n"/>
      <c r="O4446" s="27" t="n"/>
      <c r="P4446" s="27" t="n"/>
      <c r="Q4446" s="27" t="n"/>
      <c r="R4446" s="27" t="n"/>
      <c r="S4446" s="27" t="n"/>
      <c r="T4446" s="27" t="n"/>
    </row>
    <row r="4447" ht="13.8" customFormat="1" customHeight="1" s="70">
      <c r="M4447" s="27" t="n"/>
      <c r="N4447" s="27" t="n"/>
      <c r="O4447" s="27" t="n"/>
      <c r="P4447" s="27" t="n"/>
      <c r="Q4447" s="27" t="n"/>
      <c r="R4447" s="27" t="n"/>
      <c r="S4447" s="27" t="n"/>
      <c r="T4447" s="27" t="n"/>
    </row>
    <row r="4448" ht="13.8" customFormat="1" customHeight="1" s="70">
      <c r="M4448" s="27" t="n"/>
      <c r="N4448" s="27" t="n"/>
      <c r="O4448" s="27" t="n"/>
      <c r="P4448" s="27" t="n"/>
      <c r="Q4448" s="27" t="n"/>
      <c r="R4448" s="27" t="n"/>
      <c r="S4448" s="27" t="n"/>
      <c r="T4448" s="27" t="n"/>
    </row>
    <row r="4449" ht="13.8" customFormat="1" customHeight="1" s="70">
      <c r="M4449" s="27" t="n"/>
      <c r="N4449" s="27" t="n"/>
      <c r="O4449" s="27" t="n"/>
      <c r="P4449" s="27" t="n"/>
      <c r="Q4449" s="27" t="n"/>
      <c r="R4449" s="27" t="n"/>
      <c r="S4449" s="27" t="n"/>
      <c r="T4449" s="27" t="n"/>
    </row>
    <row r="4450" ht="13.8" customFormat="1" customHeight="1" s="70">
      <c r="M4450" s="27" t="n"/>
      <c r="N4450" s="27" t="n"/>
      <c r="O4450" s="27" t="n"/>
      <c r="P4450" s="27" t="n"/>
      <c r="Q4450" s="27" t="n"/>
      <c r="R4450" s="27" t="n"/>
      <c r="S4450" s="27" t="n"/>
      <c r="T4450" s="27" t="n"/>
    </row>
    <row r="4451" ht="13.8" customFormat="1" customHeight="1" s="70">
      <c r="M4451" s="27" t="n"/>
      <c r="N4451" s="27" t="n"/>
      <c r="O4451" s="27" t="n"/>
      <c r="P4451" s="27" t="n"/>
      <c r="Q4451" s="27" t="n"/>
      <c r="R4451" s="27" t="n"/>
      <c r="S4451" s="27" t="n"/>
      <c r="T4451" s="27" t="n"/>
    </row>
    <row r="4452" ht="13.8" customFormat="1" customHeight="1" s="70">
      <c r="M4452" s="27" t="n"/>
      <c r="N4452" s="27" t="n"/>
      <c r="O4452" s="27" t="n"/>
      <c r="P4452" s="27" t="n"/>
      <c r="Q4452" s="27" t="n"/>
      <c r="R4452" s="27" t="n"/>
      <c r="S4452" s="27" t="n"/>
      <c r="T4452" s="27" t="n"/>
    </row>
    <row r="4453" ht="13.8" customFormat="1" customHeight="1" s="70">
      <c r="M4453" s="27" t="n"/>
      <c r="N4453" s="27" t="n"/>
      <c r="O4453" s="27" t="n"/>
      <c r="P4453" s="27" t="n"/>
      <c r="Q4453" s="27" t="n"/>
      <c r="R4453" s="27" t="n"/>
      <c r="S4453" s="27" t="n"/>
      <c r="T4453" s="27" t="n"/>
    </row>
    <row r="4454" ht="13.8" customFormat="1" customHeight="1" s="70">
      <c r="M4454" s="27" t="n"/>
      <c r="N4454" s="27" t="n"/>
      <c r="O4454" s="27" t="n"/>
      <c r="P4454" s="27" t="n"/>
      <c r="Q4454" s="27" t="n"/>
      <c r="R4454" s="27" t="n"/>
      <c r="S4454" s="27" t="n"/>
      <c r="T4454" s="27" t="n"/>
    </row>
    <row r="4455" ht="13.8" customFormat="1" customHeight="1" s="70">
      <c r="M4455" s="27" t="n"/>
      <c r="N4455" s="27" t="n"/>
      <c r="O4455" s="27" t="n"/>
      <c r="P4455" s="27" t="n"/>
      <c r="Q4455" s="27" t="n"/>
      <c r="R4455" s="27" t="n"/>
      <c r="S4455" s="27" t="n"/>
      <c r="T4455" s="27" t="n"/>
    </row>
    <row r="4456" ht="13.8" customFormat="1" customHeight="1" s="70">
      <c r="M4456" s="27" t="n"/>
      <c r="N4456" s="27" t="n"/>
      <c r="O4456" s="27" t="n"/>
      <c r="P4456" s="27" t="n"/>
      <c r="Q4456" s="27" t="n"/>
      <c r="R4456" s="27" t="n"/>
      <c r="S4456" s="27" t="n"/>
      <c r="T4456" s="27" t="n"/>
    </row>
    <row r="4457" ht="13.8" customFormat="1" customHeight="1" s="70">
      <c r="M4457" s="27" t="n"/>
      <c r="N4457" s="27" t="n"/>
      <c r="O4457" s="27" t="n"/>
      <c r="P4457" s="27" t="n"/>
      <c r="Q4457" s="27" t="n"/>
      <c r="R4457" s="27" t="n"/>
      <c r="S4457" s="27" t="n"/>
      <c r="T4457" s="27" t="n"/>
    </row>
    <row r="4458" ht="13.8" customFormat="1" customHeight="1" s="70">
      <c r="M4458" s="27" t="n"/>
      <c r="N4458" s="27" t="n"/>
      <c r="O4458" s="27" t="n"/>
      <c r="P4458" s="27" t="n"/>
      <c r="Q4458" s="27" t="n"/>
      <c r="R4458" s="27" t="n"/>
      <c r="S4458" s="27" t="n"/>
      <c r="T4458" s="27" t="n"/>
    </row>
    <row r="4459" ht="13.8" customFormat="1" customHeight="1" s="70">
      <c r="M4459" s="27" t="n"/>
      <c r="N4459" s="27" t="n"/>
      <c r="O4459" s="27" t="n"/>
      <c r="P4459" s="27" t="n"/>
      <c r="Q4459" s="27" t="n"/>
      <c r="R4459" s="27" t="n"/>
      <c r="S4459" s="27" t="n"/>
      <c r="T4459" s="27" t="n"/>
    </row>
    <row r="4460" ht="13.8" customFormat="1" customHeight="1" s="70">
      <c r="M4460" s="27" t="n"/>
      <c r="N4460" s="27" t="n"/>
      <c r="O4460" s="27" t="n"/>
      <c r="P4460" s="27" t="n"/>
      <c r="Q4460" s="27" t="n"/>
      <c r="R4460" s="27" t="n"/>
      <c r="S4460" s="27" t="n"/>
      <c r="T4460" s="27" t="n"/>
    </row>
    <row r="4461" ht="13.8" customFormat="1" customHeight="1" s="70">
      <c r="M4461" s="27" t="n"/>
      <c r="N4461" s="27" t="n"/>
      <c r="O4461" s="27" t="n"/>
      <c r="P4461" s="27" t="n"/>
      <c r="Q4461" s="27" t="n"/>
      <c r="R4461" s="27" t="n"/>
      <c r="S4461" s="27" t="n"/>
      <c r="T4461" s="27" t="n"/>
    </row>
    <row r="4462" ht="13.8" customFormat="1" customHeight="1" s="70">
      <c r="M4462" s="27" t="n"/>
      <c r="N4462" s="27" t="n"/>
      <c r="O4462" s="27" t="n"/>
      <c r="P4462" s="27" t="n"/>
      <c r="Q4462" s="27" t="n"/>
      <c r="R4462" s="27" t="n"/>
      <c r="S4462" s="27" t="n"/>
      <c r="T4462" s="27" t="n"/>
    </row>
    <row r="4463" ht="13.8" customFormat="1" customHeight="1" s="70">
      <c r="M4463" s="27" t="n"/>
      <c r="N4463" s="27" t="n"/>
      <c r="O4463" s="27" t="n"/>
      <c r="P4463" s="27" t="n"/>
      <c r="Q4463" s="27" t="n"/>
      <c r="R4463" s="27" t="n"/>
      <c r="S4463" s="27" t="n"/>
      <c r="T4463" s="27" t="n"/>
    </row>
    <row r="4464" ht="13.8" customFormat="1" customHeight="1" s="70">
      <c r="M4464" s="27" t="n"/>
      <c r="N4464" s="27" t="n"/>
      <c r="O4464" s="27" t="n"/>
      <c r="P4464" s="27" t="n"/>
      <c r="Q4464" s="27" t="n"/>
      <c r="R4464" s="27" t="n"/>
      <c r="S4464" s="27" t="n"/>
      <c r="T4464" s="27" t="n"/>
    </row>
    <row r="4465" ht="13.8" customFormat="1" customHeight="1" s="70">
      <c r="M4465" s="27" t="n"/>
      <c r="N4465" s="27" t="n"/>
      <c r="O4465" s="27" t="n"/>
      <c r="P4465" s="27" t="n"/>
      <c r="Q4465" s="27" t="n"/>
      <c r="R4465" s="27" t="n"/>
      <c r="S4465" s="27" t="n"/>
      <c r="T4465" s="27" t="n"/>
    </row>
    <row r="4466" ht="13.8" customFormat="1" customHeight="1" s="70">
      <c r="M4466" s="27" t="n"/>
      <c r="N4466" s="27" t="n"/>
      <c r="O4466" s="27" t="n"/>
      <c r="P4466" s="27" t="n"/>
      <c r="Q4466" s="27" t="n"/>
      <c r="R4466" s="27" t="n"/>
      <c r="S4466" s="27" t="n"/>
      <c r="T4466" s="27" t="n"/>
    </row>
    <row r="4467" ht="13.8" customFormat="1" customHeight="1" s="70">
      <c r="M4467" s="27" t="n"/>
      <c r="N4467" s="27" t="n"/>
      <c r="O4467" s="27" t="n"/>
      <c r="P4467" s="27" t="n"/>
      <c r="Q4467" s="27" t="n"/>
      <c r="R4467" s="27" t="n"/>
      <c r="S4467" s="27" t="n"/>
      <c r="T4467" s="27" t="n"/>
    </row>
    <row r="4468" ht="13.8" customFormat="1" customHeight="1" s="70">
      <c r="M4468" s="27" t="n"/>
      <c r="N4468" s="27" t="n"/>
      <c r="O4468" s="27" t="n"/>
      <c r="P4468" s="27" t="n"/>
      <c r="Q4468" s="27" t="n"/>
      <c r="R4468" s="27" t="n"/>
      <c r="S4468" s="27" t="n"/>
      <c r="T4468" s="27" t="n"/>
    </row>
    <row r="4469" ht="13.8" customFormat="1" customHeight="1" s="70">
      <c r="M4469" s="27" t="n"/>
      <c r="N4469" s="27" t="n"/>
      <c r="O4469" s="27" t="n"/>
      <c r="P4469" s="27" t="n"/>
      <c r="Q4469" s="27" t="n"/>
      <c r="R4469" s="27" t="n"/>
      <c r="S4469" s="27" t="n"/>
      <c r="T4469" s="27" t="n"/>
    </row>
    <row r="4470" ht="13.8" customFormat="1" customHeight="1" s="70">
      <c r="M4470" s="27" t="n"/>
      <c r="N4470" s="27" t="n"/>
      <c r="O4470" s="27" t="n"/>
      <c r="P4470" s="27" t="n"/>
      <c r="Q4470" s="27" t="n"/>
      <c r="R4470" s="27" t="n"/>
      <c r="S4470" s="27" t="n"/>
      <c r="T4470" s="27" t="n"/>
    </row>
    <row r="4471" ht="13.8" customFormat="1" customHeight="1" s="70">
      <c r="M4471" s="27" t="n"/>
      <c r="N4471" s="27" t="n"/>
      <c r="O4471" s="27" t="n"/>
      <c r="P4471" s="27" t="n"/>
      <c r="Q4471" s="27" t="n"/>
      <c r="R4471" s="27" t="n"/>
      <c r="S4471" s="27" t="n"/>
      <c r="T4471" s="27" t="n"/>
    </row>
    <row r="4472" ht="13.8" customFormat="1" customHeight="1" s="70">
      <c r="M4472" s="27" t="n"/>
      <c r="N4472" s="27" t="n"/>
      <c r="O4472" s="27" t="n"/>
      <c r="P4472" s="27" t="n"/>
      <c r="Q4472" s="27" t="n"/>
      <c r="R4472" s="27" t="n"/>
      <c r="S4472" s="27" t="n"/>
      <c r="T4472" s="27" t="n"/>
    </row>
    <row r="4473" ht="13.8" customFormat="1" customHeight="1" s="70">
      <c r="M4473" s="27" t="n"/>
      <c r="N4473" s="27" t="n"/>
      <c r="O4473" s="27" t="n"/>
      <c r="P4473" s="27" t="n"/>
      <c r="Q4473" s="27" t="n"/>
      <c r="R4473" s="27" t="n"/>
      <c r="S4473" s="27" t="n"/>
      <c r="T4473" s="27" t="n"/>
    </row>
    <row r="4474" ht="13.8" customFormat="1" customHeight="1" s="70">
      <c r="M4474" s="27" t="n"/>
      <c r="N4474" s="27" t="n"/>
      <c r="O4474" s="27" t="n"/>
      <c r="P4474" s="27" t="n"/>
      <c r="Q4474" s="27" t="n"/>
      <c r="R4474" s="27" t="n"/>
      <c r="S4474" s="27" t="n"/>
      <c r="T4474" s="27" t="n"/>
    </row>
    <row r="4475" ht="13.8" customFormat="1" customHeight="1" s="70">
      <c r="M4475" s="27" t="n"/>
      <c r="N4475" s="27" t="n"/>
      <c r="O4475" s="27" t="n"/>
      <c r="P4475" s="27" t="n"/>
      <c r="Q4475" s="27" t="n"/>
      <c r="R4475" s="27" t="n"/>
      <c r="S4475" s="27" t="n"/>
      <c r="T4475" s="27" t="n"/>
    </row>
    <row r="4476" ht="13.8" customFormat="1" customHeight="1" s="70">
      <c r="M4476" s="27" t="n"/>
      <c r="N4476" s="27" t="n"/>
      <c r="O4476" s="27" t="n"/>
      <c r="P4476" s="27" t="n"/>
      <c r="Q4476" s="27" t="n"/>
      <c r="R4476" s="27" t="n"/>
      <c r="S4476" s="27" t="n"/>
      <c r="T4476" s="27" t="n"/>
    </row>
    <row r="4477" ht="13.8" customFormat="1" customHeight="1" s="70">
      <c r="M4477" s="27" t="n"/>
      <c r="N4477" s="27" t="n"/>
      <c r="O4477" s="27" t="n"/>
      <c r="P4477" s="27" t="n"/>
      <c r="Q4477" s="27" t="n"/>
      <c r="R4477" s="27" t="n"/>
      <c r="S4477" s="27" t="n"/>
      <c r="T4477" s="27" t="n"/>
    </row>
    <row r="4478" ht="13.8" customFormat="1" customHeight="1" s="70">
      <c r="M4478" s="27" t="n"/>
      <c r="N4478" s="27" t="n"/>
      <c r="O4478" s="27" t="n"/>
      <c r="P4478" s="27" t="n"/>
      <c r="Q4478" s="27" t="n"/>
      <c r="R4478" s="27" t="n"/>
      <c r="S4478" s="27" t="n"/>
      <c r="T4478" s="27" t="n"/>
    </row>
    <row r="4479" ht="13.8" customFormat="1" customHeight="1" s="70">
      <c r="M4479" s="27" t="n"/>
      <c r="N4479" s="27" t="n"/>
      <c r="O4479" s="27" t="n"/>
      <c r="P4479" s="27" t="n"/>
      <c r="Q4479" s="27" t="n"/>
      <c r="R4479" s="27" t="n"/>
      <c r="S4479" s="27" t="n"/>
      <c r="T4479" s="27" t="n"/>
    </row>
    <row r="4480" ht="13.8" customFormat="1" customHeight="1" s="70">
      <c r="M4480" s="27" t="n"/>
      <c r="N4480" s="27" t="n"/>
      <c r="O4480" s="27" t="n"/>
      <c r="P4480" s="27" t="n"/>
      <c r="Q4480" s="27" t="n"/>
      <c r="R4480" s="27" t="n"/>
      <c r="S4480" s="27" t="n"/>
      <c r="T4480" s="27" t="n"/>
    </row>
    <row r="4481" ht="13.8" customFormat="1" customHeight="1" s="70">
      <c r="M4481" s="27" t="n"/>
      <c r="N4481" s="27" t="n"/>
      <c r="O4481" s="27" t="n"/>
      <c r="P4481" s="27" t="n"/>
      <c r="Q4481" s="27" t="n"/>
      <c r="R4481" s="27" t="n"/>
      <c r="S4481" s="27" t="n"/>
      <c r="T4481" s="27" t="n"/>
    </row>
    <row r="4482" ht="13.8" customFormat="1" customHeight="1" s="70">
      <c r="M4482" s="27" t="n"/>
      <c r="N4482" s="27" t="n"/>
      <c r="O4482" s="27" t="n"/>
      <c r="P4482" s="27" t="n"/>
      <c r="Q4482" s="27" t="n"/>
      <c r="R4482" s="27" t="n"/>
      <c r="S4482" s="27" t="n"/>
      <c r="T4482" s="27" t="n"/>
    </row>
    <row r="4483" ht="13.8" customFormat="1" customHeight="1" s="70">
      <c r="M4483" s="27" t="n"/>
      <c r="N4483" s="27" t="n"/>
      <c r="O4483" s="27" t="n"/>
      <c r="P4483" s="27" t="n"/>
      <c r="Q4483" s="27" t="n"/>
      <c r="R4483" s="27" t="n"/>
      <c r="S4483" s="27" t="n"/>
      <c r="T4483" s="27" t="n"/>
    </row>
    <row r="4484" ht="13.8" customFormat="1" customHeight="1" s="70">
      <c r="M4484" s="27" t="n"/>
      <c r="N4484" s="27" t="n"/>
      <c r="O4484" s="27" t="n"/>
      <c r="P4484" s="27" t="n"/>
      <c r="Q4484" s="27" t="n"/>
      <c r="R4484" s="27" t="n"/>
      <c r="S4484" s="27" t="n"/>
      <c r="T4484" s="27" t="n"/>
    </row>
    <row r="4485" ht="13.8" customFormat="1" customHeight="1" s="70">
      <c r="M4485" s="27" t="n"/>
      <c r="N4485" s="27" t="n"/>
      <c r="O4485" s="27" t="n"/>
      <c r="P4485" s="27" t="n"/>
      <c r="Q4485" s="27" t="n"/>
      <c r="R4485" s="27" t="n"/>
      <c r="S4485" s="27" t="n"/>
      <c r="T4485" s="27" t="n"/>
    </row>
    <row r="4486" ht="13.8" customFormat="1" customHeight="1" s="70">
      <c r="M4486" s="27" t="n"/>
      <c r="N4486" s="27" t="n"/>
      <c r="O4486" s="27" t="n"/>
      <c r="P4486" s="27" t="n"/>
      <c r="Q4486" s="27" t="n"/>
      <c r="R4486" s="27" t="n"/>
      <c r="S4486" s="27" t="n"/>
      <c r="T4486" s="27" t="n"/>
    </row>
    <row r="4487" ht="13.8" customFormat="1" customHeight="1" s="70">
      <c r="M4487" s="27" t="n"/>
      <c r="N4487" s="27" t="n"/>
      <c r="O4487" s="27" t="n"/>
      <c r="P4487" s="27" t="n"/>
      <c r="Q4487" s="27" t="n"/>
      <c r="R4487" s="27" t="n"/>
      <c r="S4487" s="27" t="n"/>
      <c r="T4487" s="27" t="n"/>
    </row>
    <row r="4488" ht="13.8" customFormat="1" customHeight="1" s="70">
      <c r="M4488" s="27" t="n"/>
      <c r="N4488" s="27" t="n"/>
      <c r="O4488" s="27" t="n"/>
      <c r="P4488" s="27" t="n"/>
      <c r="Q4488" s="27" t="n"/>
      <c r="R4488" s="27" t="n"/>
      <c r="S4488" s="27" t="n"/>
      <c r="T4488" s="27" t="n"/>
    </row>
    <row r="4489" ht="13.8" customFormat="1" customHeight="1" s="70">
      <c r="M4489" s="27" t="n"/>
      <c r="N4489" s="27" t="n"/>
      <c r="O4489" s="27" t="n"/>
      <c r="P4489" s="27" t="n"/>
      <c r="Q4489" s="27" t="n"/>
      <c r="R4489" s="27" t="n"/>
      <c r="S4489" s="27" t="n"/>
      <c r="T4489" s="27" t="n"/>
    </row>
    <row r="4490" ht="13.8" customFormat="1" customHeight="1" s="70">
      <c r="M4490" s="27" t="n"/>
      <c r="N4490" s="27" t="n"/>
      <c r="O4490" s="27" t="n"/>
      <c r="P4490" s="27" t="n"/>
      <c r="Q4490" s="27" t="n"/>
      <c r="R4490" s="27" t="n"/>
      <c r="S4490" s="27" t="n"/>
      <c r="T4490" s="27" t="n"/>
    </row>
    <row r="4491" ht="13.8" customFormat="1" customHeight="1" s="70">
      <c r="M4491" s="27" t="n"/>
      <c r="N4491" s="27" t="n"/>
      <c r="O4491" s="27" t="n"/>
      <c r="P4491" s="27" t="n"/>
      <c r="Q4491" s="27" t="n"/>
      <c r="R4491" s="27" t="n"/>
      <c r="S4491" s="27" t="n"/>
      <c r="T4491" s="27" t="n"/>
    </row>
    <row r="4492" ht="13.8" customFormat="1" customHeight="1" s="70">
      <c r="M4492" s="27" t="n"/>
      <c r="N4492" s="27" t="n"/>
      <c r="O4492" s="27" t="n"/>
      <c r="P4492" s="27" t="n"/>
      <c r="Q4492" s="27" t="n"/>
      <c r="R4492" s="27" t="n"/>
      <c r="S4492" s="27" t="n"/>
      <c r="T4492" s="27" t="n"/>
    </row>
    <row r="4493" ht="13.8" customFormat="1" customHeight="1" s="70">
      <c r="M4493" s="27" t="n"/>
      <c r="N4493" s="27" t="n"/>
      <c r="O4493" s="27" t="n"/>
      <c r="P4493" s="27" t="n"/>
      <c r="Q4493" s="27" t="n"/>
      <c r="R4493" s="27" t="n"/>
      <c r="S4493" s="27" t="n"/>
      <c r="T4493" s="27" t="n"/>
    </row>
    <row r="4494" ht="13.8" customFormat="1" customHeight="1" s="70">
      <c r="M4494" s="27" t="n"/>
      <c r="N4494" s="27" t="n"/>
      <c r="O4494" s="27" t="n"/>
      <c r="P4494" s="27" t="n"/>
      <c r="Q4494" s="27" t="n"/>
      <c r="R4494" s="27" t="n"/>
      <c r="S4494" s="27" t="n"/>
      <c r="T4494" s="27" t="n"/>
    </row>
    <row r="4495" ht="13.8" customFormat="1" customHeight="1" s="70">
      <c r="M4495" s="27" t="n"/>
      <c r="N4495" s="27" t="n"/>
      <c r="O4495" s="27" t="n"/>
      <c r="P4495" s="27" t="n"/>
      <c r="Q4495" s="27" t="n"/>
      <c r="R4495" s="27" t="n"/>
      <c r="S4495" s="27" t="n"/>
      <c r="T4495" s="27" t="n"/>
    </row>
    <row r="4496" ht="13.8" customFormat="1" customHeight="1" s="70">
      <c r="M4496" s="27" t="n"/>
      <c r="N4496" s="27" t="n"/>
      <c r="O4496" s="27" t="n"/>
      <c r="P4496" s="27" t="n"/>
      <c r="Q4496" s="27" t="n"/>
      <c r="R4496" s="27" t="n"/>
      <c r="S4496" s="27" t="n"/>
      <c r="T4496" s="27" t="n"/>
    </row>
    <row r="4497" ht="13.8" customFormat="1" customHeight="1" s="70">
      <c r="M4497" s="27" t="n"/>
      <c r="N4497" s="27" t="n"/>
      <c r="O4497" s="27" t="n"/>
      <c r="P4497" s="27" t="n"/>
      <c r="Q4497" s="27" t="n"/>
      <c r="R4497" s="27" t="n"/>
      <c r="S4497" s="27" t="n"/>
      <c r="T4497" s="27" t="n"/>
    </row>
    <row r="4498" ht="13.8" customFormat="1" customHeight="1" s="70">
      <c r="M4498" s="27" t="n"/>
      <c r="N4498" s="27" t="n"/>
      <c r="O4498" s="27" t="n"/>
      <c r="P4498" s="27" t="n"/>
      <c r="Q4498" s="27" t="n"/>
      <c r="R4498" s="27" t="n"/>
      <c r="S4498" s="27" t="n"/>
      <c r="T4498" s="27" t="n"/>
    </row>
    <row r="4499" ht="13.8" customFormat="1" customHeight="1" s="70">
      <c r="M4499" s="27" t="n"/>
      <c r="N4499" s="27" t="n"/>
      <c r="O4499" s="27" t="n"/>
      <c r="P4499" s="27" t="n"/>
      <c r="Q4499" s="27" t="n"/>
      <c r="R4499" s="27" t="n"/>
      <c r="S4499" s="27" t="n"/>
      <c r="T4499" s="27" t="n"/>
    </row>
    <row r="4500" ht="13.8" customFormat="1" customHeight="1" s="70">
      <c r="M4500" s="27" t="n"/>
      <c r="N4500" s="27" t="n"/>
      <c r="O4500" s="27" t="n"/>
      <c r="P4500" s="27" t="n"/>
      <c r="Q4500" s="27" t="n"/>
      <c r="R4500" s="27" t="n"/>
      <c r="S4500" s="27" t="n"/>
      <c r="T4500" s="27" t="n"/>
    </row>
    <row r="4501" ht="13.8" customFormat="1" customHeight="1" s="70">
      <c r="M4501" s="27" t="n"/>
      <c r="N4501" s="27" t="n"/>
      <c r="O4501" s="27" t="n"/>
      <c r="P4501" s="27" t="n"/>
      <c r="Q4501" s="27" t="n"/>
      <c r="R4501" s="27" t="n"/>
      <c r="S4501" s="27" t="n"/>
      <c r="T4501" s="27" t="n"/>
    </row>
    <row r="4502" ht="13.8" customFormat="1" customHeight="1" s="70">
      <c r="M4502" s="27" t="n"/>
      <c r="N4502" s="27" t="n"/>
      <c r="O4502" s="27" t="n"/>
      <c r="P4502" s="27" t="n"/>
      <c r="Q4502" s="27" t="n"/>
      <c r="R4502" s="27" t="n"/>
      <c r="S4502" s="27" t="n"/>
      <c r="T4502" s="27" t="n"/>
    </row>
    <row r="4503" ht="13.8" customFormat="1" customHeight="1" s="70">
      <c r="M4503" s="27" t="n"/>
      <c r="N4503" s="27" t="n"/>
      <c r="O4503" s="27" t="n"/>
      <c r="P4503" s="27" t="n"/>
      <c r="Q4503" s="27" t="n"/>
      <c r="R4503" s="27" t="n"/>
      <c r="S4503" s="27" t="n"/>
      <c r="T4503" s="27" t="n"/>
    </row>
    <row r="4504" ht="13.8" customFormat="1" customHeight="1" s="70">
      <c r="M4504" s="27" t="n"/>
      <c r="N4504" s="27" t="n"/>
      <c r="O4504" s="27" t="n"/>
      <c r="P4504" s="27" t="n"/>
      <c r="Q4504" s="27" t="n"/>
      <c r="R4504" s="27" t="n"/>
      <c r="S4504" s="27" t="n"/>
      <c r="T4504" s="27" t="n"/>
    </row>
    <row r="4505" ht="13.8" customFormat="1" customHeight="1" s="70">
      <c r="M4505" s="27" t="n"/>
      <c r="N4505" s="27" t="n"/>
      <c r="O4505" s="27" t="n"/>
      <c r="P4505" s="27" t="n"/>
      <c r="Q4505" s="27" t="n"/>
      <c r="R4505" s="27" t="n"/>
      <c r="S4505" s="27" t="n"/>
      <c r="T4505" s="27" t="n"/>
    </row>
    <row r="4506" ht="13.8" customFormat="1" customHeight="1" s="70">
      <c r="M4506" s="27" t="n"/>
      <c r="N4506" s="27" t="n"/>
      <c r="O4506" s="27" t="n"/>
      <c r="P4506" s="27" t="n"/>
      <c r="Q4506" s="27" t="n"/>
      <c r="R4506" s="27" t="n"/>
      <c r="S4506" s="27" t="n"/>
      <c r="T4506" s="27" t="n"/>
    </row>
    <row r="4507" ht="13.8" customFormat="1" customHeight="1" s="70">
      <c r="M4507" s="27" t="n"/>
      <c r="N4507" s="27" t="n"/>
      <c r="O4507" s="27" t="n"/>
      <c r="P4507" s="27" t="n"/>
      <c r="Q4507" s="27" t="n"/>
      <c r="R4507" s="27" t="n"/>
      <c r="S4507" s="27" t="n"/>
      <c r="T4507" s="27" t="n"/>
    </row>
    <row r="4508" ht="13.8" customFormat="1" customHeight="1" s="70">
      <c r="M4508" s="27" t="n"/>
      <c r="N4508" s="27" t="n"/>
      <c r="O4508" s="27" t="n"/>
      <c r="P4508" s="27" t="n"/>
      <c r="Q4508" s="27" t="n"/>
      <c r="R4508" s="27" t="n"/>
      <c r="S4508" s="27" t="n"/>
      <c r="T4508" s="27" t="n"/>
    </row>
    <row r="4509" ht="13.8" customFormat="1" customHeight="1" s="70">
      <c r="M4509" s="27" t="n"/>
      <c r="N4509" s="27" t="n"/>
      <c r="O4509" s="27" t="n"/>
      <c r="P4509" s="27" t="n"/>
      <c r="Q4509" s="27" t="n"/>
      <c r="R4509" s="27" t="n"/>
      <c r="S4509" s="27" t="n"/>
      <c r="T4509" s="27" t="n"/>
    </row>
    <row r="4510" ht="13.8" customFormat="1" customHeight="1" s="70">
      <c r="M4510" s="27" t="n"/>
      <c r="N4510" s="27" t="n"/>
      <c r="O4510" s="27" t="n"/>
      <c r="P4510" s="27" t="n"/>
      <c r="Q4510" s="27" t="n"/>
      <c r="R4510" s="27" t="n"/>
      <c r="S4510" s="27" t="n"/>
      <c r="T4510" s="27" t="n"/>
    </row>
    <row r="4511" ht="13.8" customFormat="1" customHeight="1" s="70">
      <c r="M4511" s="27" t="n"/>
      <c r="N4511" s="27" t="n"/>
      <c r="O4511" s="27" t="n"/>
      <c r="P4511" s="27" t="n"/>
      <c r="Q4511" s="27" t="n"/>
      <c r="R4511" s="27" t="n"/>
      <c r="S4511" s="27" t="n"/>
      <c r="T4511" s="27" t="n"/>
    </row>
    <row r="4512" ht="13.8" customFormat="1" customHeight="1" s="70">
      <c r="M4512" s="27" t="n"/>
      <c r="N4512" s="27" t="n"/>
      <c r="O4512" s="27" t="n"/>
      <c r="P4512" s="27" t="n"/>
      <c r="Q4512" s="27" t="n"/>
      <c r="R4512" s="27" t="n"/>
      <c r="S4512" s="27" t="n"/>
      <c r="T4512" s="27" t="n"/>
    </row>
    <row r="4513" ht="13.8" customFormat="1" customHeight="1" s="70">
      <c r="M4513" s="27" t="n"/>
      <c r="N4513" s="27" t="n"/>
      <c r="O4513" s="27" t="n"/>
      <c r="P4513" s="27" t="n"/>
      <c r="Q4513" s="27" t="n"/>
      <c r="R4513" s="27" t="n"/>
      <c r="S4513" s="27" t="n"/>
      <c r="T4513" s="27" t="n"/>
    </row>
    <row r="4514" ht="13.8" customFormat="1" customHeight="1" s="70">
      <c r="M4514" s="27" t="n"/>
      <c r="N4514" s="27" t="n"/>
      <c r="O4514" s="27" t="n"/>
      <c r="P4514" s="27" t="n"/>
      <c r="Q4514" s="27" t="n"/>
      <c r="R4514" s="27" t="n"/>
      <c r="S4514" s="27" t="n"/>
      <c r="T4514" s="27" t="n"/>
    </row>
    <row r="4515" ht="13.8" customFormat="1" customHeight="1" s="70">
      <c r="M4515" s="27" t="n"/>
      <c r="N4515" s="27" t="n"/>
      <c r="O4515" s="27" t="n"/>
      <c r="P4515" s="27" t="n"/>
      <c r="Q4515" s="27" t="n"/>
      <c r="R4515" s="27" t="n"/>
      <c r="S4515" s="27" t="n"/>
      <c r="T4515" s="27" t="n"/>
    </row>
    <row r="4516" ht="13.8" customFormat="1" customHeight="1" s="70">
      <c r="M4516" s="27" t="n"/>
      <c r="N4516" s="27" t="n"/>
      <c r="O4516" s="27" t="n"/>
      <c r="P4516" s="27" t="n"/>
      <c r="Q4516" s="27" t="n"/>
      <c r="R4516" s="27" t="n"/>
      <c r="S4516" s="27" t="n"/>
      <c r="T4516" s="27" t="n"/>
    </row>
    <row r="4517" ht="13.8" customFormat="1" customHeight="1" s="70">
      <c r="M4517" s="27" t="n"/>
      <c r="N4517" s="27" t="n"/>
      <c r="O4517" s="27" t="n"/>
      <c r="P4517" s="27" t="n"/>
      <c r="Q4517" s="27" t="n"/>
      <c r="R4517" s="27" t="n"/>
      <c r="S4517" s="27" t="n"/>
      <c r="T4517" s="27" t="n"/>
    </row>
    <row r="4518" ht="13.8" customFormat="1" customHeight="1" s="70">
      <c r="M4518" s="27" t="n"/>
      <c r="N4518" s="27" t="n"/>
      <c r="O4518" s="27" t="n"/>
      <c r="P4518" s="27" t="n"/>
      <c r="Q4518" s="27" t="n"/>
      <c r="R4518" s="27" t="n"/>
      <c r="S4518" s="27" t="n"/>
      <c r="T4518" s="27" t="n"/>
    </row>
    <row r="4519" ht="13.8" customFormat="1" customHeight="1" s="70">
      <c r="M4519" s="27" t="n"/>
      <c r="N4519" s="27" t="n"/>
      <c r="O4519" s="27" t="n"/>
      <c r="P4519" s="27" t="n"/>
      <c r="Q4519" s="27" t="n"/>
      <c r="R4519" s="27" t="n"/>
      <c r="S4519" s="27" t="n"/>
      <c r="T4519" s="27" t="n"/>
    </row>
    <row r="4520" ht="13.8" customFormat="1" customHeight="1" s="70">
      <c r="M4520" s="27" t="n"/>
      <c r="N4520" s="27" t="n"/>
      <c r="O4520" s="27" t="n"/>
      <c r="P4520" s="27" t="n"/>
      <c r="Q4520" s="27" t="n"/>
      <c r="R4520" s="27" t="n"/>
      <c r="S4520" s="27" t="n"/>
      <c r="T4520" s="27" t="n"/>
    </row>
    <row r="4521" ht="13.8" customFormat="1" customHeight="1" s="70">
      <c r="M4521" s="27" t="n"/>
      <c r="N4521" s="27" t="n"/>
      <c r="O4521" s="27" t="n"/>
      <c r="P4521" s="27" t="n"/>
      <c r="Q4521" s="27" t="n"/>
      <c r="R4521" s="27" t="n"/>
      <c r="S4521" s="27" t="n"/>
      <c r="T4521" s="27" t="n"/>
    </row>
    <row r="4522" ht="13.8" customFormat="1" customHeight="1" s="70">
      <c r="M4522" s="27" t="n"/>
      <c r="N4522" s="27" t="n"/>
      <c r="O4522" s="27" t="n"/>
      <c r="P4522" s="27" t="n"/>
      <c r="Q4522" s="27" t="n"/>
      <c r="R4522" s="27" t="n"/>
      <c r="S4522" s="27" t="n"/>
      <c r="T4522" s="27" t="n"/>
    </row>
    <row r="4523" ht="13.8" customFormat="1" customHeight="1" s="70">
      <c r="M4523" s="27" t="n"/>
      <c r="N4523" s="27" t="n"/>
      <c r="O4523" s="27" t="n"/>
      <c r="P4523" s="27" t="n"/>
      <c r="Q4523" s="27" t="n"/>
      <c r="R4523" s="27" t="n"/>
      <c r="S4523" s="27" t="n"/>
      <c r="T4523" s="27" t="n"/>
    </row>
    <row r="4524" ht="13.8" customFormat="1" customHeight="1" s="70">
      <c r="M4524" s="27" t="n"/>
      <c r="N4524" s="27" t="n"/>
      <c r="O4524" s="27" t="n"/>
      <c r="P4524" s="27" t="n"/>
      <c r="Q4524" s="27" t="n"/>
      <c r="R4524" s="27" t="n"/>
      <c r="S4524" s="27" t="n"/>
      <c r="T4524" s="27" t="n"/>
    </row>
    <row r="4525" ht="13.8" customFormat="1" customHeight="1" s="70">
      <c r="M4525" s="27" t="n"/>
      <c r="N4525" s="27" t="n"/>
      <c r="O4525" s="27" t="n"/>
      <c r="P4525" s="27" t="n"/>
      <c r="Q4525" s="27" t="n"/>
      <c r="R4525" s="27" t="n"/>
      <c r="S4525" s="27" t="n"/>
      <c r="T4525" s="27" t="n"/>
    </row>
    <row r="4526" ht="13.8" customFormat="1" customHeight="1" s="70">
      <c r="M4526" s="27" t="n"/>
      <c r="N4526" s="27" t="n"/>
      <c r="O4526" s="27" t="n"/>
      <c r="P4526" s="27" t="n"/>
      <c r="Q4526" s="27" t="n"/>
      <c r="R4526" s="27" t="n"/>
      <c r="S4526" s="27" t="n"/>
      <c r="T4526" s="27" t="n"/>
    </row>
    <row r="4527" ht="13.8" customFormat="1" customHeight="1" s="70">
      <c r="M4527" s="27" t="n"/>
      <c r="N4527" s="27" t="n"/>
      <c r="O4527" s="27" t="n"/>
      <c r="P4527" s="27" t="n"/>
      <c r="Q4527" s="27" t="n"/>
      <c r="R4527" s="27" t="n"/>
      <c r="S4527" s="27" t="n"/>
      <c r="T4527" s="27" t="n"/>
    </row>
    <row r="4528" ht="13.8" customFormat="1" customHeight="1" s="70">
      <c r="M4528" s="27" t="n"/>
      <c r="N4528" s="27" t="n"/>
      <c r="O4528" s="27" t="n"/>
      <c r="P4528" s="27" t="n"/>
      <c r="Q4528" s="27" t="n"/>
      <c r="R4528" s="27" t="n"/>
      <c r="S4528" s="27" t="n"/>
      <c r="T4528" s="27" t="n"/>
    </row>
    <row r="4529" ht="13.8" customFormat="1" customHeight="1" s="70">
      <c r="M4529" s="27" t="n"/>
      <c r="N4529" s="27" t="n"/>
      <c r="O4529" s="27" t="n"/>
      <c r="P4529" s="27" t="n"/>
      <c r="Q4529" s="27" t="n"/>
      <c r="R4529" s="27" t="n"/>
      <c r="S4529" s="27" t="n"/>
      <c r="T4529" s="27" t="n"/>
    </row>
    <row r="4530" ht="13.8" customFormat="1" customHeight="1" s="70">
      <c r="M4530" s="27" t="n"/>
      <c r="N4530" s="27" t="n"/>
      <c r="O4530" s="27" t="n"/>
      <c r="P4530" s="27" t="n"/>
      <c r="Q4530" s="27" t="n"/>
      <c r="R4530" s="27" t="n"/>
      <c r="S4530" s="27" t="n"/>
      <c r="T4530" s="27" t="n"/>
    </row>
    <row r="4531" ht="13.8" customFormat="1" customHeight="1" s="70">
      <c r="M4531" s="27" t="n"/>
      <c r="N4531" s="27" t="n"/>
      <c r="O4531" s="27" t="n"/>
      <c r="P4531" s="27" t="n"/>
      <c r="Q4531" s="27" t="n"/>
      <c r="R4531" s="27" t="n"/>
      <c r="S4531" s="27" t="n"/>
      <c r="T4531" s="27" t="n"/>
    </row>
    <row r="4532" ht="13.8" customFormat="1" customHeight="1" s="70">
      <c r="M4532" s="27" t="n"/>
      <c r="N4532" s="27" t="n"/>
      <c r="O4532" s="27" t="n"/>
      <c r="P4532" s="27" t="n"/>
      <c r="Q4532" s="27" t="n"/>
      <c r="R4532" s="27" t="n"/>
      <c r="S4532" s="27" t="n"/>
      <c r="T4532" s="27" t="n"/>
    </row>
    <row r="4533" ht="13.8" customFormat="1" customHeight="1" s="70">
      <c r="M4533" s="27" t="n"/>
      <c r="N4533" s="27" t="n"/>
      <c r="O4533" s="27" t="n"/>
      <c r="P4533" s="27" t="n"/>
      <c r="Q4533" s="27" t="n"/>
      <c r="R4533" s="27" t="n"/>
      <c r="S4533" s="27" t="n"/>
      <c r="T4533" s="27" t="n"/>
    </row>
    <row r="4534" ht="13.8" customFormat="1" customHeight="1" s="70">
      <c r="M4534" s="27" t="n"/>
      <c r="N4534" s="27" t="n"/>
      <c r="O4534" s="27" t="n"/>
      <c r="P4534" s="27" t="n"/>
      <c r="Q4534" s="27" t="n"/>
      <c r="R4534" s="27" t="n"/>
      <c r="S4534" s="27" t="n"/>
      <c r="T4534" s="27" t="n"/>
    </row>
    <row r="4535" ht="13.8" customFormat="1" customHeight="1" s="70">
      <c r="M4535" s="27" t="n"/>
      <c r="N4535" s="27" t="n"/>
      <c r="O4535" s="27" t="n"/>
      <c r="P4535" s="27" t="n"/>
      <c r="Q4535" s="27" t="n"/>
      <c r="R4535" s="27" t="n"/>
      <c r="S4535" s="27" t="n"/>
      <c r="T4535" s="27" t="n"/>
    </row>
    <row r="4536" ht="13.8" customFormat="1" customHeight="1" s="70">
      <c r="M4536" s="27" t="n"/>
      <c r="N4536" s="27" t="n"/>
      <c r="O4536" s="27" t="n"/>
      <c r="P4536" s="27" t="n"/>
      <c r="Q4536" s="27" t="n"/>
      <c r="R4536" s="27" t="n"/>
      <c r="S4536" s="27" t="n"/>
      <c r="T4536" s="27" t="n"/>
    </row>
    <row r="4537" ht="13.8" customFormat="1" customHeight="1" s="70">
      <c r="M4537" s="27" t="n"/>
      <c r="N4537" s="27" t="n"/>
      <c r="O4537" s="27" t="n"/>
      <c r="P4537" s="27" t="n"/>
      <c r="Q4537" s="27" t="n"/>
      <c r="R4537" s="27" t="n"/>
      <c r="S4537" s="27" t="n"/>
      <c r="T4537" s="27" t="n"/>
    </row>
    <row r="4538" ht="13.8" customFormat="1" customHeight="1" s="70">
      <c r="M4538" s="27" t="n"/>
      <c r="N4538" s="27" t="n"/>
      <c r="O4538" s="27" t="n"/>
      <c r="P4538" s="27" t="n"/>
      <c r="Q4538" s="27" t="n"/>
      <c r="R4538" s="27" t="n"/>
      <c r="S4538" s="27" t="n"/>
      <c r="T4538" s="27" t="n"/>
    </row>
    <row r="4539" ht="13.8" customFormat="1" customHeight="1" s="70">
      <c r="M4539" s="27" t="n"/>
      <c r="N4539" s="27" t="n"/>
      <c r="O4539" s="27" t="n"/>
      <c r="P4539" s="27" t="n"/>
      <c r="Q4539" s="27" t="n"/>
      <c r="R4539" s="27" t="n"/>
      <c r="S4539" s="27" t="n"/>
      <c r="T4539" s="27" t="n"/>
    </row>
    <row r="4540" ht="13.8" customFormat="1" customHeight="1" s="70">
      <c r="M4540" s="27" t="n"/>
      <c r="N4540" s="27" t="n"/>
      <c r="O4540" s="27" t="n"/>
      <c r="P4540" s="27" t="n"/>
      <c r="Q4540" s="27" t="n"/>
      <c r="R4540" s="27" t="n"/>
      <c r="S4540" s="27" t="n"/>
      <c r="T4540" s="27" t="n"/>
    </row>
    <row r="4541" ht="13.8" customFormat="1" customHeight="1" s="70">
      <c r="M4541" s="27" t="n"/>
      <c r="N4541" s="27" t="n"/>
      <c r="O4541" s="27" t="n"/>
      <c r="P4541" s="27" t="n"/>
      <c r="Q4541" s="27" t="n"/>
      <c r="R4541" s="27" t="n"/>
      <c r="S4541" s="27" t="n"/>
      <c r="T4541" s="27" t="n"/>
    </row>
    <row r="4542" ht="13.8" customFormat="1" customHeight="1" s="70">
      <c r="M4542" s="27" t="n"/>
      <c r="N4542" s="27" t="n"/>
      <c r="O4542" s="27" t="n"/>
      <c r="P4542" s="27" t="n"/>
      <c r="Q4542" s="27" t="n"/>
      <c r="R4542" s="27" t="n"/>
      <c r="S4542" s="27" t="n"/>
      <c r="T4542" s="27" t="n"/>
    </row>
    <row r="4543" ht="13.8" customFormat="1" customHeight="1" s="70">
      <c r="M4543" s="27" t="n"/>
      <c r="N4543" s="27" t="n"/>
      <c r="O4543" s="27" t="n"/>
      <c r="P4543" s="27" t="n"/>
      <c r="Q4543" s="27" t="n"/>
      <c r="R4543" s="27" t="n"/>
      <c r="S4543" s="27" t="n"/>
      <c r="T4543" s="27" t="n"/>
    </row>
    <row r="4544" ht="13.8" customFormat="1" customHeight="1" s="70">
      <c r="M4544" s="27" t="n"/>
      <c r="N4544" s="27" t="n"/>
      <c r="O4544" s="27" t="n"/>
      <c r="P4544" s="27" t="n"/>
      <c r="Q4544" s="27" t="n"/>
      <c r="R4544" s="27" t="n"/>
      <c r="S4544" s="27" t="n"/>
      <c r="T4544" s="27" t="n"/>
    </row>
    <row r="4545" ht="13.8" customFormat="1" customHeight="1" s="70">
      <c r="M4545" s="27" t="n"/>
      <c r="N4545" s="27" t="n"/>
      <c r="O4545" s="27" t="n"/>
      <c r="P4545" s="27" t="n"/>
      <c r="Q4545" s="27" t="n"/>
      <c r="R4545" s="27" t="n"/>
      <c r="S4545" s="27" t="n"/>
      <c r="T4545" s="27" t="n"/>
    </row>
    <row r="4546" ht="13.8" customFormat="1" customHeight="1" s="70">
      <c r="M4546" s="27" t="n"/>
      <c r="N4546" s="27" t="n"/>
      <c r="O4546" s="27" t="n"/>
      <c r="P4546" s="27" t="n"/>
      <c r="Q4546" s="27" t="n"/>
      <c r="R4546" s="27" t="n"/>
      <c r="S4546" s="27" t="n"/>
      <c r="T4546" s="27" t="n"/>
    </row>
    <row r="4547" ht="13.8" customFormat="1" customHeight="1" s="70">
      <c r="M4547" s="27" t="n"/>
      <c r="N4547" s="27" t="n"/>
      <c r="O4547" s="27" t="n"/>
      <c r="P4547" s="27" t="n"/>
      <c r="Q4547" s="27" t="n"/>
      <c r="R4547" s="27" t="n"/>
      <c r="S4547" s="27" t="n"/>
      <c r="T4547" s="27" t="n"/>
    </row>
    <row r="4548" ht="13.8" customFormat="1" customHeight="1" s="70">
      <c r="M4548" s="27" t="n"/>
      <c r="N4548" s="27" t="n"/>
      <c r="O4548" s="27" t="n"/>
      <c r="P4548" s="27" t="n"/>
      <c r="Q4548" s="27" t="n"/>
      <c r="R4548" s="27" t="n"/>
      <c r="S4548" s="27" t="n"/>
      <c r="T4548" s="27" t="n"/>
    </row>
    <row r="4549" ht="13.8" customFormat="1" customHeight="1" s="70">
      <c r="M4549" s="27" t="n"/>
      <c r="N4549" s="27" t="n"/>
      <c r="O4549" s="27" t="n"/>
      <c r="P4549" s="27" t="n"/>
      <c r="Q4549" s="27" t="n"/>
      <c r="R4549" s="27" t="n"/>
      <c r="S4549" s="27" t="n"/>
      <c r="T4549" s="27" t="n"/>
    </row>
    <row r="4550" ht="13.8" customFormat="1" customHeight="1" s="70">
      <c r="M4550" s="27" t="n"/>
      <c r="N4550" s="27" t="n"/>
      <c r="O4550" s="27" t="n"/>
      <c r="P4550" s="27" t="n"/>
      <c r="Q4550" s="27" t="n"/>
      <c r="R4550" s="27" t="n"/>
      <c r="S4550" s="27" t="n"/>
      <c r="T4550" s="27" t="n"/>
    </row>
    <row r="4551" ht="13.8" customFormat="1" customHeight="1" s="70">
      <c r="M4551" s="27" t="n"/>
      <c r="N4551" s="27" t="n"/>
      <c r="O4551" s="27" t="n"/>
      <c r="P4551" s="27" t="n"/>
      <c r="Q4551" s="27" t="n"/>
      <c r="R4551" s="27" t="n"/>
      <c r="S4551" s="27" t="n"/>
      <c r="T4551" s="27" t="n"/>
    </row>
    <row r="4552" ht="13.8" customFormat="1" customHeight="1" s="70">
      <c r="M4552" s="27" t="n"/>
      <c r="N4552" s="27" t="n"/>
      <c r="O4552" s="27" t="n"/>
      <c r="P4552" s="27" t="n"/>
      <c r="Q4552" s="27" t="n"/>
      <c r="R4552" s="27" t="n"/>
      <c r="S4552" s="27" t="n"/>
      <c r="T4552" s="27" t="n"/>
    </row>
    <row r="4553" ht="13.8" customFormat="1" customHeight="1" s="70">
      <c r="M4553" s="27" t="n"/>
      <c r="N4553" s="27" t="n"/>
      <c r="O4553" s="27" t="n"/>
      <c r="P4553" s="27" t="n"/>
      <c r="Q4553" s="27" t="n"/>
      <c r="R4553" s="27" t="n"/>
      <c r="S4553" s="27" t="n"/>
      <c r="T4553" s="27" t="n"/>
    </row>
    <row r="4554" ht="13.8" customFormat="1" customHeight="1" s="70">
      <c r="M4554" s="27" t="n"/>
      <c r="N4554" s="27" t="n"/>
      <c r="O4554" s="27" t="n"/>
      <c r="P4554" s="27" t="n"/>
      <c r="Q4554" s="27" t="n"/>
      <c r="R4554" s="27" t="n"/>
      <c r="S4554" s="27" t="n"/>
      <c r="T4554" s="27" t="n"/>
    </row>
    <row r="4555" ht="13.8" customFormat="1" customHeight="1" s="70">
      <c r="M4555" s="27" t="n"/>
      <c r="N4555" s="27" t="n"/>
      <c r="O4555" s="27" t="n"/>
      <c r="P4555" s="27" t="n"/>
      <c r="Q4555" s="27" t="n"/>
      <c r="R4555" s="27" t="n"/>
      <c r="S4555" s="27" t="n"/>
      <c r="T4555" s="27" t="n"/>
    </row>
    <row r="4556" ht="13.8" customFormat="1" customHeight="1" s="70">
      <c r="M4556" s="27" t="n"/>
      <c r="N4556" s="27" t="n"/>
      <c r="O4556" s="27" t="n"/>
      <c r="P4556" s="27" t="n"/>
      <c r="Q4556" s="27" t="n"/>
      <c r="R4556" s="27" t="n"/>
      <c r="S4556" s="27" t="n"/>
      <c r="T4556" s="27" t="n"/>
    </row>
    <row r="4557" ht="13.8" customFormat="1" customHeight="1" s="70">
      <c r="M4557" s="27" t="n"/>
      <c r="N4557" s="27" t="n"/>
      <c r="O4557" s="27" t="n"/>
      <c r="P4557" s="27" t="n"/>
      <c r="Q4557" s="27" t="n"/>
      <c r="R4557" s="27" t="n"/>
      <c r="S4557" s="27" t="n"/>
      <c r="T4557" s="27" t="n"/>
    </row>
    <row r="4558" ht="13.8" customFormat="1" customHeight="1" s="70">
      <c r="M4558" s="27" t="n"/>
      <c r="N4558" s="27" t="n"/>
      <c r="O4558" s="27" t="n"/>
      <c r="P4558" s="27" t="n"/>
      <c r="Q4558" s="27" t="n"/>
      <c r="R4558" s="27" t="n"/>
      <c r="S4558" s="27" t="n"/>
      <c r="T4558" s="27" t="n"/>
    </row>
    <row r="4559" ht="13.8" customFormat="1" customHeight="1" s="70">
      <c r="M4559" s="27" t="n"/>
      <c r="N4559" s="27" t="n"/>
      <c r="O4559" s="27" t="n"/>
      <c r="P4559" s="27" t="n"/>
      <c r="Q4559" s="27" t="n"/>
      <c r="R4559" s="27" t="n"/>
      <c r="S4559" s="27" t="n"/>
      <c r="T4559" s="27" t="n"/>
    </row>
    <row r="4560" ht="13.8" customFormat="1" customHeight="1" s="70">
      <c r="M4560" s="27" t="n"/>
      <c r="N4560" s="27" t="n"/>
      <c r="O4560" s="27" t="n"/>
      <c r="P4560" s="27" t="n"/>
      <c r="Q4560" s="27" t="n"/>
      <c r="R4560" s="27" t="n"/>
      <c r="S4560" s="27" t="n"/>
      <c r="T4560" s="27" t="n"/>
    </row>
    <row r="4561" ht="13.8" customFormat="1" customHeight="1" s="70">
      <c r="M4561" s="27" t="n"/>
      <c r="N4561" s="27" t="n"/>
      <c r="O4561" s="27" t="n"/>
      <c r="P4561" s="27" t="n"/>
      <c r="Q4561" s="27" t="n"/>
      <c r="R4561" s="27" t="n"/>
      <c r="S4561" s="27" t="n"/>
      <c r="T4561" s="27" t="n"/>
    </row>
    <row r="4562" ht="13.8" customFormat="1" customHeight="1" s="70">
      <c r="M4562" s="27" t="n"/>
      <c r="N4562" s="27" t="n"/>
      <c r="O4562" s="27" t="n"/>
      <c r="P4562" s="27" t="n"/>
      <c r="Q4562" s="27" t="n"/>
      <c r="R4562" s="27" t="n"/>
      <c r="S4562" s="27" t="n"/>
      <c r="T4562" s="27" t="n"/>
    </row>
    <row r="4563" ht="13.8" customFormat="1" customHeight="1" s="70">
      <c r="M4563" s="27" t="n"/>
      <c r="N4563" s="27" t="n"/>
      <c r="O4563" s="27" t="n"/>
      <c r="P4563" s="27" t="n"/>
      <c r="Q4563" s="27" t="n"/>
      <c r="R4563" s="27" t="n"/>
      <c r="S4563" s="27" t="n"/>
      <c r="T4563" s="27" t="n"/>
    </row>
    <row r="4564" ht="13.8" customFormat="1" customHeight="1" s="70">
      <c r="M4564" s="27" t="n"/>
      <c r="N4564" s="27" t="n"/>
      <c r="O4564" s="27" t="n"/>
      <c r="P4564" s="27" t="n"/>
      <c r="Q4564" s="27" t="n"/>
      <c r="R4564" s="27" t="n"/>
      <c r="S4564" s="27" t="n"/>
      <c r="T4564" s="27" t="n"/>
    </row>
    <row r="4565" ht="13.8" customFormat="1" customHeight="1" s="70">
      <c r="M4565" s="27" t="n"/>
      <c r="N4565" s="27" t="n"/>
      <c r="O4565" s="27" t="n"/>
      <c r="P4565" s="27" t="n"/>
      <c r="Q4565" s="27" t="n"/>
      <c r="R4565" s="27" t="n"/>
      <c r="S4565" s="27" t="n"/>
      <c r="T4565" s="27" t="n"/>
    </row>
    <row r="4566" ht="13.8" customFormat="1" customHeight="1" s="70">
      <c r="M4566" s="27" t="n"/>
      <c r="N4566" s="27" t="n"/>
      <c r="O4566" s="27" t="n"/>
      <c r="P4566" s="27" t="n"/>
      <c r="Q4566" s="27" t="n"/>
      <c r="R4566" s="27" t="n"/>
      <c r="S4566" s="27" t="n"/>
      <c r="T4566" s="27" t="n"/>
    </row>
    <row r="4567" ht="13.8" customFormat="1" customHeight="1" s="70">
      <c r="M4567" s="27" t="n"/>
      <c r="N4567" s="27" t="n"/>
      <c r="O4567" s="27" t="n"/>
      <c r="P4567" s="27" t="n"/>
      <c r="Q4567" s="27" t="n"/>
      <c r="R4567" s="27" t="n"/>
      <c r="S4567" s="27" t="n"/>
      <c r="T4567" s="27" t="n"/>
    </row>
    <row r="4568" ht="13.8" customFormat="1" customHeight="1" s="70">
      <c r="M4568" s="27" t="n"/>
      <c r="N4568" s="27" t="n"/>
      <c r="O4568" s="27" t="n"/>
      <c r="P4568" s="27" t="n"/>
      <c r="Q4568" s="27" t="n"/>
      <c r="R4568" s="27" t="n"/>
      <c r="S4568" s="27" t="n"/>
      <c r="T4568" s="27" t="n"/>
    </row>
    <row r="4569" ht="13.8" customFormat="1" customHeight="1" s="70">
      <c r="M4569" s="27" t="n"/>
      <c r="N4569" s="27" t="n"/>
      <c r="O4569" s="27" t="n"/>
      <c r="P4569" s="27" t="n"/>
      <c r="Q4569" s="27" t="n"/>
      <c r="R4569" s="27" t="n"/>
      <c r="S4569" s="27" t="n"/>
      <c r="T4569" s="27" t="n"/>
    </row>
    <row r="4570" ht="13.8" customFormat="1" customHeight="1" s="70">
      <c r="M4570" s="27" t="n"/>
      <c r="N4570" s="27" t="n"/>
      <c r="O4570" s="27" t="n"/>
      <c r="P4570" s="27" t="n"/>
      <c r="Q4570" s="27" t="n"/>
      <c r="R4570" s="27" t="n"/>
      <c r="S4570" s="27" t="n"/>
      <c r="T4570" s="27" t="n"/>
    </row>
    <row r="4571" ht="13.8" customFormat="1" customHeight="1" s="70">
      <c r="M4571" s="27" t="n"/>
      <c r="N4571" s="27" t="n"/>
      <c r="O4571" s="27" t="n"/>
      <c r="P4571" s="27" t="n"/>
      <c r="Q4571" s="27" t="n"/>
      <c r="R4571" s="27" t="n"/>
      <c r="S4571" s="27" t="n"/>
      <c r="T4571" s="27" t="n"/>
    </row>
    <row r="4572" ht="13.8" customFormat="1" customHeight="1" s="70">
      <c r="M4572" s="27" t="n"/>
      <c r="N4572" s="27" t="n"/>
      <c r="O4572" s="27" t="n"/>
      <c r="P4572" s="27" t="n"/>
      <c r="Q4572" s="27" t="n"/>
      <c r="R4572" s="27" t="n"/>
      <c r="S4572" s="27" t="n"/>
      <c r="T4572" s="27" t="n"/>
    </row>
    <row r="4573" ht="13.8" customFormat="1" customHeight="1" s="70">
      <c r="M4573" s="27" t="n"/>
      <c r="N4573" s="27" t="n"/>
      <c r="O4573" s="27" t="n"/>
      <c r="P4573" s="27" t="n"/>
      <c r="Q4573" s="27" t="n"/>
      <c r="R4573" s="27" t="n"/>
      <c r="S4573" s="27" t="n"/>
      <c r="T4573" s="27" t="n"/>
    </row>
    <row r="4574" ht="13.8" customFormat="1" customHeight="1" s="70">
      <c r="M4574" s="27" t="n"/>
      <c r="N4574" s="27" t="n"/>
      <c r="O4574" s="27" t="n"/>
      <c r="P4574" s="27" t="n"/>
      <c r="Q4574" s="27" t="n"/>
      <c r="R4574" s="27" t="n"/>
      <c r="S4574" s="27" t="n"/>
      <c r="T4574" s="27" t="n"/>
    </row>
    <row r="4575" ht="13.8" customFormat="1" customHeight="1" s="70">
      <c r="M4575" s="27" t="n"/>
      <c r="N4575" s="27" t="n"/>
      <c r="O4575" s="27" t="n"/>
      <c r="P4575" s="27" t="n"/>
      <c r="Q4575" s="27" t="n"/>
      <c r="R4575" s="27" t="n"/>
      <c r="S4575" s="27" t="n"/>
      <c r="T4575" s="27" t="n"/>
    </row>
    <row r="4576" ht="13.8" customFormat="1" customHeight="1" s="70">
      <c r="M4576" s="27" t="n"/>
      <c r="N4576" s="27" t="n"/>
      <c r="O4576" s="27" t="n"/>
      <c r="P4576" s="27" t="n"/>
      <c r="Q4576" s="27" t="n"/>
      <c r="R4576" s="27" t="n"/>
      <c r="S4576" s="27" t="n"/>
      <c r="T4576" s="27" t="n"/>
    </row>
    <row r="4577" ht="13.8" customFormat="1" customHeight="1" s="70">
      <c r="M4577" s="27" t="n"/>
      <c r="N4577" s="27" t="n"/>
      <c r="O4577" s="27" t="n"/>
      <c r="P4577" s="27" t="n"/>
      <c r="Q4577" s="27" t="n"/>
      <c r="R4577" s="27" t="n"/>
      <c r="S4577" s="27" t="n"/>
      <c r="T4577" s="27" t="n"/>
    </row>
    <row r="4578" ht="13.8" customFormat="1" customHeight="1" s="70">
      <c r="M4578" s="27" t="n"/>
      <c r="N4578" s="27" t="n"/>
      <c r="O4578" s="27" t="n"/>
      <c r="P4578" s="27" t="n"/>
      <c r="Q4578" s="27" t="n"/>
      <c r="R4578" s="27" t="n"/>
      <c r="S4578" s="27" t="n"/>
      <c r="T4578" s="27" t="n"/>
    </row>
    <row r="4579" ht="13.8" customFormat="1" customHeight="1" s="70">
      <c r="M4579" s="27" t="n"/>
      <c r="N4579" s="27" t="n"/>
      <c r="O4579" s="27" t="n"/>
      <c r="P4579" s="27" t="n"/>
      <c r="Q4579" s="27" t="n"/>
      <c r="R4579" s="27" t="n"/>
      <c r="S4579" s="27" t="n"/>
      <c r="T4579" s="27" t="n"/>
    </row>
    <row r="4580" ht="13.8" customFormat="1" customHeight="1" s="70">
      <c r="M4580" s="27" t="n"/>
      <c r="N4580" s="27" t="n"/>
      <c r="O4580" s="27" t="n"/>
      <c r="P4580" s="27" t="n"/>
      <c r="Q4580" s="27" t="n"/>
      <c r="R4580" s="27" t="n"/>
      <c r="S4580" s="27" t="n"/>
      <c r="T4580" s="27" t="n"/>
    </row>
    <row r="4581" ht="13.8" customFormat="1" customHeight="1" s="70">
      <c r="M4581" s="27" t="n"/>
      <c r="N4581" s="27" t="n"/>
      <c r="O4581" s="27" t="n"/>
      <c r="P4581" s="27" t="n"/>
      <c r="Q4581" s="27" t="n"/>
      <c r="R4581" s="27" t="n"/>
      <c r="S4581" s="27" t="n"/>
      <c r="T4581" s="27" t="n"/>
    </row>
    <row r="4582" ht="13.8" customFormat="1" customHeight="1" s="70">
      <c r="M4582" s="27" t="n"/>
      <c r="N4582" s="27" t="n"/>
      <c r="O4582" s="27" t="n"/>
      <c r="P4582" s="27" t="n"/>
      <c r="Q4582" s="27" t="n"/>
      <c r="R4582" s="27" t="n"/>
      <c r="S4582" s="27" t="n"/>
      <c r="T4582" s="27" t="n"/>
    </row>
    <row r="4583" ht="13.8" customFormat="1" customHeight="1" s="70">
      <c r="M4583" s="27" t="n"/>
      <c r="N4583" s="27" t="n"/>
      <c r="O4583" s="27" t="n"/>
      <c r="P4583" s="27" t="n"/>
      <c r="Q4583" s="27" t="n"/>
      <c r="R4583" s="27" t="n"/>
      <c r="S4583" s="27" t="n"/>
      <c r="T4583" s="27" t="n"/>
    </row>
    <row r="4584" ht="13.8" customFormat="1" customHeight="1" s="70">
      <c r="M4584" s="27" t="n"/>
      <c r="N4584" s="27" t="n"/>
      <c r="O4584" s="27" t="n"/>
      <c r="P4584" s="27" t="n"/>
      <c r="Q4584" s="27" t="n"/>
      <c r="R4584" s="27" t="n"/>
      <c r="S4584" s="27" t="n"/>
      <c r="T4584" s="27" t="n"/>
    </row>
    <row r="4585" ht="13.8" customFormat="1" customHeight="1" s="70">
      <c r="M4585" s="27" t="n"/>
      <c r="N4585" s="27" t="n"/>
      <c r="O4585" s="27" t="n"/>
      <c r="P4585" s="27" t="n"/>
      <c r="Q4585" s="27" t="n"/>
      <c r="R4585" s="27" t="n"/>
      <c r="S4585" s="27" t="n"/>
      <c r="T4585" s="27" t="n"/>
    </row>
    <row r="4586" ht="13.8" customFormat="1" customHeight="1" s="70">
      <c r="M4586" s="27" t="n"/>
      <c r="N4586" s="27" t="n"/>
      <c r="O4586" s="27" t="n"/>
      <c r="P4586" s="27" t="n"/>
      <c r="Q4586" s="27" t="n"/>
      <c r="R4586" s="27" t="n"/>
      <c r="S4586" s="27" t="n"/>
      <c r="T4586" s="27" t="n"/>
    </row>
    <row r="4587" ht="13.8" customFormat="1" customHeight="1" s="70">
      <c r="M4587" s="27" t="n"/>
      <c r="N4587" s="27" t="n"/>
      <c r="O4587" s="27" t="n"/>
      <c r="P4587" s="27" t="n"/>
      <c r="Q4587" s="27" t="n"/>
      <c r="R4587" s="27" t="n"/>
      <c r="S4587" s="27" t="n"/>
      <c r="T4587" s="27" t="n"/>
    </row>
    <row r="4588" ht="13.8" customFormat="1" customHeight="1" s="70">
      <c r="M4588" s="27" t="n"/>
      <c r="N4588" s="27" t="n"/>
      <c r="O4588" s="27" t="n"/>
      <c r="P4588" s="27" t="n"/>
      <c r="Q4588" s="27" t="n"/>
      <c r="R4588" s="27" t="n"/>
      <c r="S4588" s="27" t="n"/>
      <c r="T4588" s="27" t="n"/>
    </row>
    <row r="4589" ht="13.8" customFormat="1" customHeight="1" s="70">
      <c r="M4589" s="27" t="n"/>
      <c r="N4589" s="27" t="n"/>
      <c r="O4589" s="27" t="n"/>
      <c r="P4589" s="27" t="n"/>
      <c r="Q4589" s="27" t="n"/>
      <c r="R4589" s="27" t="n"/>
      <c r="S4589" s="27" t="n"/>
      <c r="T4589" s="27" t="n"/>
    </row>
    <row r="4590" ht="13.8" customFormat="1" customHeight="1" s="70">
      <c r="M4590" s="27" t="n"/>
      <c r="N4590" s="27" t="n"/>
      <c r="O4590" s="27" t="n"/>
      <c r="P4590" s="27" t="n"/>
      <c r="Q4590" s="27" t="n"/>
      <c r="R4590" s="27" t="n"/>
      <c r="S4590" s="27" t="n"/>
      <c r="T4590" s="27" t="n"/>
    </row>
    <row r="4591" ht="13.8" customFormat="1" customHeight="1" s="70">
      <c r="M4591" s="27" t="n"/>
      <c r="N4591" s="27" t="n"/>
      <c r="O4591" s="27" t="n"/>
      <c r="P4591" s="27" t="n"/>
      <c r="Q4591" s="27" t="n"/>
      <c r="R4591" s="27" t="n"/>
      <c r="S4591" s="27" t="n"/>
      <c r="T4591" s="27" t="n"/>
    </row>
    <row r="4592" ht="13.8" customFormat="1" customHeight="1" s="70">
      <c r="M4592" s="27" t="n"/>
      <c r="N4592" s="27" t="n"/>
      <c r="O4592" s="27" t="n"/>
      <c r="P4592" s="27" t="n"/>
      <c r="Q4592" s="27" t="n"/>
      <c r="R4592" s="27" t="n"/>
      <c r="S4592" s="27" t="n"/>
      <c r="T4592" s="27" t="n"/>
    </row>
    <row r="4593" ht="13.8" customFormat="1" customHeight="1" s="70">
      <c r="M4593" s="27" t="n"/>
      <c r="N4593" s="27" t="n"/>
      <c r="O4593" s="27" t="n"/>
      <c r="P4593" s="27" t="n"/>
      <c r="Q4593" s="27" t="n"/>
      <c r="R4593" s="27" t="n"/>
      <c r="S4593" s="27" t="n"/>
      <c r="T4593" s="27" t="n"/>
    </row>
    <row r="4594" ht="13.8" customFormat="1" customHeight="1" s="70">
      <c r="M4594" s="27" t="n"/>
      <c r="N4594" s="27" t="n"/>
      <c r="O4594" s="27" t="n"/>
      <c r="P4594" s="27" t="n"/>
      <c r="Q4594" s="27" t="n"/>
      <c r="R4594" s="27" t="n"/>
      <c r="S4594" s="27" t="n"/>
      <c r="T4594" s="27" t="n"/>
    </row>
    <row r="4595" ht="13.8" customFormat="1" customHeight="1" s="70">
      <c r="M4595" s="27" t="n"/>
      <c r="N4595" s="27" t="n"/>
      <c r="O4595" s="27" t="n"/>
      <c r="P4595" s="27" t="n"/>
      <c r="Q4595" s="27" t="n"/>
      <c r="R4595" s="27" t="n"/>
      <c r="S4595" s="27" t="n"/>
      <c r="T4595" s="27" t="n"/>
    </row>
    <row r="4596" ht="13.8" customFormat="1" customHeight="1" s="70">
      <c r="M4596" s="27" t="n"/>
      <c r="N4596" s="27" t="n"/>
      <c r="O4596" s="27" t="n"/>
      <c r="P4596" s="27" t="n"/>
      <c r="Q4596" s="27" t="n"/>
      <c r="R4596" s="27" t="n"/>
      <c r="S4596" s="27" t="n"/>
      <c r="T4596" s="27" t="n"/>
    </row>
    <row r="4597" ht="13.8" customFormat="1" customHeight="1" s="70">
      <c r="M4597" s="27" t="n"/>
      <c r="N4597" s="27" t="n"/>
      <c r="O4597" s="27" t="n"/>
      <c r="P4597" s="27" t="n"/>
      <c r="Q4597" s="27" t="n"/>
      <c r="R4597" s="27" t="n"/>
      <c r="S4597" s="27" t="n"/>
      <c r="T4597" s="27" t="n"/>
    </row>
    <row r="4598" ht="13.8" customFormat="1" customHeight="1" s="70">
      <c r="M4598" s="27" t="n"/>
      <c r="N4598" s="27" t="n"/>
      <c r="O4598" s="27" t="n"/>
      <c r="P4598" s="27" t="n"/>
      <c r="Q4598" s="27" t="n"/>
      <c r="R4598" s="27" t="n"/>
      <c r="S4598" s="27" t="n"/>
      <c r="T4598" s="27" t="n"/>
    </row>
    <row r="4599" ht="13.8" customFormat="1" customHeight="1" s="70">
      <c r="M4599" s="27" t="n"/>
      <c r="N4599" s="27" t="n"/>
      <c r="O4599" s="27" t="n"/>
      <c r="P4599" s="27" t="n"/>
      <c r="Q4599" s="27" t="n"/>
      <c r="R4599" s="27" t="n"/>
      <c r="S4599" s="27" t="n"/>
      <c r="T4599" s="27" t="n"/>
    </row>
    <row r="4600" ht="13.8" customFormat="1" customHeight="1" s="70">
      <c r="M4600" s="27" t="n"/>
      <c r="N4600" s="27" t="n"/>
      <c r="O4600" s="27" t="n"/>
      <c r="P4600" s="27" t="n"/>
      <c r="Q4600" s="27" t="n"/>
      <c r="R4600" s="27" t="n"/>
      <c r="S4600" s="27" t="n"/>
      <c r="T4600" s="27" t="n"/>
    </row>
    <row r="4601" ht="13.8" customFormat="1" customHeight="1" s="70">
      <c r="M4601" s="27" t="n"/>
      <c r="N4601" s="27" t="n"/>
      <c r="O4601" s="27" t="n"/>
      <c r="P4601" s="27" t="n"/>
      <c r="Q4601" s="27" t="n"/>
      <c r="R4601" s="27" t="n"/>
      <c r="S4601" s="27" t="n"/>
      <c r="T4601" s="27" t="n"/>
    </row>
    <row r="4602" ht="13.8" customFormat="1" customHeight="1" s="70">
      <c r="M4602" s="27" t="n"/>
      <c r="N4602" s="27" t="n"/>
      <c r="O4602" s="27" t="n"/>
      <c r="P4602" s="27" t="n"/>
      <c r="Q4602" s="27" t="n"/>
      <c r="R4602" s="27" t="n"/>
      <c r="S4602" s="27" t="n"/>
      <c r="T4602" s="27" t="n"/>
    </row>
    <row r="4603" ht="13.8" customFormat="1" customHeight="1" s="70">
      <c r="M4603" s="27" t="n"/>
      <c r="N4603" s="27" t="n"/>
      <c r="O4603" s="27" t="n"/>
      <c r="P4603" s="27" t="n"/>
      <c r="Q4603" s="27" t="n"/>
      <c r="R4603" s="27" t="n"/>
      <c r="S4603" s="27" t="n"/>
      <c r="T4603" s="27" t="n"/>
    </row>
    <row r="4604" ht="13.8" customFormat="1" customHeight="1" s="70">
      <c r="M4604" s="27" t="n"/>
      <c r="N4604" s="27" t="n"/>
      <c r="O4604" s="27" t="n"/>
      <c r="P4604" s="27" t="n"/>
      <c r="Q4604" s="27" t="n"/>
      <c r="R4604" s="27" t="n"/>
      <c r="S4604" s="27" t="n"/>
      <c r="T4604" s="27" t="n"/>
    </row>
    <row r="4605" ht="13.8" customFormat="1" customHeight="1" s="70">
      <c r="M4605" s="27" t="n"/>
      <c r="N4605" s="27" t="n"/>
      <c r="O4605" s="27" t="n"/>
      <c r="P4605" s="27" t="n"/>
      <c r="Q4605" s="27" t="n"/>
      <c r="R4605" s="27" t="n"/>
      <c r="S4605" s="27" t="n"/>
      <c r="T4605" s="27" t="n"/>
    </row>
    <row r="4606" ht="13.8" customFormat="1" customHeight="1" s="70">
      <c r="M4606" s="27" t="n"/>
      <c r="N4606" s="27" t="n"/>
      <c r="O4606" s="27" t="n"/>
      <c r="P4606" s="27" t="n"/>
      <c r="Q4606" s="27" t="n"/>
      <c r="R4606" s="27" t="n"/>
      <c r="S4606" s="27" t="n"/>
      <c r="T4606" s="27" t="n"/>
    </row>
    <row r="4607" ht="13.8" customFormat="1" customHeight="1" s="70">
      <c r="M4607" s="27" t="n"/>
      <c r="N4607" s="27" t="n"/>
      <c r="O4607" s="27" t="n"/>
      <c r="P4607" s="27" t="n"/>
      <c r="Q4607" s="27" t="n"/>
      <c r="R4607" s="27" t="n"/>
      <c r="S4607" s="27" t="n"/>
      <c r="T4607" s="27" t="n"/>
    </row>
    <row r="4608" ht="13.8" customFormat="1" customHeight="1" s="70">
      <c r="M4608" s="27" t="n"/>
      <c r="N4608" s="27" t="n"/>
      <c r="O4608" s="27" t="n"/>
      <c r="P4608" s="27" t="n"/>
      <c r="Q4608" s="27" t="n"/>
      <c r="R4608" s="27" t="n"/>
      <c r="S4608" s="27" t="n"/>
      <c r="T4608" s="27" t="n"/>
    </row>
    <row r="4609" ht="13.8" customFormat="1" customHeight="1" s="70">
      <c r="M4609" s="27" t="n"/>
      <c r="N4609" s="27" t="n"/>
      <c r="O4609" s="27" t="n"/>
      <c r="P4609" s="27" t="n"/>
      <c r="Q4609" s="27" t="n"/>
      <c r="R4609" s="27" t="n"/>
      <c r="S4609" s="27" t="n"/>
      <c r="T4609" s="27" t="n"/>
    </row>
    <row r="4610" ht="13.8" customFormat="1" customHeight="1" s="70">
      <c r="M4610" s="27" t="n"/>
      <c r="N4610" s="27" t="n"/>
      <c r="O4610" s="27" t="n"/>
      <c r="P4610" s="27" t="n"/>
      <c r="Q4610" s="27" t="n"/>
      <c r="R4610" s="27" t="n"/>
      <c r="S4610" s="27" t="n"/>
      <c r="T4610" s="27" t="n"/>
    </row>
    <row r="4611" ht="13.8" customFormat="1" customHeight="1" s="70">
      <c r="M4611" s="27" t="n"/>
      <c r="N4611" s="27" t="n"/>
      <c r="O4611" s="27" t="n"/>
      <c r="P4611" s="27" t="n"/>
      <c r="Q4611" s="27" t="n"/>
      <c r="R4611" s="27" t="n"/>
      <c r="S4611" s="27" t="n"/>
      <c r="T4611" s="27" t="n"/>
    </row>
    <row r="4612" ht="13.8" customFormat="1" customHeight="1" s="70">
      <c r="M4612" s="27" t="n"/>
      <c r="N4612" s="27" t="n"/>
      <c r="O4612" s="27" t="n"/>
      <c r="P4612" s="27" t="n"/>
      <c r="Q4612" s="27" t="n"/>
      <c r="R4612" s="27" t="n"/>
      <c r="S4612" s="27" t="n"/>
      <c r="T4612" s="27" t="n"/>
    </row>
    <row r="4613" ht="13.8" customFormat="1" customHeight="1" s="70">
      <c r="M4613" s="27" t="n"/>
      <c r="N4613" s="27" t="n"/>
      <c r="O4613" s="27" t="n"/>
      <c r="P4613" s="27" t="n"/>
      <c r="Q4613" s="27" t="n"/>
      <c r="R4613" s="27" t="n"/>
      <c r="S4613" s="27" t="n"/>
      <c r="T4613" s="27" t="n"/>
    </row>
    <row r="4614" ht="13.8" customFormat="1" customHeight="1" s="70">
      <c r="M4614" s="27" t="n"/>
      <c r="N4614" s="27" t="n"/>
      <c r="O4614" s="27" t="n"/>
      <c r="P4614" s="27" t="n"/>
      <c r="Q4614" s="27" t="n"/>
      <c r="R4614" s="27" t="n"/>
      <c r="S4614" s="27" t="n"/>
      <c r="T4614" s="27" t="n"/>
    </row>
    <row r="4615" ht="13.8" customFormat="1" customHeight="1" s="70">
      <c r="M4615" s="27" t="n"/>
      <c r="N4615" s="27" t="n"/>
      <c r="O4615" s="27" t="n"/>
      <c r="P4615" s="27" t="n"/>
      <c r="Q4615" s="27" t="n"/>
      <c r="R4615" s="27" t="n"/>
      <c r="S4615" s="27" t="n"/>
      <c r="T4615" s="27" t="n"/>
    </row>
    <row r="4616" ht="13.8" customFormat="1" customHeight="1" s="70">
      <c r="M4616" s="27" t="n"/>
      <c r="N4616" s="27" t="n"/>
      <c r="O4616" s="27" t="n"/>
      <c r="P4616" s="27" t="n"/>
      <c r="Q4616" s="27" t="n"/>
      <c r="R4616" s="27" t="n"/>
      <c r="S4616" s="27" t="n"/>
      <c r="T4616" s="27" t="n"/>
    </row>
    <row r="4617" ht="13.8" customFormat="1" customHeight="1" s="70">
      <c r="M4617" s="27" t="n"/>
      <c r="N4617" s="27" t="n"/>
      <c r="O4617" s="27" t="n"/>
      <c r="P4617" s="27" t="n"/>
      <c r="Q4617" s="27" t="n"/>
      <c r="R4617" s="27" t="n"/>
      <c r="S4617" s="27" t="n"/>
      <c r="T4617" s="27" t="n"/>
    </row>
    <row r="4618" ht="13.8" customFormat="1" customHeight="1" s="70">
      <c r="M4618" s="27" t="n"/>
      <c r="N4618" s="27" t="n"/>
      <c r="O4618" s="27" t="n"/>
      <c r="P4618" s="27" t="n"/>
      <c r="Q4618" s="27" t="n"/>
      <c r="R4618" s="27" t="n"/>
      <c r="S4618" s="27" t="n"/>
      <c r="T4618" s="27" t="n"/>
    </row>
    <row r="4619" ht="13.8" customFormat="1" customHeight="1" s="70">
      <c r="M4619" s="27" t="n"/>
      <c r="N4619" s="27" t="n"/>
      <c r="O4619" s="27" t="n"/>
      <c r="P4619" s="27" t="n"/>
      <c r="Q4619" s="27" t="n"/>
      <c r="R4619" s="27" t="n"/>
      <c r="S4619" s="27" t="n"/>
      <c r="T4619" s="27" t="n"/>
    </row>
    <row r="4620" ht="13.8" customFormat="1" customHeight="1" s="70">
      <c r="M4620" s="27" t="n"/>
      <c r="N4620" s="27" t="n"/>
      <c r="O4620" s="27" t="n"/>
      <c r="P4620" s="27" t="n"/>
      <c r="Q4620" s="27" t="n"/>
      <c r="R4620" s="27" t="n"/>
      <c r="S4620" s="27" t="n"/>
      <c r="T4620" s="27" t="n"/>
    </row>
    <row r="4621" ht="13.8" customFormat="1" customHeight="1" s="70">
      <c r="M4621" s="27" t="n"/>
      <c r="N4621" s="27" t="n"/>
      <c r="O4621" s="27" t="n"/>
      <c r="P4621" s="27" t="n"/>
      <c r="Q4621" s="27" t="n"/>
      <c r="R4621" s="27" t="n"/>
      <c r="S4621" s="27" t="n"/>
      <c r="T4621" s="27" t="n"/>
    </row>
    <row r="4622" ht="13.8" customFormat="1" customHeight="1" s="70">
      <c r="M4622" s="27" t="n"/>
      <c r="N4622" s="27" t="n"/>
      <c r="O4622" s="27" t="n"/>
      <c r="P4622" s="27" t="n"/>
      <c r="Q4622" s="27" t="n"/>
      <c r="R4622" s="27" t="n"/>
      <c r="S4622" s="27" t="n"/>
      <c r="T4622" s="27" t="n"/>
    </row>
    <row r="4623" ht="13.8" customFormat="1" customHeight="1" s="70">
      <c r="M4623" s="27" t="n"/>
      <c r="N4623" s="27" t="n"/>
      <c r="O4623" s="27" t="n"/>
      <c r="P4623" s="27" t="n"/>
      <c r="Q4623" s="27" t="n"/>
      <c r="R4623" s="27" t="n"/>
      <c r="S4623" s="27" t="n"/>
      <c r="T4623" s="27" t="n"/>
    </row>
    <row r="4624" ht="13.8" customFormat="1" customHeight="1" s="70">
      <c r="M4624" s="27" t="n"/>
      <c r="N4624" s="27" t="n"/>
      <c r="O4624" s="27" t="n"/>
      <c r="P4624" s="27" t="n"/>
      <c r="Q4624" s="27" t="n"/>
      <c r="R4624" s="27" t="n"/>
      <c r="S4624" s="27" t="n"/>
      <c r="T4624" s="27" t="n"/>
    </row>
    <row r="4625" ht="13.8" customFormat="1" customHeight="1" s="70">
      <c r="M4625" s="27" t="n"/>
      <c r="N4625" s="27" t="n"/>
      <c r="O4625" s="27" t="n"/>
      <c r="P4625" s="27" t="n"/>
      <c r="Q4625" s="27" t="n"/>
      <c r="R4625" s="27" t="n"/>
      <c r="S4625" s="27" t="n"/>
      <c r="T4625" s="27" t="n"/>
    </row>
    <row r="4626" ht="13.8" customFormat="1" customHeight="1" s="70">
      <c r="M4626" s="27" t="n"/>
      <c r="N4626" s="27" t="n"/>
      <c r="O4626" s="27" t="n"/>
      <c r="P4626" s="27" t="n"/>
      <c r="Q4626" s="27" t="n"/>
      <c r="R4626" s="27" t="n"/>
      <c r="S4626" s="27" t="n"/>
      <c r="T4626" s="27" t="n"/>
    </row>
    <row r="4627" ht="13.8" customFormat="1" customHeight="1" s="70">
      <c r="M4627" s="27" t="n"/>
      <c r="N4627" s="27" t="n"/>
      <c r="O4627" s="27" t="n"/>
      <c r="P4627" s="27" t="n"/>
      <c r="Q4627" s="27" t="n"/>
      <c r="R4627" s="27" t="n"/>
      <c r="S4627" s="27" t="n"/>
      <c r="T4627" s="27" t="n"/>
    </row>
    <row r="4628" ht="13.8" customFormat="1" customHeight="1" s="70">
      <c r="M4628" s="27" t="n"/>
      <c r="N4628" s="27" t="n"/>
      <c r="O4628" s="27" t="n"/>
      <c r="P4628" s="27" t="n"/>
      <c r="Q4628" s="27" t="n"/>
      <c r="R4628" s="27" t="n"/>
      <c r="S4628" s="27" t="n"/>
      <c r="T4628" s="27" t="n"/>
    </row>
    <row r="4629" ht="13.8" customFormat="1" customHeight="1" s="70">
      <c r="M4629" s="27" t="n"/>
      <c r="N4629" s="27" t="n"/>
      <c r="O4629" s="27" t="n"/>
      <c r="P4629" s="27" t="n"/>
      <c r="Q4629" s="27" t="n"/>
      <c r="R4629" s="27" t="n"/>
      <c r="S4629" s="27" t="n"/>
      <c r="T4629" s="27" t="n"/>
    </row>
    <row r="4630" ht="13.8" customFormat="1" customHeight="1" s="70">
      <c r="M4630" s="27" t="n"/>
      <c r="N4630" s="27" t="n"/>
      <c r="O4630" s="27" t="n"/>
      <c r="P4630" s="27" t="n"/>
      <c r="Q4630" s="27" t="n"/>
      <c r="R4630" s="27" t="n"/>
      <c r="S4630" s="27" t="n"/>
      <c r="T4630" s="27" t="n"/>
    </row>
    <row r="4631" ht="13.8" customFormat="1" customHeight="1" s="70">
      <c r="M4631" s="27" t="n"/>
      <c r="N4631" s="27" t="n"/>
      <c r="O4631" s="27" t="n"/>
      <c r="P4631" s="27" t="n"/>
      <c r="Q4631" s="27" t="n"/>
      <c r="R4631" s="27" t="n"/>
      <c r="S4631" s="27" t="n"/>
      <c r="T4631" s="27" t="n"/>
    </row>
    <row r="4632" ht="13.8" customFormat="1" customHeight="1" s="70">
      <c r="M4632" s="27" t="n"/>
      <c r="N4632" s="27" t="n"/>
      <c r="O4632" s="27" t="n"/>
      <c r="P4632" s="27" t="n"/>
      <c r="Q4632" s="27" t="n"/>
      <c r="R4632" s="27" t="n"/>
      <c r="S4632" s="27" t="n"/>
      <c r="T4632" s="27" t="n"/>
    </row>
    <row r="4633" ht="13.8" customFormat="1" customHeight="1" s="70">
      <c r="M4633" s="27" t="n"/>
      <c r="N4633" s="27" t="n"/>
      <c r="O4633" s="27" t="n"/>
      <c r="P4633" s="27" t="n"/>
      <c r="Q4633" s="27" t="n"/>
      <c r="R4633" s="27" t="n"/>
      <c r="S4633" s="27" t="n"/>
      <c r="T4633" s="27" t="n"/>
    </row>
    <row r="4634" ht="13.8" customFormat="1" customHeight="1" s="70">
      <c r="M4634" s="27" t="n"/>
      <c r="N4634" s="27" t="n"/>
      <c r="O4634" s="27" t="n"/>
      <c r="P4634" s="27" t="n"/>
      <c r="Q4634" s="27" t="n"/>
      <c r="R4634" s="27" t="n"/>
      <c r="S4634" s="27" t="n"/>
      <c r="T4634" s="27" t="n"/>
    </row>
    <row r="4635" ht="13.8" customFormat="1" customHeight="1" s="70">
      <c r="M4635" s="27" t="n"/>
      <c r="N4635" s="27" t="n"/>
      <c r="O4635" s="27" t="n"/>
      <c r="P4635" s="27" t="n"/>
      <c r="Q4635" s="27" t="n"/>
      <c r="R4635" s="27" t="n"/>
      <c r="S4635" s="27" t="n"/>
      <c r="T4635" s="27" t="n"/>
    </row>
    <row r="4636" ht="13.8" customFormat="1" customHeight="1" s="70">
      <c r="M4636" s="27" t="n"/>
      <c r="N4636" s="27" t="n"/>
      <c r="O4636" s="27" t="n"/>
      <c r="P4636" s="27" t="n"/>
      <c r="Q4636" s="27" t="n"/>
      <c r="R4636" s="27" t="n"/>
      <c r="S4636" s="27" t="n"/>
      <c r="T4636" s="27" t="n"/>
    </row>
    <row r="4637" ht="13.8" customFormat="1" customHeight="1" s="70">
      <c r="M4637" s="27" t="n"/>
      <c r="N4637" s="27" t="n"/>
      <c r="O4637" s="27" t="n"/>
      <c r="P4637" s="27" t="n"/>
      <c r="Q4637" s="27" t="n"/>
      <c r="R4637" s="27" t="n"/>
      <c r="S4637" s="27" t="n"/>
      <c r="T4637" s="27" t="n"/>
    </row>
    <row r="4638" ht="13.8" customFormat="1" customHeight="1" s="70">
      <c r="M4638" s="27" t="n"/>
      <c r="N4638" s="27" t="n"/>
      <c r="O4638" s="27" t="n"/>
      <c r="P4638" s="27" t="n"/>
      <c r="Q4638" s="27" t="n"/>
      <c r="R4638" s="27" t="n"/>
      <c r="S4638" s="27" t="n"/>
      <c r="T4638" s="27" t="n"/>
    </row>
    <row r="4639" ht="13.8" customFormat="1" customHeight="1" s="70">
      <c r="M4639" s="27" t="n"/>
      <c r="N4639" s="27" t="n"/>
      <c r="O4639" s="27" t="n"/>
      <c r="P4639" s="27" t="n"/>
      <c r="Q4639" s="27" t="n"/>
      <c r="R4639" s="27" t="n"/>
      <c r="S4639" s="27" t="n"/>
      <c r="T4639" s="27" t="n"/>
    </row>
    <row r="4640" ht="13.8" customFormat="1" customHeight="1" s="70">
      <c r="M4640" s="27" t="n"/>
      <c r="N4640" s="27" t="n"/>
      <c r="O4640" s="27" t="n"/>
      <c r="P4640" s="27" t="n"/>
      <c r="Q4640" s="27" t="n"/>
      <c r="R4640" s="27" t="n"/>
      <c r="S4640" s="27" t="n"/>
      <c r="T4640" s="27" t="n"/>
    </row>
    <row r="4641" ht="13.8" customFormat="1" customHeight="1" s="70">
      <c r="M4641" s="27" t="n"/>
      <c r="N4641" s="27" t="n"/>
      <c r="O4641" s="27" t="n"/>
      <c r="P4641" s="27" t="n"/>
      <c r="Q4641" s="27" t="n"/>
      <c r="R4641" s="27" t="n"/>
      <c r="S4641" s="27" t="n"/>
      <c r="T4641" s="27" t="n"/>
    </row>
    <row r="4642" ht="13.8" customFormat="1" customHeight="1" s="70">
      <c r="M4642" s="27" t="n"/>
      <c r="N4642" s="27" t="n"/>
      <c r="O4642" s="27" t="n"/>
      <c r="P4642" s="27" t="n"/>
      <c r="Q4642" s="27" t="n"/>
      <c r="R4642" s="27" t="n"/>
      <c r="S4642" s="27" t="n"/>
      <c r="T4642" s="27" t="n"/>
    </row>
    <row r="4643" ht="13.8" customFormat="1" customHeight="1" s="70">
      <c r="M4643" s="27" t="n"/>
      <c r="N4643" s="27" t="n"/>
      <c r="O4643" s="27" t="n"/>
      <c r="P4643" s="27" t="n"/>
      <c r="Q4643" s="27" t="n"/>
      <c r="R4643" s="27" t="n"/>
      <c r="S4643" s="27" t="n"/>
      <c r="T4643" s="27" t="n"/>
    </row>
    <row r="4644" ht="13.8" customFormat="1" customHeight="1" s="70">
      <c r="M4644" s="27" t="n"/>
      <c r="N4644" s="27" t="n"/>
      <c r="O4644" s="27" t="n"/>
      <c r="P4644" s="27" t="n"/>
      <c r="Q4644" s="27" t="n"/>
      <c r="R4644" s="27" t="n"/>
      <c r="S4644" s="27" t="n"/>
      <c r="T4644" s="27" t="n"/>
    </row>
    <row r="4645" ht="13.8" customFormat="1" customHeight="1" s="70">
      <c r="M4645" s="27" t="n"/>
      <c r="N4645" s="27" t="n"/>
      <c r="O4645" s="27" t="n"/>
      <c r="P4645" s="27" t="n"/>
      <c r="Q4645" s="27" t="n"/>
      <c r="R4645" s="27" t="n"/>
      <c r="S4645" s="27" t="n"/>
      <c r="T4645" s="27" t="n"/>
    </row>
    <row r="4646" ht="13.8" customFormat="1" customHeight="1" s="70">
      <c r="M4646" s="27" t="n"/>
      <c r="N4646" s="27" t="n"/>
      <c r="O4646" s="27" t="n"/>
      <c r="P4646" s="27" t="n"/>
      <c r="Q4646" s="27" t="n"/>
      <c r="R4646" s="27" t="n"/>
      <c r="S4646" s="27" t="n"/>
      <c r="T4646" s="27" t="n"/>
    </row>
    <row r="4647" ht="13.8" customFormat="1" customHeight="1" s="70">
      <c r="M4647" s="27" t="n"/>
      <c r="N4647" s="27" t="n"/>
      <c r="O4647" s="27" t="n"/>
      <c r="P4647" s="27" t="n"/>
      <c r="Q4647" s="27" t="n"/>
      <c r="R4647" s="27" t="n"/>
      <c r="S4647" s="27" t="n"/>
      <c r="T4647" s="27" t="n"/>
    </row>
    <row r="4648" ht="13.8" customFormat="1" customHeight="1" s="70">
      <c r="M4648" s="27" t="n"/>
      <c r="N4648" s="27" t="n"/>
      <c r="O4648" s="27" t="n"/>
      <c r="P4648" s="27" t="n"/>
      <c r="Q4648" s="27" t="n"/>
      <c r="R4648" s="27" t="n"/>
      <c r="S4648" s="27" t="n"/>
      <c r="T4648" s="27" t="n"/>
    </row>
    <row r="4649" ht="13.8" customFormat="1" customHeight="1" s="70">
      <c r="M4649" s="27" t="n"/>
      <c r="N4649" s="27" t="n"/>
      <c r="O4649" s="27" t="n"/>
      <c r="P4649" s="27" t="n"/>
      <c r="Q4649" s="27" t="n"/>
      <c r="R4649" s="27" t="n"/>
      <c r="S4649" s="27" t="n"/>
      <c r="T4649" s="27" t="n"/>
    </row>
    <row r="4650" ht="13.8" customFormat="1" customHeight="1" s="70">
      <c r="M4650" s="27" t="n"/>
      <c r="N4650" s="27" t="n"/>
      <c r="O4650" s="27" t="n"/>
      <c r="P4650" s="27" t="n"/>
      <c r="Q4650" s="27" t="n"/>
      <c r="R4650" s="27" t="n"/>
      <c r="S4650" s="27" t="n"/>
      <c r="T4650" s="27" t="n"/>
    </row>
    <row r="4651" ht="13.8" customFormat="1" customHeight="1" s="70">
      <c r="M4651" s="27" t="n"/>
      <c r="N4651" s="27" t="n"/>
      <c r="O4651" s="27" t="n"/>
      <c r="P4651" s="27" t="n"/>
      <c r="Q4651" s="27" t="n"/>
      <c r="R4651" s="27" t="n"/>
      <c r="S4651" s="27" t="n"/>
      <c r="T4651" s="27" t="n"/>
    </row>
    <row r="4652" ht="13.8" customFormat="1" customHeight="1" s="70">
      <c r="M4652" s="27" t="n"/>
      <c r="N4652" s="27" t="n"/>
      <c r="O4652" s="27" t="n"/>
      <c r="P4652" s="27" t="n"/>
      <c r="Q4652" s="27" t="n"/>
      <c r="R4652" s="27" t="n"/>
      <c r="S4652" s="27" t="n"/>
      <c r="T4652" s="27" t="n"/>
    </row>
    <row r="4653" ht="13.8" customFormat="1" customHeight="1" s="70">
      <c r="M4653" s="27" t="n"/>
      <c r="N4653" s="27" t="n"/>
      <c r="O4653" s="27" t="n"/>
      <c r="P4653" s="27" t="n"/>
      <c r="Q4653" s="27" t="n"/>
      <c r="R4653" s="27" t="n"/>
      <c r="S4653" s="27" t="n"/>
      <c r="T4653" s="27" t="n"/>
    </row>
    <row r="4654" ht="13.8" customFormat="1" customHeight="1" s="70">
      <c r="M4654" s="27" t="n"/>
      <c r="N4654" s="27" t="n"/>
      <c r="O4654" s="27" t="n"/>
      <c r="P4654" s="27" t="n"/>
      <c r="Q4654" s="27" t="n"/>
      <c r="R4654" s="27" t="n"/>
      <c r="S4654" s="27" t="n"/>
      <c r="T4654" s="27" t="n"/>
    </row>
    <row r="4655" ht="13.8" customFormat="1" customHeight="1" s="70">
      <c r="M4655" s="27" t="n"/>
      <c r="N4655" s="27" t="n"/>
      <c r="O4655" s="27" t="n"/>
      <c r="P4655" s="27" t="n"/>
      <c r="Q4655" s="27" t="n"/>
      <c r="R4655" s="27" t="n"/>
      <c r="S4655" s="27" t="n"/>
      <c r="T4655" s="27" t="n"/>
    </row>
    <row r="4656" ht="13.8" customFormat="1" customHeight="1" s="70">
      <c r="M4656" s="27" t="n"/>
      <c r="N4656" s="27" t="n"/>
      <c r="O4656" s="27" t="n"/>
      <c r="P4656" s="27" t="n"/>
      <c r="Q4656" s="27" t="n"/>
      <c r="R4656" s="27" t="n"/>
      <c r="S4656" s="27" t="n"/>
      <c r="T4656" s="27" t="n"/>
    </row>
    <row r="4657" ht="13.8" customFormat="1" customHeight="1" s="70">
      <c r="M4657" s="27" t="n"/>
      <c r="N4657" s="27" t="n"/>
      <c r="O4657" s="27" t="n"/>
      <c r="P4657" s="27" t="n"/>
      <c r="Q4657" s="27" t="n"/>
      <c r="R4657" s="27" t="n"/>
      <c r="S4657" s="27" t="n"/>
      <c r="T4657" s="27" t="n"/>
    </row>
    <row r="4658" ht="13.8" customFormat="1" customHeight="1" s="70">
      <c r="M4658" s="27" t="n"/>
      <c r="N4658" s="27" t="n"/>
      <c r="O4658" s="27" t="n"/>
      <c r="P4658" s="27" t="n"/>
      <c r="Q4658" s="27" t="n"/>
      <c r="R4658" s="27" t="n"/>
      <c r="S4658" s="27" t="n"/>
      <c r="T4658" s="27" t="n"/>
    </row>
    <row r="4659" ht="13.8" customFormat="1" customHeight="1" s="70">
      <c r="M4659" s="27" t="n"/>
      <c r="N4659" s="27" t="n"/>
      <c r="O4659" s="27" t="n"/>
      <c r="P4659" s="27" t="n"/>
      <c r="Q4659" s="27" t="n"/>
      <c r="R4659" s="27" t="n"/>
      <c r="S4659" s="27" t="n"/>
      <c r="T4659" s="27" t="n"/>
    </row>
    <row r="4660" ht="13.8" customFormat="1" customHeight="1" s="70">
      <c r="M4660" s="27" t="n"/>
      <c r="N4660" s="27" t="n"/>
      <c r="O4660" s="27" t="n"/>
      <c r="P4660" s="27" t="n"/>
      <c r="Q4660" s="27" t="n"/>
      <c r="R4660" s="27" t="n"/>
      <c r="S4660" s="27" t="n"/>
      <c r="T4660" s="27" t="n"/>
    </row>
    <row r="4661" ht="13.8" customFormat="1" customHeight="1" s="70">
      <c r="M4661" s="27" t="n"/>
      <c r="N4661" s="27" t="n"/>
      <c r="O4661" s="27" t="n"/>
      <c r="P4661" s="27" t="n"/>
      <c r="Q4661" s="27" t="n"/>
      <c r="R4661" s="27" t="n"/>
      <c r="S4661" s="27" t="n"/>
      <c r="T4661" s="27" t="n"/>
    </row>
    <row r="4662" ht="13.8" customFormat="1" customHeight="1" s="70">
      <c r="M4662" s="27" t="n"/>
      <c r="N4662" s="27" t="n"/>
      <c r="O4662" s="27" t="n"/>
      <c r="P4662" s="27" t="n"/>
      <c r="Q4662" s="27" t="n"/>
      <c r="R4662" s="27" t="n"/>
      <c r="S4662" s="27" t="n"/>
      <c r="T4662" s="27" t="n"/>
    </row>
    <row r="4663" ht="13.8" customFormat="1" customHeight="1" s="70">
      <c r="M4663" s="27" t="n"/>
      <c r="N4663" s="27" t="n"/>
      <c r="O4663" s="27" t="n"/>
      <c r="P4663" s="27" t="n"/>
      <c r="Q4663" s="27" t="n"/>
      <c r="R4663" s="27" t="n"/>
      <c r="S4663" s="27" t="n"/>
      <c r="T4663" s="27" t="n"/>
    </row>
    <row r="4664" ht="13.8" customFormat="1" customHeight="1" s="70">
      <c r="M4664" s="27" t="n"/>
      <c r="N4664" s="27" t="n"/>
      <c r="O4664" s="27" t="n"/>
      <c r="P4664" s="27" t="n"/>
      <c r="Q4664" s="27" t="n"/>
      <c r="R4664" s="27" t="n"/>
      <c r="S4664" s="27" t="n"/>
      <c r="T4664" s="27" t="n"/>
    </row>
    <row r="4665" ht="13.8" customFormat="1" customHeight="1" s="70">
      <c r="M4665" s="27" t="n"/>
      <c r="N4665" s="27" t="n"/>
      <c r="O4665" s="27" t="n"/>
      <c r="P4665" s="27" t="n"/>
      <c r="Q4665" s="27" t="n"/>
      <c r="R4665" s="27" t="n"/>
      <c r="S4665" s="27" t="n"/>
      <c r="T4665" s="27" t="n"/>
    </row>
    <row r="4666" ht="13.8" customFormat="1" customHeight="1" s="70">
      <c r="M4666" s="27" t="n"/>
      <c r="N4666" s="27" t="n"/>
      <c r="O4666" s="27" t="n"/>
      <c r="P4666" s="27" t="n"/>
      <c r="Q4666" s="27" t="n"/>
      <c r="R4666" s="27" t="n"/>
      <c r="S4666" s="27" t="n"/>
      <c r="T4666" s="27" t="n"/>
    </row>
    <row r="4667" ht="13.8" customFormat="1" customHeight="1" s="70">
      <c r="M4667" s="27" t="n"/>
      <c r="N4667" s="27" t="n"/>
      <c r="O4667" s="27" t="n"/>
      <c r="P4667" s="27" t="n"/>
      <c r="Q4667" s="27" t="n"/>
      <c r="R4667" s="27" t="n"/>
      <c r="S4667" s="27" t="n"/>
      <c r="T4667" s="27" t="n"/>
    </row>
    <row r="4668" ht="13.8" customFormat="1" customHeight="1" s="70">
      <c r="M4668" s="27" t="n"/>
      <c r="N4668" s="27" t="n"/>
      <c r="O4668" s="27" t="n"/>
      <c r="P4668" s="27" t="n"/>
      <c r="Q4668" s="27" t="n"/>
      <c r="R4668" s="27" t="n"/>
      <c r="S4668" s="27" t="n"/>
      <c r="T4668" s="27" t="n"/>
    </row>
    <row r="4669" ht="13.8" customFormat="1" customHeight="1" s="70">
      <c r="M4669" s="27" t="n"/>
      <c r="N4669" s="27" t="n"/>
      <c r="O4669" s="27" t="n"/>
      <c r="P4669" s="27" t="n"/>
      <c r="Q4669" s="27" t="n"/>
      <c r="R4669" s="27" t="n"/>
      <c r="S4669" s="27" t="n"/>
      <c r="T4669" s="27" t="n"/>
    </row>
    <row r="4670" ht="13.8" customFormat="1" customHeight="1" s="70">
      <c r="M4670" s="27" t="n"/>
      <c r="N4670" s="27" t="n"/>
      <c r="O4670" s="27" t="n"/>
      <c r="P4670" s="27" t="n"/>
      <c r="Q4670" s="27" t="n"/>
      <c r="R4670" s="27" t="n"/>
      <c r="S4670" s="27" t="n"/>
      <c r="T4670" s="27" t="n"/>
    </row>
    <row r="4671" ht="13.8" customFormat="1" customHeight="1" s="70">
      <c r="M4671" s="27" t="n"/>
      <c r="N4671" s="27" t="n"/>
      <c r="O4671" s="27" t="n"/>
      <c r="P4671" s="27" t="n"/>
      <c r="Q4671" s="27" t="n"/>
      <c r="R4671" s="27" t="n"/>
      <c r="S4671" s="27" t="n"/>
      <c r="T4671" s="27" t="n"/>
    </row>
    <row r="4672" ht="13.8" customFormat="1" customHeight="1" s="70">
      <c r="M4672" s="27" t="n"/>
      <c r="N4672" s="27" t="n"/>
      <c r="O4672" s="27" t="n"/>
      <c r="P4672" s="27" t="n"/>
      <c r="Q4672" s="27" t="n"/>
      <c r="R4672" s="27" t="n"/>
      <c r="S4672" s="27" t="n"/>
      <c r="T4672" s="27" t="n"/>
    </row>
    <row r="4673" ht="13.8" customFormat="1" customHeight="1" s="70">
      <c r="M4673" s="27" t="n"/>
      <c r="N4673" s="27" t="n"/>
      <c r="O4673" s="27" t="n"/>
      <c r="P4673" s="27" t="n"/>
      <c r="Q4673" s="27" t="n"/>
      <c r="R4673" s="27" t="n"/>
      <c r="S4673" s="27" t="n"/>
      <c r="T4673" s="27" t="n"/>
    </row>
    <row r="4674" ht="13.8" customFormat="1" customHeight="1" s="70">
      <c r="M4674" s="27" t="n"/>
      <c r="N4674" s="27" t="n"/>
      <c r="O4674" s="27" t="n"/>
      <c r="P4674" s="27" t="n"/>
      <c r="Q4674" s="27" t="n"/>
      <c r="R4674" s="27" t="n"/>
      <c r="S4674" s="27" t="n"/>
      <c r="T4674" s="27" t="n"/>
    </row>
    <row r="4675" ht="13.8" customFormat="1" customHeight="1" s="70">
      <c r="M4675" s="27" t="n"/>
      <c r="N4675" s="27" t="n"/>
      <c r="O4675" s="27" t="n"/>
      <c r="P4675" s="27" t="n"/>
      <c r="Q4675" s="27" t="n"/>
      <c r="R4675" s="27" t="n"/>
      <c r="S4675" s="27" t="n"/>
      <c r="T4675" s="27" t="n"/>
    </row>
    <row r="4676" ht="13.8" customFormat="1" customHeight="1" s="70">
      <c r="M4676" s="27" t="n"/>
      <c r="N4676" s="27" t="n"/>
      <c r="O4676" s="27" t="n"/>
      <c r="P4676" s="27" t="n"/>
      <c r="Q4676" s="27" t="n"/>
      <c r="R4676" s="27" t="n"/>
      <c r="S4676" s="27" t="n"/>
      <c r="T4676" s="27" t="n"/>
    </row>
    <row r="4677" ht="13.8" customFormat="1" customHeight="1" s="70">
      <c r="M4677" s="27" t="n"/>
      <c r="N4677" s="27" t="n"/>
      <c r="O4677" s="27" t="n"/>
      <c r="P4677" s="27" t="n"/>
      <c r="Q4677" s="27" t="n"/>
      <c r="R4677" s="27" t="n"/>
      <c r="S4677" s="27" t="n"/>
      <c r="T4677" s="27" t="n"/>
    </row>
    <row r="4678" ht="13.8" customFormat="1" customHeight="1" s="70">
      <c r="M4678" s="27" t="n"/>
      <c r="N4678" s="27" t="n"/>
      <c r="O4678" s="27" t="n"/>
      <c r="P4678" s="27" t="n"/>
      <c r="Q4678" s="27" t="n"/>
      <c r="R4678" s="27" t="n"/>
      <c r="S4678" s="27" t="n"/>
      <c r="T4678" s="27" t="n"/>
    </row>
    <row r="4679" ht="13.8" customFormat="1" customHeight="1" s="70">
      <c r="M4679" s="27" t="n"/>
      <c r="N4679" s="27" t="n"/>
      <c r="O4679" s="27" t="n"/>
      <c r="P4679" s="27" t="n"/>
      <c r="Q4679" s="27" t="n"/>
      <c r="R4679" s="27" t="n"/>
      <c r="S4679" s="27" t="n"/>
      <c r="T4679" s="27" t="n"/>
    </row>
    <row r="4680" ht="13.8" customFormat="1" customHeight="1" s="70">
      <c r="M4680" s="27" t="n"/>
      <c r="N4680" s="27" t="n"/>
      <c r="O4680" s="27" t="n"/>
      <c r="P4680" s="27" t="n"/>
      <c r="Q4680" s="27" t="n"/>
      <c r="R4680" s="27" t="n"/>
      <c r="S4680" s="27" t="n"/>
      <c r="T4680" s="27" t="n"/>
    </row>
    <row r="4681" ht="13.8" customFormat="1" customHeight="1" s="70">
      <c r="M4681" s="27" t="n"/>
      <c r="N4681" s="27" t="n"/>
      <c r="O4681" s="27" t="n"/>
      <c r="P4681" s="27" t="n"/>
      <c r="Q4681" s="27" t="n"/>
      <c r="R4681" s="27" t="n"/>
      <c r="S4681" s="27" t="n"/>
      <c r="T4681" s="27" t="n"/>
    </row>
    <row r="4682" ht="13.8" customFormat="1" customHeight="1" s="70">
      <c r="M4682" s="27" t="n"/>
      <c r="N4682" s="27" t="n"/>
      <c r="O4682" s="27" t="n"/>
      <c r="P4682" s="27" t="n"/>
      <c r="Q4682" s="27" t="n"/>
      <c r="R4682" s="27" t="n"/>
      <c r="S4682" s="27" t="n"/>
      <c r="T4682" s="27" t="n"/>
    </row>
    <row r="4683" ht="13.8" customFormat="1" customHeight="1" s="70">
      <c r="M4683" s="27" t="n"/>
      <c r="N4683" s="27" t="n"/>
      <c r="O4683" s="27" t="n"/>
      <c r="P4683" s="27" t="n"/>
      <c r="Q4683" s="27" t="n"/>
      <c r="R4683" s="27" t="n"/>
      <c r="S4683" s="27" t="n"/>
      <c r="T4683" s="27" t="n"/>
    </row>
    <row r="4684" ht="13.8" customFormat="1" customHeight="1" s="70">
      <c r="M4684" s="27" t="n"/>
      <c r="N4684" s="27" t="n"/>
      <c r="O4684" s="27" t="n"/>
      <c r="P4684" s="27" t="n"/>
      <c r="Q4684" s="27" t="n"/>
      <c r="R4684" s="27" t="n"/>
      <c r="S4684" s="27" t="n"/>
      <c r="T4684" s="27" t="n"/>
    </row>
    <row r="4685" ht="13.8" customFormat="1" customHeight="1" s="70">
      <c r="M4685" s="27" t="n"/>
      <c r="N4685" s="27" t="n"/>
      <c r="O4685" s="27" t="n"/>
      <c r="P4685" s="27" t="n"/>
      <c r="Q4685" s="27" t="n"/>
      <c r="R4685" s="27" t="n"/>
      <c r="S4685" s="27" t="n"/>
      <c r="T4685" s="27" t="n"/>
    </row>
    <row r="4686" ht="13.8" customFormat="1" customHeight="1" s="70">
      <c r="M4686" s="27" t="n"/>
      <c r="N4686" s="27" t="n"/>
      <c r="O4686" s="27" t="n"/>
      <c r="P4686" s="27" t="n"/>
      <c r="Q4686" s="27" t="n"/>
      <c r="R4686" s="27" t="n"/>
      <c r="S4686" s="27" t="n"/>
      <c r="T4686" s="27" t="n"/>
    </row>
    <row r="4687" ht="13.8" customFormat="1" customHeight="1" s="70">
      <c r="M4687" s="27" t="n"/>
      <c r="N4687" s="27" t="n"/>
      <c r="O4687" s="27" t="n"/>
      <c r="P4687" s="27" t="n"/>
      <c r="Q4687" s="27" t="n"/>
      <c r="R4687" s="27" t="n"/>
      <c r="S4687" s="27" t="n"/>
      <c r="T4687" s="27" t="n"/>
    </row>
    <row r="4688" ht="13.8" customFormat="1" customHeight="1" s="70">
      <c r="M4688" s="27" t="n"/>
      <c r="N4688" s="27" t="n"/>
      <c r="O4688" s="27" t="n"/>
      <c r="P4688" s="27" t="n"/>
      <c r="Q4688" s="27" t="n"/>
      <c r="R4688" s="27" t="n"/>
      <c r="S4688" s="27" t="n"/>
      <c r="T4688" s="27" t="n"/>
    </row>
    <row r="4689" ht="13.8" customFormat="1" customHeight="1" s="70">
      <c r="M4689" s="27" t="n"/>
      <c r="N4689" s="27" t="n"/>
      <c r="O4689" s="27" t="n"/>
      <c r="P4689" s="27" t="n"/>
      <c r="Q4689" s="27" t="n"/>
      <c r="R4689" s="27" t="n"/>
      <c r="S4689" s="27" t="n"/>
      <c r="T4689" s="27" t="n"/>
    </row>
    <row r="4690" ht="13.8" customFormat="1" customHeight="1" s="70">
      <c r="M4690" s="27" t="n"/>
      <c r="N4690" s="27" t="n"/>
      <c r="O4690" s="27" t="n"/>
      <c r="P4690" s="27" t="n"/>
      <c r="Q4690" s="27" t="n"/>
      <c r="R4690" s="27" t="n"/>
      <c r="S4690" s="27" t="n"/>
      <c r="T4690" s="27" t="n"/>
    </row>
    <row r="4691" ht="13.8" customFormat="1" customHeight="1" s="70">
      <c r="M4691" s="27" t="n"/>
      <c r="N4691" s="27" t="n"/>
      <c r="O4691" s="27" t="n"/>
      <c r="P4691" s="27" t="n"/>
      <c r="Q4691" s="27" t="n"/>
      <c r="R4691" s="27" t="n"/>
      <c r="S4691" s="27" t="n"/>
      <c r="T4691" s="27" t="n"/>
    </row>
    <row r="4692" ht="13.8" customFormat="1" customHeight="1" s="70">
      <c r="M4692" s="27" t="n"/>
      <c r="N4692" s="27" t="n"/>
      <c r="O4692" s="27" t="n"/>
      <c r="P4692" s="27" t="n"/>
      <c r="Q4692" s="27" t="n"/>
      <c r="R4692" s="27" t="n"/>
      <c r="S4692" s="27" t="n"/>
      <c r="T4692" s="27" t="n"/>
    </row>
    <row r="4693" ht="13.8" customFormat="1" customHeight="1" s="70">
      <c r="M4693" s="27" t="n"/>
      <c r="N4693" s="27" t="n"/>
      <c r="O4693" s="27" t="n"/>
      <c r="P4693" s="27" t="n"/>
      <c r="Q4693" s="27" t="n"/>
      <c r="R4693" s="27" t="n"/>
      <c r="S4693" s="27" t="n"/>
      <c r="T4693" s="27" t="n"/>
    </row>
    <row r="4694" ht="13.8" customFormat="1" customHeight="1" s="70">
      <c r="M4694" s="27" t="n"/>
      <c r="N4694" s="27" t="n"/>
      <c r="O4694" s="27" t="n"/>
      <c r="P4694" s="27" t="n"/>
      <c r="Q4694" s="27" t="n"/>
      <c r="R4694" s="27" t="n"/>
      <c r="S4694" s="27" t="n"/>
      <c r="T4694" s="27" t="n"/>
    </row>
    <row r="4695" ht="13.8" customFormat="1" customHeight="1" s="70">
      <c r="M4695" s="27" t="n"/>
      <c r="N4695" s="27" t="n"/>
      <c r="O4695" s="27" t="n"/>
      <c r="P4695" s="27" t="n"/>
      <c r="Q4695" s="27" t="n"/>
      <c r="R4695" s="27" t="n"/>
      <c r="S4695" s="27" t="n"/>
      <c r="T4695" s="27" t="n"/>
    </row>
    <row r="4696" ht="13.8" customFormat="1" customHeight="1" s="70">
      <c r="M4696" s="27" t="n"/>
      <c r="N4696" s="27" t="n"/>
      <c r="O4696" s="27" t="n"/>
      <c r="P4696" s="27" t="n"/>
      <c r="Q4696" s="27" t="n"/>
      <c r="R4696" s="27" t="n"/>
      <c r="S4696" s="27" t="n"/>
      <c r="T4696" s="27" t="n"/>
    </row>
    <row r="4697" ht="13.8" customFormat="1" customHeight="1" s="70">
      <c r="M4697" s="27" t="n"/>
      <c r="N4697" s="27" t="n"/>
      <c r="O4697" s="27" t="n"/>
      <c r="P4697" s="27" t="n"/>
      <c r="Q4697" s="27" t="n"/>
      <c r="R4697" s="27" t="n"/>
      <c r="S4697" s="27" t="n"/>
      <c r="T4697" s="27" t="n"/>
    </row>
    <row r="4698" ht="13.8" customFormat="1" customHeight="1" s="70">
      <c r="M4698" s="27" t="n"/>
      <c r="N4698" s="27" t="n"/>
      <c r="O4698" s="27" t="n"/>
      <c r="P4698" s="27" t="n"/>
      <c r="Q4698" s="27" t="n"/>
      <c r="R4698" s="27" t="n"/>
      <c r="S4698" s="27" t="n"/>
      <c r="T4698" s="27" t="n"/>
    </row>
    <row r="4699" ht="13.8" customFormat="1" customHeight="1" s="70">
      <c r="M4699" s="27" t="n"/>
      <c r="N4699" s="27" t="n"/>
      <c r="O4699" s="27" t="n"/>
      <c r="P4699" s="27" t="n"/>
      <c r="Q4699" s="27" t="n"/>
      <c r="R4699" s="27" t="n"/>
      <c r="S4699" s="27" t="n"/>
      <c r="T4699" s="27" t="n"/>
    </row>
    <row r="4700" ht="13.8" customFormat="1" customHeight="1" s="70">
      <c r="M4700" s="27" t="n"/>
      <c r="N4700" s="27" t="n"/>
      <c r="O4700" s="27" t="n"/>
      <c r="P4700" s="27" t="n"/>
      <c r="Q4700" s="27" t="n"/>
      <c r="R4700" s="27" t="n"/>
      <c r="S4700" s="27" t="n"/>
      <c r="T4700" s="27" t="n"/>
    </row>
    <row r="4701" ht="13.8" customFormat="1" customHeight="1" s="70">
      <c r="M4701" s="27" t="n"/>
      <c r="N4701" s="27" t="n"/>
      <c r="O4701" s="27" t="n"/>
      <c r="P4701" s="27" t="n"/>
      <c r="Q4701" s="27" t="n"/>
      <c r="R4701" s="27" t="n"/>
      <c r="S4701" s="27" t="n"/>
      <c r="T4701" s="27" t="n"/>
    </row>
    <row r="4702" ht="13.8" customFormat="1" customHeight="1" s="70">
      <c r="M4702" s="27" t="n"/>
      <c r="N4702" s="27" t="n"/>
      <c r="O4702" s="27" t="n"/>
      <c r="P4702" s="27" t="n"/>
      <c r="Q4702" s="27" t="n"/>
      <c r="R4702" s="27" t="n"/>
      <c r="S4702" s="27" t="n"/>
      <c r="T4702" s="27" t="n"/>
    </row>
    <row r="4703" ht="13.8" customFormat="1" customHeight="1" s="70">
      <c r="M4703" s="27" t="n"/>
      <c r="N4703" s="27" t="n"/>
      <c r="O4703" s="27" t="n"/>
      <c r="P4703" s="27" t="n"/>
      <c r="Q4703" s="27" t="n"/>
      <c r="R4703" s="27" t="n"/>
      <c r="S4703" s="27" t="n"/>
      <c r="T4703" s="27" t="n"/>
    </row>
    <row r="4704" ht="13.8" customFormat="1" customHeight="1" s="70">
      <c r="M4704" s="27" t="n"/>
      <c r="N4704" s="27" t="n"/>
      <c r="O4704" s="27" t="n"/>
      <c r="P4704" s="27" t="n"/>
      <c r="Q4704" s="27" t="n"/>
      <c r="R4704" s="27" t="n"/>
      <c r="S4704" s="27" t="n"/>
      <c r="T4704" s="27" t="n"/>
    </row>
    <row r="4705" ht="13.8" customFormat="1" customHeight="1" s="70">
      <c r="M4705" s="27" t="n"/>
      <c r="N4705" s="27" t="n"/>
      <c r="O4705" s="27" t="n"/>
      <c r="P4705" s="27" t="n"/>
      <c r="Q4705" s="27" t="n"/>
      <c r="R4705" s="27" t="n"/>
      <c r="S4705" s="27" t="n"/>
      <c r="T4705" s="27" t="n"/>
    </row>
    <row r="4706" ht="13.8" customFormat="1" customHeight="1" s="70">
      <c r="M4706" s="27" t="n"/>
      <c r="N4706" s="27" t="n"/>
      <c r="O4706" s="27" t="n"/>
      <c r="P4706" s="27" t="n"/>
      <c r="Q4706" s="27" t="n"/>
      <c r="R4706" s="27" t="n"/>
      <c r="S4706" s="27" t="n"/>
      <c r="T4706" s="27" t="n"/>
    </row>
    <row r="4707" ht="13.8" customFormat="1" customHeight="1" s="70">
      <c r="M4707" s="27" t="n"/>
      <c r="N4707" s="27" t="n"/>
      <c r="O4707" s="27" t="n"/>
      <c r="P4707" s="27" t="n"/>
      <c r="Q4707" s="27" t="n"/>
      <c r="R4707" s="27" t="n"/>
      <c r="S4707" s="27" t="n"/>
      <c r="T4707" s="27" t="n"/>
    </row>
    <row r="4708" ht="13.8" customFormat="1" customHeight="1" s="70">
      <c r="M4708" s="27" t="n"/>
      <c r="N4708" s="27" t="n"/>
      <c r="O4708" s="27" t="n"/>
      <c r="P4708" s="27" t="n"/>
      <c r="Q4708" s="27" t="n"/>
      <c r="R4708" s="27" t="n"/>
      <c r="S4708" s="27" t="n"/>
      <c r="T4708" s="27" t="n"/>
    </row>
    <row r="4709" ht="13.8" customFormat="1" customHeight="1" s="70">
      <c r="M4709" s="27" t="n"/>
      <c r="N4709" s="27" t="n"/>
      <c r="O4709" s="27" t="n"/>
      <c r="P4709" s="27" t="n"/>
      <c r="Q4709" s="27" t="n"/>
      <c r="R4709" s="27" t="n"/>
      <c r="S4709" s="27" t="n"/>
      <c r="T4709" s="27" t="n"/>
    </row>
    <row r="4710" ht="13.8" customFormat="1" customHeight="1" s="70">
      <c r="M4710" s="27" t="n"/>
      <c r="N4710" s="27" t="n"/>
      <c r="O4710" s="27" t="n"/>
      <c r="P4710" s="27" t="n"/>
      <c r="Q4710" s="27" t="n"/>
      <c r="R4710" s="27" t="n"/>
      <c r="S4710" s="27" t="n"/>
      <c r="T4710" s="27" t="n"/>
    </row>
    <row r="4711" ht="13.8" customFormat="1" customHeight="1" s="70">
      <c r="M4711" s="27" t="n"/>
      <c r="N4711" s="27" t="n"/>
      <c r="O4711" s="27" t="n"/>
      <c r="P4711" s="27" t="n"/>
      <c r="Q4711" s="27" t="n"/>
      <c r="R4711" s="27" t="n"/>
      <c r="S4711" s="27" t="n"/>
      <c r="T4711" s="27" t="n"/>
    </row>
    <row r="4712" ht="13.8" customFormat="1" customHeight="1" s="70">
      <c r="M4712" s="27" t="n"/>
      <c r="N4712" s="27" t="n"/>
      <c r="O4712" s="27" t="n"/>
      <c r="P4712" s="27" t="n"/>
      <c r="Q4712" s="27" t="n"/>
      <c r="R4712" s="27" t="n"/>
      <c r="S4712" s="27" t="n"/>
      <c r="T4712" s="27" t="n"/>
    </row>
    <row r="4713" ht="13.8" customFormat="1" customHeight="1" s="70">
      <c r="M4713" s="27" t="n"/>
      <c r="N4713" s="27" t="n"/>
      <c r="O4713" s="27" t="n"/>
      <c r="P4713" s="27" t="n"/>
      <c r="Q4713" s="27" t="n"/>
      <c r="R4713" s="27" t="n"/>
      <c r="S4713" s="27" t="n"/>
      <c r="T4713" s="27" t="n"/>
    </row>
    <row r="4714" ht="13.8" customFormat="1" customHeight="1" s="70">
      <c r="M4714" s="27" t="n"/>
      <c r="N4714" s="27" t="n"/>
      <c r="O4714" s="27" t="n"/>
      <c r="P4714" s="27" t="n"/>
      <c r="Q4714" s="27" t="n"/>
      <c r="R4714" s="27" t="n"/>
      <c r="S4714" s="27" t="n"/>
      <c r="T4714" s="27" t="n"/>
    </row>
    <row r="4715" ht="13.8" customFormat="1" customHeight="1" s="70">
      <c r="M4715" s="27" t="n"/>
      <c r="N4715" s="27" t="n"/>
      <c r="O4715" s="27" t="n"/>
      <c r="P4715" s="27" t="n"/>
      <c r="Q4715" s="27" t="n"/>
      <c r="R4715" s="27" t="n"/>
      <c r="S4715" s="27" t="n"/>
      <c r="T4715" s="27" t="n"/>
    </row>
    <row r="4716" ht="13.8" customFormat="1" customHeight="1" s="70">
      <c r="M4716" s="27" t="n"/>
      <c r="N4716" s="27" t="n"/>
      <c r="O4716" s="27" t="n"/>
      <c r="P4716" s="27" t="n"/>
      <c r="Q4716" s="27" t="n"/>
      <c r="R4716" s="27" t="n"/>
      <c r="S4716" s="27" t="n"/>
      <c r="T4716" s="27" t="n"/>
    </row>
    <row r="4717" ht="13.8" customFormat="1" customHeight="1" s="70">
      <c r="M4717" s="27" t="n"/>
      <c r="N4717" s="27" t="n"/>
      <c r="O4717" s="27" t="n"/>
      <c r="P4717" s="27" t="n"/>
      <c r="Q4717" s="27" t="n"/>
      <c r="R4717" s="27" t="n"/>
      <c r="S4717" s="27" t="n"/>
      <c r="T4717" s="27" t="n"/>
    </row>
    <row r="4718" ht="13.8" customFormat="1" customHeight="1" s="70">
      <c r="M4718" s="27" t="n"/>
      <c r="N4718" s="27" t="n"/>
      <c r="O4718" s="27" t="n"/>
      <c r="P4718" s="27" t="n"/>
      <c r="Q4718" s="27" t="n"/>
      <c r="R4718" s="27" t="n"/>
      <c r="S4718" s="27" t="n"/>
      <c r="T4718" s="27" t="n"/>
    </row>
    <row r="4719" ht="13.8" customFormat="1" customHeight="1" s="70">
      <c r="M4719" s="27" t="n"/>
      <c r="N4719" s="27" t="n"/>
      <c r="O4719" s="27" t="n"/>
      <c r="P4719" s="27" t="n"/>
      <c r="Q4719" s="27" t="n"/>
      <c r="R4719" s="27" t="n"/>
      <c r="S4719" s="27" t="n"/>
      <c r="T4719" s="27" t="n"/>
    </row>
    <row r="4720" ht="13.8" customFormat="1" customHeight="1" s="70">
      <c r="M4720" s="27" t="n"/>
      <c r="N4720" s="27" t="n"/>
      <c r="O4720" s="27" t="n"/>
      <c r="P4720" s="27" t="n"/>
      <c r="Q4720" s="27" t="n"/>
      <c r="R4720" s="27" t="n"/>
      <c r="S4720" s="27" t="n"/>
      <c r="T4720" s="27" t="n"/>
    </row>
    <row r="4721" ht="13.8" customFormat="1" customHeight="1" s="70">
      <c r="M4721" s="27" t="n"/>
      <c r="N4721" s="27" t="n"/>
      <c r="O4721" s="27" t="n"/>
      <c r="P4721" s="27" t="n"/>
      <c r="Q4721" s="27" t="n"/>
      <c r="R4721" s="27" t="n"/>
      <c r="S4721" s="27" t="n"/>
      <c r="T4721" s="27" t="n"/>
    </row>
    <row r="4722" ht="13.8" customFormat="1" customHeight="1" s="70">
      <c r="M4722" s="27" t="n"/>
      <c r="N4722" s="27" t="n"/>
      <c r="O4722" s="27" t="n"/>
      <c r="P4722" s="27" t="n"/>
      <c r="Q4722" s="27" t="n"/>
      <c r="R4722" s="27" t="n"/>
      <c r="S4722" s="27" t="n"/>
      <c r="T4722" s="27" t="n"/>
    </row>
    <row r="4723" ht="13.8" customFormat="1" customHeight="1" s="70">
      <c r="M4723" s="27" t="n"/>
      <c r="N4723" s="27" t="n"/>
      <c r="O4723" s="27" t="n"/>
      <c r="P4723" s="27" t="n"/>
      <c r="Q4723" s="27" t="n"/>
      <c r="R4723" s="27" t="n"/>
      <c r="S4723" s="27" t="n"/>
      <c r="T4723" s="27" t="n"/>
    </row>
    <row r="4724" ht="13.8" customFormat="1" customHeight="1" s="70">
      <c r="M4724" s="27" t="n"/>
      <c r="N4724" s="27" t="n"/>
      <c r="O4724" s="27" t="n"/>
      <c r="P4724" s="27" t="n"/>
      <c r="Q4724" s="27" t="n"/>
      <c r="R4724" s="27" t="n"/>
      <c r="S4724" s="27" t="n"/>
      <c r="T4724" s="27" t="n"/>
    </row>
    <row r="4725" ht="13.8" customFormat="1" customHeight="1" s="70">
      <c r="M4725" s="27" t="n"/>
      <c r="N4725" s="27" t="n"/>
      <c r="O4725" s="27" t="n"/>
      <c r="P4725" s="27" t="n"/>
      <c r="Q4725" s="27" t="n"/>
      <c r="R4725" s="27" t="n"/>
      <c r="S4725" s="27" t="n"/>
      <c r="T4725" s="27" t="n"/>
    </row>
    <row r="4726" ht="13.8" customFormat="1" customHeight="1" s="70">
      <c r="M4726" s="27" t="n"/>
      <c r="N4726" s="27" t="n"/>
      <c r="O4726" s="27" t="n"/>
      <c r="P4726" s="27" t="n"/>
      <c r="Q4726" s="27" t="n"/>
      <c r="R4726" s="27" t="n"/>
      <c r="S4726" s="27" t="n"/>
      <c r="T4726" s="27" t="n"/>
    </row>
    <row r="4727" ht="13.8" customFormat="1" customHeight="1" s="70">
      <c r="M4727" s="27" t="n"/>
      <c r="N4727" s="27" t="n"/>
      <c r="O4727" s="27" t="n"/>
      <c r="P4727" s="27" t="n"/>
      <c r="Q4727" s="27" t="n"/>
      <c r="R4727" s="27" t="n"/>
      <c r="S4727" s="27" t="n"/>
      <c r="T4727" s="27" t="n"/>
    </row>
    <row r="4728" ht="13.8" customFormat="1" customHeight="1" s="70">
      <c r="M4728" s="27" t="n"/>
      <c r="N4728" s="27" t="n"/>
      <c r="O4728" s="27" t="n"/>
      <c r="P4728" s="27" t="n"/>
      <c r="Q4728" s="27" t="n"/>
      <c r="R4728" s="27" t="n"/>
      <c r="S4728" s="27" t="n"/>
      <c r="T4728" s="27" t="n"/>
    </row>
    <row r="4729" ht="13.8" customFormat="1" customHeight="1" s="70">
      <c r="M4729" s="27" t="n"/>
      <c r="N4729" s="27" t="n"/>
      <c r="O4729" s="27" t="n"/>
      <c r="P4729" s="27" t="n"/>
      <c r="Q4729" s="27" t="n"/>
      <c r="R4729" s="27" t="n"/>
      <c r="S4729" s="27" t="n"/>
      <c r="T4729" s="27" t="n"/>
    </row>
    <row r="4730" ht="13.8" customFormat="1" customHeight="1" s="70">
      <c r="M4730" s="27" t="n"/>
      <c r="N4730" s="27" t="n"/>
      <c r="O4730" s="27" t="n"/>
      <c r="P4730" s="27" t="n"/>
      <c r="Q4730" s="27" t="n"/>
      <c r="R4730" s="27" t="n"/>
      <c r="S4730" s="27" t="n"/>
      <c r="T4730" s="27" t="n"/>
    </row>
    <row r="4731" ht="13.8" customFormat="1" customHeight="1" s="70">
      <c r="M4731" s="27" t="n"/>
      <c r="N4731" s="27" t="n"/>
      <c r="O4731" s="27" t="n"/>
      <c r="P4731" s="27" t="n"/>
      <c r="Q4731" s="27" t="n"/>
      <c r="R4731" s="27" t="n"/>
      <c r="S4731" s="27" t="n"/>
      <c r="T4731" s="27" t="n"/>
    </row>
    <row r="4732" ht="13.8" customFormat="1" customHeight="1" s="70">
      <c r="M4732" s="27" t="n"/>
      <c r="N4732" s="27" t="n"/>
      <c r="O4732" s="27" t="n"/>
      <c r="P4732" s="27" t="n"/>
      <c r="Q4732" s="27" t="n"/>
      <c r="R4732" s="27" t="n"/>
      <c r="S4732" s="27" t="n"/>
      <c r="T4732" s="27" t="n"/>
    </row>
    <row r="4733" ht="13.8" customFormat="1" customHeight="1" s="70">
      <c r="M4733" s="27" t="n"/>
      <c r="N4733" s="27" t="n"/>
      <c r="O4733" s="27" t="n"/>
      <c r="P4733" s="27" t="n"/>
      <c r="Q4733" s="27" t="n"/>
      <c r="R4733" s="27" t="n"/>
      <c r="S4733" s="27" t="n"/>
      <c r="T4733" s="27" t="n"/>
    </row>
    <row r="4734" ht="13.8" customFormat="1" customHeight="1" s="70">
      <c r="M4734" s="27" t="n"/>
      <c r="N4734" s="27" t="n"/>
      <c r="O4734" s="27" t="n"/>
      <c r="P4734" s="27" t="n"/>
      <c r="Q4734" s="27" t="n"/>
      <c r="R4734" s="27" t="n"/>
      <c r="S4734" s="27" t="n"/>
      <c r="T4734" s="27" t="n"/>
    </row>
    <row r="4735" ht="13.8" customFormat="1" customHeight="1" s="70">
      <c r="M4735" s="27" t="n"/>
      <c r="N4735" s="27" t="n"/>
      <c r="O4735" s="27" t="n"/>
      <c r="P4735" s="27" t="n"/>
      <c r="Q4735" s="27" t="n"/>
      <c r="R4735" s="27" t="n"/>
      <c r="S4735" s="27" t="n"/>
      <c r="T4735" s="27" t="n"/>
    </row>
    <row r="4736" ht="13.8" customFormat="1" customHeight="1" s="70">
      <c r="M4736" s="27" t="n"/>
      <c r="N4736" s="27" t="n"/>
      <c r="O4736" s="27" t="n"/>
      <c r="P4736" s="27" t="n"/>
      <c r="Q4736" s="27" t="n"/>
      <c r="R4736" s="27" t="n"/>
      <c r="S4736" s="27" t="n"/>
      <c r="T4736" s="27" t="n"/>
    </row>
    <row r="4737" ht="13.8" customFormat="1" customHeight="1" s="70">
      <c r="M4737" s="27" t="n"/>
      <c r="N4737" s="27" t="n"/>
      <c r="O4737" s="27" t="n"/>
      <c r="P4737" s="27" t="n"/>
      <c r="Q4737" s="27" t="n"/>
      <c r="R4737" s="27" t="n"/>
      <c r="S4737" s="27" t="n"/>
      <c r="T4737" s="27" t="n"/>
    </row>
    <row r="4738" ht="13.8" customFormat="1" customHeight="1" s="70">
      <c r="M4738" s="27" t="n"/>
      <c r="N4738" s="27" t="n"/>
      <c r="O4738" s="27" t="n"/>
      <c r="P4738" s="27" t="n"/>
      <c r="Q4738" s="27" t="n"/>
      <c r="R4738" s="27" t="n"/>
      <c r="S4738" s="27" t="n"/>
      <c r="T4738" s="27" t="n"/>
    </row>
    <row r="4739" ht="13.8" customFormat="1" customHeight="1" s="70">
      <c r="M4739" s="27" t="n"/>
      <c r="N4739" s="27" t="n"/>
      <c r="O4739" s="27" t="n"/>
      <c r="P4739" s="27" t="n"/>
      <c r="Q4739" s="27" t="n"/>
      <c r="R4739" s="27" t="n"/>
      <c r="S4739" s="27" t="n"/>
      <c r="T4739" s="27" t="n"/>
    </row>
    <row r="4740" ht="13.8" customFormat="1" customHeight="1" s="70">
      <c r="M4740" s="27" t="n"/>
      <c r="N4740" s="27" t="n"/>
      <c r="O4740" s="27" t="n"/>
      <c r="P4740" s="27" t="n"/>
      <c r="Q4740" s="27" t="n"/>
      <c r="R4740" s="27" t="n"/>
      <c r="S4740" s="27" t="n"/>
      <c r="T4740" s="27" t="n"/>
    </row>
    <row r="4741" ht="13.8" customFormat="1" customHeight="1" s="70">
      <c r="M4741" s="27" t="n"/>
      <c r="N4741" s="27" t="n"/>
      <c r="O4741" s="27" t="n"/>
      <c r="P4741" s="27" t="n"/>
      <c r="Q4741" s="27" t="n"/>
      <c r="R4741" s="27" t="n"/>
      <c r="S4741" s="27" t="n"/>
      <c r="T4741" s="27" t="n"/>
    </row>
    <row r="4742" ht="13.8" customFormat="1" customHeight="1" s="70">
      <c r="M4742" s="27" t="n"/>
      <c r="N4742" s="27" t="n"/>
      <c r="O4742" s="27" t="n"/>
      <c r="P4742" s="27" t="n"/>
      <c r="Q4742" s="27" t="n"/>
      <c r="R4742" s="27" t="n"/>
      <c r="S4742" s="27" t="n"/>
      <c r="T4742" s="27" t="n"/>
    </row>
    <row r="4743" ht="13.8" customFormat="1" customHeight="1" s="70">
      <c r="M4743" s="27" t="n"/>
      <c r="N4743" s="27" t="n"/>
      <c r="O4743" s="27" t="n"/>
      <c r="P4743" s="27" t="n"/>
      <c r="Q4743" s="27" t="n"/>
      <c r="R4743" s="27" t="n"/>
      <c r="S4743" s="27" t="n"/>
      <c r="T4743" s="27" t="n"/>
    </row>
    <row r="4744" ht="13.8" customFormat="1" customHeight="1" s="70">
      <c r="M4744" s="27" t="n"/>
      <c r="N4744" s="27" t="n"/>
      <c r="O4744" s="27" t="n"/>
      <c r="P4744" s="27" t="n"/>
      <c r="Q4744" s="27" t="n"/>
      <c r="R4744" s="27" t="n"/>
      <c r="S4744" s="27" t="n"/>
      <c r="T4744" s="27" t="n"/>
    </row>
    <row r="4745" ht="13.8" customFormat="1" customHeight="1" s="70">
      <c r="M4745" s="27" t="n"/>
      <c r="N4745" s="27" t="n"/>
      <c r="O4745" s="27" t="n"/>
      <c r="P4745" s="27" t="n"/>
      <c r="Q4745" s="27" t="n"/>
      <c r="R4745" s="27" t="n"/>
      <c r="S4745" s="27" t="n"/>
      <c r="T4745" s="27" t="n"/>
    </row>
    <row r="4746" ht="13.8" customFormat="1" customHeight="1" s="70">
      <c r="M4746" s="27" t="n"/>
      <c r="N4746" s="27" t="n"/>
      <c r="O4746" s="27" t="n"/>
      <c r="P4746" s="27" t="n"/>
      <c r="Q4746" s="27" t="n"/>
      <c r="R4746" s="27" t="n"/>
      <c r="S4746" s="27" t="n"/>
      <c r="T4746" s="27" t="n"/>
    </row>
    <row r="4747" ht="13.8" customFormat="1" customHeight="1" s="70">
      <c r="M4747" s="27" t="n"/>
      <c r="N4747" s="27" t="n"/>
      <c r="O4747" s="27" t="n"/>
      <c r="P4747" s="27" t="n"/>
      <c r="Q4747" s="27" t="n"/>
      <c r="R4747" s="27" t="n"/>
      <c r="S4747" s="27" t="n"/>
      <c r="T4747" s="27" t="n"/>
    </row>
    <row r="4748" ht="13.8" customFormat="1" customHeight="1" s="70">
      <c r="M4748" s="27" t="n"/>
      <c r="N4748" s="27" t="n"/>
      <c r="O4748" s="27" t="n"/>
      <c r="P4748" s="27" t="n"/>
      <c r="Q4748" s="27" t="n"/>
      <c r="R4748" s="27" t="n"/>
      <c r="S4748" s="27" t="n"/>
      <c r="T4748" s="27" t="n"/>
    </row>
    <row r="4749" ht="13.8" customFormat="1" customHeight="1" s="70">
      <c r="M4749" s="27" t="n"/>
      <c r="N4749" s="27" t="n"/>
      <c r="O4749" s="27" t="n"/>
      <c r="P4749" s="27" t="n"/>
      <c r="Q4749" s="27" t="n"/>
      <c r="R4749" s="27" t="n"/>
      <c r="S4749" s="27" t="n"/>
      <c r="T4749" s="27" t="n"/>
    </row>
    <row r="4750" ht="13.8" customFormat="1" customHeight="1" s="70">
      <c r="M4750" s="27" t="n"/>
      <c r="N4750" s="27" t="n"/>
      <c r="O4750" s="27" t="n"/>
      <c r="P4750" s="27" t="n"/>
      <c r="Q4750" s="27" t="n"/>
      <c r="R4750" s="27" t="n"/>
      <c r="S4750" s="27" t="n"/>
      <c r="T4750" s="27" t="n"/>
    </row>
    <row r="4751" ht="13.8" customFormat="1" customHeight="1" s="70">
      <c r="M4751" s="27" t="n"/>
      <c r="N4751" s="27" t="n"/>
      <c r="O4751" s="27" t="n"/>
      <c r="P4751" s="27" t="n"/>
      <c r="Q4751" s="27" t="n"/>
      <c r="R4751" s="27" t="n"/>
      <c r="S4751" s="27" t="n"/>
      <c r="T4751" s="27" t="n"/>
    </row>
    <row r="4752" ht="13.8" customFormat="1" customHeight="1" s="70">
      <c r="M4752" s="27" t="n"/>
      <c r="N4752" s="27" t="n"/>
      <c r="O4752" s="27" t="n"/>
      <c r="P4752" s="27" t="n"/>
      <c r="Q4752" s="27" t="n"/>
      <c r="R4752" s="27" t="n"/>
      <c r="S4752" s="27" t="n"/>
      <c r="T4752" s="27" t="n"/>
    </row>
    <row r="4753" ht="13.8" customFormat="1" customHeight="1" s="70">
      <c r="M4753" s="27" t="n"/>
      <c r="N4753" s="27" t="n"/>
      <c r="O4753" s="27" t="n"/>
      <c r="P4753" s="27" t="n"/>
      <c r="Q4753" s="27" t="n"/>
      <c r="R4753" s="27" t="n"/>
      <c r="S4753" s="27" t="n"/>
      <c r="T4753" s="27" t="n"/>
    </row>
    <row r="4754" ht="13.8" customFormat="1" customHeight="1" s="70">
      <c r="M4754" s="27" t="n"/>
      <c r="N4754" s="27" t="n"/>
      <c r="O4754" s="27" t="n"/>
      <c r="P4754" s="27" t="n"/>
      <c r="Q4754" s="27" t="n"/>
      <c r="R4754" s="27" t="n"/>
      <c r="S4754" s="27" t="n"/>
      <c r="T4754" s="27" t="n"/>
    </row>
    <row r="4755" ht="13.8" customFormat="1" customHeight="1" s="70">
      <c r="M4755" s="27" t="n"/>
      <c r="N4755" s="27" t="n"/>
      <c r="O4755" s="27" t="n"/>
      <c r="P4755" s="27" t="n"/>
      <c r="Q4755" s="27" t="n"/>
      <c r="R4755" s="27" t="n"/>
      <c r="S4755" s="27" t="n"/>
      <c r="T4755" s="27" t="n"/>
    </row>
    <row r="4756" ht="13.8" customFormat="1" customHeight="1" s="70">
      <c r="M4756" s="27" t="n"/>
      <c r="N4756" s="27" t="n"/>
      <c r="O4756" s="27" t="n"/>
      <c r="P4756" s="27" t="n"/>
      <c r="Q4756" s="27" t="n"/>
      <c r="R4756" s="27" t="n"/>
      <c r="S4756" s="27" t="n"/>
      <c r="T4756" s="27" t="n"/>
    </row>
    <row r="4757" ht="13.8" customFormat="1" customHeight="1" s="70">
      <c r="M4757" s="27" t="n"/>
      <c r="N4757" s="27" t="n"/>
      <c r="O4757" s="27" t="n"/>
      <c r="P4757" s="27" t="n"/>
      <c r="Q4757" s="27" t="n"/>
      <c r="R4757" s="27" t="n"/>
      <c r="S4757" s="27" t="n"/>
      <c r="T4757" s="27" t="n"/>
    </row>
    <row r="4758" ht="13.8" customFormat="1" customHeight="1" s="70">
      <c r="M4758" s="27" t="n"/>
      <c r="N4758" s="27" t="n"/>
      <c r="O4758" s="27" t="n"/>
      <c r="P4758" s="27" t="n"/>
      <c r="Q4758" s="27" t="n"/>
      <c r="R4758" s="27" t="n"/>
      <c r="S4758" s="27" t="n"/>
      <c r="T4758" s="27" t="n"/>
    </row>
    <row r="4759" ht="13.8" customFormat="1" customHeight="1" s="70">
      <c r="M4759" s="27" t="n"/>
      <c r="N4759" s="27" t="n"/>
      <c r="O4759" s="27" t="n"/>
      <c r="P4759" s="27" t="n"/>
      <c r="Q4759" s="27" t="n"/>
      <c r="R4759" s="27" t="n"/>
      <c r="S4759" s="27" t="n"/>
      <c r="T4759" s="27" t="n"/>
    </row>
    <row r="4760" ht="13.8" customFormat="1" customHeight="1" s="70">
      <c r="M4760" s="27" t="n"/>
      <c r="N4760" s="27" t="n"/>
      <c r="O4760" s="27" t="n"/>
      <c r="P4760" s="27" t="n"/>
      <c r="Q4760" s="27" t="n"/>
      <c r="R4760" s="27" t="n"/>
      <c r="S4760" s="27" t="n"/>
      <c r="T4760" s="27" t="n"/>
    </row>
    <row r="4761" ht="13.8" customFormat="1" customHeight="1" s="70">
      <c r="M4761" s="27" t="n"/>
      <c r="N4761" s="27" t="n"/>
      <c r="O4761" s="27" t="n"/>
      <c r="P4761" s="27" t="n"/>
      <c r="Q4761" s="27" t="n"/>
      <c r="R4761" s="27" t="n"/>
      <c r="S4761" s="27" t="n"/>
      <c r="T4761" s="27" t="n"/>
    </row>
    <row r="4762" ht="13.8" customFormat="1" customHeight="1" s="70">
      <c r="M4762" s="27" t="n"/>
      <c r="N4762" s="27" t="n"/>
      <c r="O4762" s="27" t="n"/>
      <c r="P4762" s="27" t="n"/>
      <c r="Q4762" s="27" t="n"/>
      <c r="R4762" s="27" t="n"/>
      <c r="S4762" s="27" t="n"/>
      <c r="T4762" s="27" t="n"/>
    </row>
    <row r="4763" ht="13.8" customFormat="1" customHeight="1" s="70">
      <c r="M4763" s="27" t="n"/>
      <c r="N4763" s="27" t="n"/>
      <c r="O4763" s="27" t="n"/>
      <c r="P4763" s="27" t="n"/>
      <c r="Q4763" s="27" t="n"/>
      <c r="R4763" s="27" t="n"/>
      <c r="S4763" s="27" t="n"/>
      <c r="T4763" s="27" t="n"/>
    </row>
    <row r="4764" ht="13.8" customFormat="1" customHeight="1" s="70">
      <c r="M4764" s="27" t="n"/>
      <c r="N4764" s="27" t="n"/>
      <c r="O4764" s="27" t="n"/>
      <c r="P4764" s="27" t="n"/>
      <c r="Q4764" s="27" t="n"/>
      <c r="R4764" s="27" t="n"/>
      <c r="S4764" s="27" t="n"/>
      <c r="T4764" s="27" t="n"/>
    </row>
    <row r="4765" ht="13.8" customFormat="1" customHeight="1" s="70">
      <c r="M4765" s="27" t="n"/>
      <c r="N4765" s="27" t="n"/>
      <c r="O4765" s="27" t="n"/>
      <c r="P4765" s="27" t="n"/>
      <c r="Q4765" s="27" t="n"/>
      <c r="R4765" s="27" t="n"/>
      <c r="S4765" s="27" t="n"/>
      <c r="T4765" s="27" t="n"/>
    </row>
    <row r="4766" ht="13.8" customFormat="1" customHeight="1" s="70">
      <c r="M4766" s="27" t="n"/>
      <c r="N4766" s="27" t="n"/>
      <c r="O4766" s="27" t="n"/>
      <c r="P4766" s="27" t="n"/>
      <c r="Q4766" s="27" t="n"/>
      <c r="R4766" s="27" t="n"/>
      <c r="S4766" s="27" t="n"/>
      <c r="T4766" s="27" t="n"/>
    </row>
    <row r="4767" ht="13.8" customFormat="1" customHeight="1" s="70">
      <c r="M4767" s="27" t="n"/>
      <c r="N4767" s="27" t="n"/>
      <c r="O4767" s="27" t="n"/>
      <c r="P4767" s="27" t="n"/>
      <c r="Q4767" s="27" t="n"/>
      <c r="R4767" s="27" t="n"/>
      <c r="S4767" s="27" t="n"/>
      <c r="T4767" s="27" t="n"/>
    </row>
    <row r="4768" ht="13.8" customFormat="1" customHeight="1" s="70">
      <c r="M4768" s="27" t="n"/>
      <c r="N4768" s="27" t="n"/>
      <c r="O4768" s="27" t="n"/>
      <c r="P4768" s="27" t="n"/>
      <c r="Q4768" s="27" t="n"/>
      <c r="R4768" s="27" t="n"/>
      <c r="S4768" s="27" t="n"/>
      <c r="T4768" s="27" t="n"/>
    </row>
    <row r="4769" ht="13.8" customFormat="1" customHeight="1" s="70">
      <c r="M4769" s="27" t="n"/>
      <c r="N4769" s="27" t="n"/>
      <c r="O4769" s="27" t="n"/>
      <c r="P4769" s="27" t="n"/>
      <c r="Q4769" s="27" t="n"/>
      <c r="R4769" s="27" t="n"/>
      <c r="S4769" s="27" t="n"/>
      <c r="T4769" s="27" t="n"/>
    </row>
    <row r="4770" ht="13.8" customFormat="1" customHeight="1" s="70">
      <c r="M4770" s="27" t="n"/>
      <c r="N4770" s="27" t="n"/>
      <c r="O4770" s="27" t="n"/>
      <c r="P4770" s="27" t="n"/>
      <c r="Q4770" s="27" t="n"/>
      <c r="R4770" s="27" t="n"/>
      <c r="S4770" s="27" t="n"/>
      <c r="T4770" s="27" t="n"/>
    </row>
    <row r="4771" ht="13.8" customFormat="1" customHeight="1" s="70">
      <c r="M4771" s="27" t="n"/>
      <c r="N4771" s="27" t="n"/>
      <c r="O4771" s="27" t="n"/>
      <c r="P4771" s="27" t="n"/>
      <c r="Q4771" s="27" t="n"/>
      <c r="R4771" s="27" t="n"/>
      <c r="S4771" s="27" t="n"/>
      <c r="T4771" s="27" t="n"/>
    </row>
    <row r="4772" ht="13.8" customFormat="1" customHeight="1" s="70">
      <c r="M4772" s="27" t="n"/>
      <c r="N4772" s="27" t="n"/>
      <c r="O4772" s="27" t="n"/>
      <c r="P4772" s="27" t="n"/>
      <c r="Q4772" s="27" t="n"/>
      <c r="R4772" s="27" t="n"/>
      <c r="S4772" s="27" t="n"/>
      <c r="T4772" s="27" t="n"/>
    </row>
    <row r="4773" ht="13.8" customFormat="1" customHeight="1" s="70">
      <c r="M4773" s="27" t="n"/>
      <c r="N4773" s="27" t="n"/>
      <c r="O4773" s="27" t="n"/>
      <c r="P4773" s="27" t="n"/>
      <c r="Q4773" s="27" t="n"/>
      <c r="R4773" s="27" t="n"/>
      <c r="S4773" s="27" t="n"/>
      <c r="T4773" s="27" t="n"/>
    </row>
    <row r="4774" ht="13.8" customFormat="1" customHeight="1" s="70">
      <c r="M4774" s="27" t="n"/>
      <c r="N4774" s="27" t="n"/>
      <c r="O4774" s="27" t="n"/>
      <c r="P4774" s="27" t="n"/>
      <c r="Q4774" s="27" t="n"/>
      <c r="R4774" s="27" t="n"/>
      <c r="S4774" s="27" t="n"/>
      <c r="T4774" s="27" t="n"/>
    </row>
    <row r="4775" ht="13.8" customFormat="1" customHeight="1" s="70">
      <c r="M4775" s="27" t="n"/>
      <c r="N4775" s="27" t="n"/>
      <c r="O4775" s="27" t="n"/>
      <c r="P4775" s="27" t="n"/>
      <c r="Q4775" s="27" t="n"/>
      <c r="R4775" s="27" t="n"/>
      <c r="S4775" s="27" t="n"/>
      <c r="T4775" s="27" t="n"/>
    </row>
    <row r="4776" ht="13.8" customFormat="1" customHeight="1" s="70">
      <c r="M4776" s="27" t="n"/>
      <c r="N4776" s="27" t="n"/>
      <c r="O4776" s="27" t="n"/>
      <c r="P4776" s="27" t="n"/>
      <c r="Q4776" s="27" t="n"/>
      <c r="R4776" s="27" t="n"/>
      <c r="S4776" s="27" t="n"/>
      <c r="T4776" s="27" t="n"/>
    </row>
    <row r="4777" ht="13.8" customFormat="1" customHeight="1" s="70">
      <c r="M4777" s="27" t="n"/>
      <c r="N4777" s="27" t="n"/>
      <c r="O4777" s="27" t="n"/>
      <c r="P4777" s="27" t="n"/>
      <c r="Q4777" s="27" t="n"/>
      <c r="R4777" s="27" t="n"/>
      <c r="S4777" s="27" t="n"/>
      <c r="T4777" s="27" t="n"/>
    </row>
    <row r="4778" ht="13.8" customFormat="1" customHeight="1" s="70">
      <c r="M4778" s="27" t="n"/>
      <c r="N4778" s="27" t="n"/>
      <c r="O4778" s="27" t="n"/>
      <c r="P4778" s="27" t="n"/>
      <c r="Q4778" s="27" t="n"/>
      <c r="R4778" s="27" t="n"/>
      <c r="S4778" s="27" t="n"/>
      <c r="T4778" s="27" t="n"/>
    </row>
    <row r="4779" ht="13.8" customFormat="1" customHeight="1" s="70">
      <c r="M4779" s="27" t="n"/>
      <c r="N4779" s="27" t="n"/>
      <c r="O4779" s="27" t="n"/>
      <c r="P4779" s="27" t="n"/>
      <c r="Q4779" s="27" t="n"/>
      <c r="R4779" s="27" t="n"/>
      <c r="S4779" s="27" t="n"/>
      <c r="T4779" s="27" t="n"/>
    </row>
    <row r="4780" ht="13.8" customFormat="1" customHeight="1" s="70">
      <c r="M4780" s="27" t="n"/>
      <c r="N4780" s="27" t="n"/>
      <c r="O4780" s="27" t="n"/>
      <c r="P4780" s="27" t="n"/>
      <c r="Q4780" s="27" t="n"/>
      <c r="R4780" s="27" t="n"/>
      <c r="S4780" s="27" t="n"/>
      <c r="T4780" s="27" t="n"/>
    </row>
    <row r="4781" ht="13.8" customFormat="1" customHeight="1" s="70">
      <c r="M4781" s="27" t="n"/>
      <c r="N4781" s="27" t="n"/>
      <c r="O4781" s="27" t="n"/>
      <c r="P4781" s="27" t="n"/>
      <c r="Q4781" s="27" t="n"/>
      <c r="R4781" s="27" t="n"/>
      <c r="S4781" s="27" t="n"/>
      <c r="T4781" s="27" t="n"/>
    </row>
    <row r="4782" ht="13.8" customFormat="1" customHeight="1" s="70">
      <c r="M4782" s="27" t="n"/>
      <c r="N4782" s="27" t="n"/>
      <c r="O4782" s="27" t="n"/>
      <c r="P4782" s="27" t="n"/>
      <c r="Q4782" s="27" t="n"/>
      <c r="R4782" s="27" t="n"/>
      <c r="S4782" s="27" t="n"/>
      <c r="T4782" s="27" t="n"/>
    </row>
    <row r="4783" ht="13.8" customFormat="1" customHeight="1" s="70">
      <c r="M4783" s="27" t="n"/>
      <c r="N4783" s="27" t="n"/>
      <c r="O4783" s="27" t="n"/>
      <c r="P4783" s="27" t="n"/>
      <c r="Q4783" s="27" t="n"/>
      <c r="R4783" s="27" t="n"/>
      <c r="S4783" s="27" t="n"/>
      <c r="T4783" s="27" t="n"/>
    </row>
    <row r="4784" ht="13.8" customFormat="1" customHeight="1" s="70">
      <c r="M4784" s="27" t="n"/>
      <c r="N4784" s="27" t="n"/>
      <c r="O4784" s="27" t="n"/>
      <c r="P4784" s="27" t="n"/>
      <c r="Q4784" s="27" t="n"/>
      <c r="R4784" s="27" t="n"/>
      <c r="S4784" s="27" t="n"/>
      <c r="T4784" s="27" t="n"/>
    </row>
    <row r="4785" ht="13.8" customFormat="1" customHeight="1" s="70">
      <c r="M4785" s="27" t="n"/>
      <c r="N4785" s="27" t="n"/>
      <c r="O4785" s="27" t="n"/>
      <c r="P4785" s="27" t="n"/>
      <c r="Q4785" s="27" t="n"/>
      <c r="R4785" s="27" t="n"/>
      <c r="S4785" s="27" t="n"/>
      <c r="T4785" s="27" t="n"/>
    </row>
    <row r="4786" ht="13.8" customFormat="1" customHeight="1" s="70">
      <c r="M4786" s="27" t="n"/>
      <c r="N4786" s="27" t="n"/>
      <c r="O4786" s="27" t="n"/>
      <c r="P4786" s="27" t="n"/>
      <c r="Q4786" s="27" t="n"/>
      <c r="R4786" s="27" t="n"/>
      <c r="S4786" s="27" t="n"/>
      <c r="T4786" s="27" t="n"/>
    </row>
    <row r="4787" ht="13.8" customFormat="1" customHeight="1" s="70">
      <c r="M4787" s="27" t="n"/>
      <c r="N4787" s="27" t="n"/>
      <c r="O4787" s="27" t="n"/>
      <c r="P4787" s="27" t="n"/>
      <c r="Q4787" s="27" t="n"/>
      <c r="R4787" s="27" t="n"/>
      <c r="S4787" s="27" t="n"/>
      <c r="T4787" s="27" t="n"/>
    </row>
    <row r="4788" ht="13.8" customFormat="1" customHeight="1" s="70">
      <c r="M4788" s="27" t="n"/>
      <c r="N4788" s="27" t="n"/>
      <c r="O4788" s="27" t="n"/>
      <c r="P4788" s="27" t="n"/>
      <c r="Q4788" s="27" t="n"/>
      <c r="R4788" s="27" t="n"/>
      <c r="S4788" s="27" t="n"/>
      <c r="T4788" s="27" t="n"/>
    </row>
    <row r="4789" ht="13.8" customFormat="1" customHeight="1" s="70">
      <c r="M4789" s="27" t="n"/>
      <c r="N4789" s="27" t="n"/>
      <c r="O4789" s="27" t="n"/>
      <c r="P4789" s="27" t="n"/>
      <c r="Q4789" s="27" t="n"/>
      <c r="R4789" s="27" t="n"/>
      <c r="S4789" s="27" t="n"/>
      <c r="T4789" s="27" t="n"/>
    </row>
    <row r="4790" ht="13.8" customFormat="1" customHeight="1" s="70">
      <c r="M4790" s="27" t="n"/>
      <c r="N4790" s="27" t="n"/>
      <c r="O4790" s="27" t="n"/>
      <c r="P4790" s="27" t="n"/>
      <c r="Q4790" s="27" t="n"/>
      <c r="R4790" s="27" t="n"/>
      <c r="S4790" s="27" t="n"/>
      <c r="T4790" s="27" t="n"/>
    </row>
    <row r="4791" ht="13.8" customFormat="1" customHeight="1" s="70">
      <c r="M4791" s="27" t="n"/>
      <c r="N4791" s="27" t="n"/>
      <c r="O4791" s="27" t="n"/>
      <c r="P4791" s="27" t="n"/>
      <c r="Q4791" s="27" t="n"/>
      <c r="R4791" s="27" t="n"/>
      <c r="S4791" s="27" t="n"/>
      <c r="T4791" s="27" t="n"/>
    </row>
    <row r="4792" ht="13.8" customFormat="1" customHeight="1" s="70">
      <c r="M4792" s="27" t="n"/>
      <c r="N4792" s="27" t="n"/>
      <c r="O4792" s="27" t="n"/>
      <c r="P4792" s="27" t="n"/>
      <c r="Q4792" s="27" t="n"/>
      <c r="R4792" s="27" t="n"/>
      <c r="S4792" s="27" t="n"/>
      <c r="T4792" s="27" t="n"/>
    </row>
    <row r="4793" ht="13.8" customFormat="1" customHeight="1" s="70">
      <c r="M4793" s="27" t="n"/>
      <c r="N4793" s="27" t="n"/>
      <c r="O4793" s="27" t="n"/>
      <c r="P4793" s="27" t="n"/>
      <c r="Q4793" s="27" t="n"/>
      <c r="R4793" s="27" t="n"/>
      <c r="S4793" s="27" t="n"/>
      <c r="T4793" s="27" t="n"/>
    </row>
    <row r="4794" ht="13.8" customFormat="1" customHeight="1" s="70">
      <c r="M4794" s="27" t="n"/>
      <c r="N4794" s="27" t="n"/>
      <c r="O4794" s="27" t="n"/>
      <c r="P4794" s="27" t="n"/>
      <c r="Q4794" s="27" t="n"/>
      <c r="R4794" s="27" t="n"/>
      <c r="S4794" s="27" t="n"/>
      <c r="T4794" s="27" t="n"/>
    </row>
    <row r="4795" ht="13.8" customFormat="1" customHeight="1" s="70">
      <c r="M4795" s="27" t="n"/>
      <c r="N4795" s="27" t="n"/>
      <c r="O4795" s="27" t="n"/>
      <c r="P4795" s="27" t="n"/>
      <c r="Q4795" s="27" t="n"/>
      <c r="R4795" s="27" t="n"/>
      <c r="S4795" s="27" t="n"/>
      <c r="T4795" s="27" t="n"/>
    </row>
    <row r="4796" ht="13.8" customFormat="1" customHeight="1" s="70">
      <c r="M4796" s="27" t="n"/>
      <c r="N4796" s="27" t="n"/>
      <c r="O4796" s="27" t="n"/>
      <c r="P4796" s="27" t="n"/>
      <c r="Q4796" s="27" t="n"/>
      <c r="R4796" s="27" t="n"/>
      <c r="S4796" s="27" t="n"/>
      <c r="T4796" s="27" t="n"/>
    </row>
    <row r="4797" ht="13.8" customFormat="1" customHeight="1" s="70">
      <c r="M4797" s="27" t="n"/>
      <c r="N4797" s="27" t="n"/>
      <c r="O4797" s="27" t="n"/>
      <c r="P4797" s="27" t="n"/>
      <c r="Q4797" s="27" t="n"/>
      <c r="R4797" s="27" t="n"/>
      <c r="S4797" s="27" t="n"/>
      <c r="T4797" s="27" t="n"/>
    </row>
    <row r="4798" ht="13.8" customFormat="1" customHeight="1" s="70">
      <c r="M4798" s="27" t="n"/>
      <c r="N4798" s="27" t="n"/>
      <c r="O4798" s="27" t="n"/>
      <c r="P4798" s="27" t="n"/>
      <c r="Q4798" s="27" t="n"/>
      <c r="R4798" s="27" t="n"/>
      <c r="S4798" s="27" t="n"/>
      <c r="T4798" s="27" t="n"/>
    </row>
    <row r="4799" ht="13.8" customFormat="1" customHeight="1" s="70">
      <c r="M4799" s="27" t="n"/>
      <c r="N4799" s="27" t="n"/>
      <c r="O4799" s="27" t="n"/>
      <c r="P4799" s="27" t="n"/>
      <c r="Q4799" s="27" t="n"/>
      <c r="R4799" s="27" t="n"/>
      <c r="S4799" s="27" t="n"/>
      <c r="T4799" s="27" t="n"/>
    </row>
    <row r="4800" ht="13.8" customFormat="1" customHeight="1" s="70">
      <c r="M4800" s="27" t="n"/>
      <c r="N4800" s="27" t="n"/>
      <c r="O4800" s="27" t="n"/>
      <c r="P4800" s="27" t="n"/>
      <c r="Q4800" s="27" t="n"/>
      <c r="R4800" s="27" t="n"/>
      <c r="S4800" s="27" t="n"/>
      <c r="T4800" s="27" t="n"/>
    </row>
    <row r="4801" ht="13.8" customFormat="1" customHeight="1" s="70">
      <c r="M4801" s="27" t="n"/>
      <c r="N4801" s="27" t="n"/>
      <c r="O4801" s="27" t="n"/>
      <c r="P4801" s="27" t="n"/>
      <c r="Q4801" s="27" t="n"/>
      <c r="R4801" s="27" t="n"/>
      <c r="S4801" s="27" t="n"/>
      <c r="T4801" s="27" t="n"/>
    </row>
    <row r="4802" ht="13.8" customFormat="1" customHeight="1" s="70">
      <c r="M4802" s="27" t="n"/>
      <c r="N4802" s="27" t="n"/>
      <c r="O4802" s="27" t="n"/>
      <c r="P4802" s="27" t="n"/>
      <c r="Q4802" s="27" t="n"/>
      <c r="R4802" s="27" t="n"/>
      <c r="S4802" s="27" t="n"/>
      <c r="T4802" s="27" t="n"/>
    </row>
    <row r="4803" ht="13.8" customFormat="1" customHeight="1" s="70">
      <c r="M4803" s="27" t="n"/>
      <c r="N4803" s="27" t="n"/>
      <c r="O4803" s="27" t="n"/>
      <c r="P4803" s="27" t="n"/>
      <c r="Q4803" s="27" t="n"/>
      <c r="R4803" s="27" t="n"/>
      <c r="S4803" s="27" t="n"/>
      <c r="T4803" s="27" t="n"/>
    </row>
    <row r="4804" ht="13.8" customFormat="1" customHeight="1" s="70">
      <c r="M4804" s="27" t="n"/>
      <c r="N4804" s="27" t="n"/>
      <c r="O4804" s="27" t="n"/>
      <c r="P4804" s="27" t="n"/>
      <c r="Q4804" s="27" t="n"/>
      <c r="R4804" s="27" t="n"/>
      <c r="S4804" s="27" t="n"/>
      <c r="T4804" s="27" t="n"/>
    </row>
    <row r="4805" ht="13.8" customFormat="1" customHeight="1" s="70">
      <c r="M4805" s="27" t="n"/>
      <c r="N4805" s="27" t="n"/>
      <c r="O4805" s="27" t="n"/>
      <c r="P4805" s="27" t="n"/>
      <c r="Q4805" s="27" t="n"/>
      <c r="R4805" s="27" t="n"/>
      <c r="S4805" s="27" t="n"/>
      <c r="T4805" s="27" t="n"/>
    </row>
    <row r="4806" ht="13.8" customFormat="1" customHeight="1" s="70">
      <c r="M4806" s="27" t="n"/>
      <c r="N4806" s="27" t="n"/>
      <c r="O4806" s="27" t="n"/>
      <c r="P4806" s="27" t="n"/>
      <c r="Q4806" s="27" t="n"/>
      <c r="R4806" s="27" t="n"/>
      <c r="S4806" s="27" t="n"/>
      <c r="T4806" s="27" t="n"/>
    </row>
    <row r="4807" ht="13.8" customFormat="1" customHeight="1" s="70">
      <c r="M4807" s="27" t="n"/>
      <c r="N4807" s="27" t="n"/>
      <c r="O4807" s="27" t="n"/>
      <c r="P4807" s="27" t="n"/>
      <c r="Q4807" s="27" t="n"/>
      <c r="R4807" s="27" t="n"/>
      <c r="S4807" s="27" t="n"/>
      <c r="T4807" s="27" t="n"/>
    </row>
    <row r="4808" ht="13.8" customFormat="1" customHeight="1" s="70">
      <c r="M4808" s="27" t="n"/>
      <c r="N4808" s="27" t="n"/>
      <c r="O4808" s="27" t="n"/>
      <c r="P4808" s="27" t="n"/>
      <c r="Q4808" s="27" t="n"/>
      <c r="R4808" s="27" t="n"/>
      <c r="S4808" s="27" t="n"/>
      <c r="T4808" s="27" t="n"/>
    </row>
    <row r="4809" ht="13.8" customFormat="1" customHeight="1" s="70">
      <c r="M4809" s="27" t="n"/>
      <c r="N4809" s="27" t="n"/>
      <c r="O4809" s="27" t="n"/>
      <c r="P4809" s="27" t="n"/>
      <c r="Q4809" s="27" t="n"/>
      <c r="R4809" s="27" t="n"/>
      <c r="S4809" s="27" t="n"/>
      <c r="T4809" s="27" t="n"/>
    </row>
    <row r="4810" ht="13.8" customFormat="1" customHeight="1" s="70">
      <c r="M4810" s="27" t="n"/>
      <c r="N4810" s="27" t="n"/>
      <c r="O4810" s="27" t="n"/>
      <c r="P4810" s="27" t="n"/>
      <c r="Q4810" s="27" t="n"/>
      <c r="R4810" s="27" t="n"/>
      <c r="S4810" s="27" t="n"/>
      <c r="T4810" s="27" t="n"/>
    </row>
    <row r="4811" ht="13.8" customFormat="1" customHeight="1" s="70">
      <c r="M4811" s="27" t="n"/>
      <c r="N4811" s="27" t="n"/>
      <c r="O4811" s="27" t="n"/>
      <c r="P4811" s="27" t="n"/>
      <c r="Q4811" s="27" t="n"/>
      <c r="R4811" s="27" t="n"/>
      <c r="S4811" s="27" t="n"/>
      <c r="T4811" s="27" t="n"/>
    </row>
    <row r="4812" ht="13.8" customFormat="1" customHeight="1" s="70">
      <c r="M4812" s="27" t="n"/>
      <c r="N4812" s="27" t="n"/>
      <c r="O4812" s="27" t="n"/>
      <c r="P4812" s="27" t="n"/>
      <c r="Q4812" s="27" t="n"/>
      <c r="R4812" s="27" t="n"/>
      <c r="S4812" s="27" t="n"/>
      <c r="T4812" s="27" t="n"/>
    </row>
    <row r="4813" ht="13.8" customFormat="1" customHeight="1" s="70">
      <c r="M4813" s="27" t="n"/>
      <c r="N4813" s="27" t="n"/>
      <c r="O4813" s="27" t="n"/>
      <c r="P4813" s="27" t="n"/>
      <c r="Q4813" s="27" t="n"/>
      <c r="R4813" s="27" t="n"/>
      <c r="S4813" s="27" t="n"/>
      <c r="T4813" s="27" t="n"/>
    </row>
    <row r="4814" ht="13.8" customFormat="1" customHeight="1" s="70">
      <c r="M4814" s="27" t="n"/>
      <c r="N4814" s="27" t="n"/>
      <c r="O4814" s="27" t="n"/>
      <c r="P4814" s="27" t="n"/>
      <c r="Q4814" s="27" t="n"/>
      <c r="R4814" s="27" t="n"/>
      <c r="S4814" s="27" t="n"/>
      <c r="T4814" s="27" t="n"/>
    </row>
    <row r="4815" ht="13.8" customFormat="1" customHeight="1" s="70">
      <c r="M4815" s="27" t="n"/>
      <c r="N4815" s="27" t="n"/>
      <c r="O4815" s="27" t="n"/>
      <c r="P4815" s="27" t="n"/>
      <c r="Q4815" s="27" t="n"/>
      <c r="R4815" s="27" t="n"/>
      <c r="S4815" s="27" t="n"/>
      <c r="T4815" s="27" t="n"/>
    </row>
    <row r="4816" ht="13.8" customFormat="1" customHeight="1" s="70">
      <c r="M4816" s="27" t="n"/>
      <c r="N4816" s="27" t="n"/>
      <c r="O4816" s="27" t="n"/>
      <c r="P4816" s="27" t="n"/>
      <c r="Q4816" s="27" t="n"/>
      <c r="R4816" s="27" t="n"/>
      <c r="S4816" s="27" t="n"/>
      <c r="T4816" s="27" t="n"/>
    </row>
    <row r="4817" ht="13.8" customFormat="1" customHeight="1" s="70">
      <c r="M4817" s="27" t="n"/>
      <c r="N4817" s="27" t="n"/>
      <c r="O4817" s="27" t="n"/>
      <c r="P4817" s="27" t="n"/>
      <c r="Q4817" s="27" t="n"/>
      <c r="R4817" s="27" t="n"/>
      <c r="S4817" s="27" t="n"/>
      <c r="T4817" s="27" t="n"/>
    </row>
    <row r="4818" ht="13.8" customFormat="1" customHeight="1" s="70">
      <c r="M4818" s="27" t="n"/>
      <c r="N4818" s="27" t="n"/>
      <c r="O4818" s="27" t="n"/>
      <c r="P4818" s="27" t="n"/>
      <c r="Q4818" s="27" t="n"/>
      <c r="R4818" s="27" t="n"/>
      <c r="S4818" s="27" t="n"/>
      <c r="T4818" s="27" t="n"/>
    </row>
    <row r="4819" ht="13.8" customFormat="1" customHeight="1" s="70">
      <c r="M4819" s="27" t="n"/>
      <c r="N4819" s="27" t="n"/>
      <c r="O4819" s="27" t="n"/>
      <c r="P4819" s="27" t="n"/>
      <c r="Q4819" s="27" t="n"/>
      <c r="R4819" s="27" t="n"/>
      <c r="S4819" s="27" t="n"/>
      <c r="T4819" s="27" t="n"/>
    </row>
    <row r="4820" ht="13.8" customFormat="1" customHeight="1" s="70">
      <c r="M4820" s="27" t="n"/>
      <c r="N4820" s="27" t="n"/>
      <c r="O4820" s="27" t="n"/>
      <c r="P4820" s="27" t="n"/>
      <c r="Q4820" s="27" t="n"/>
      <c r="R4820" s="27" t="n"/>
      <c r="S4820" s="27" t="n"/>
      <c r="T4820" s="27" t="n"/>
    </row>
    <row r="4821" ht="13.8" customFormat="1" customHeight="1" s="70">
      <c r="M4821" s="27" t="n"/>
      <c r="N4821" s="27" t="n"/>
      <c r="O4821" s="27" t="n"/>
      <c r="P4821" s="27" t="n"/>
      <c r="Q4821" s="27" t="n"/>
      <c r="R4821" s="27" t="n"/>
      <c r="S4821" s="27" t="n"/>
      <c r="T4821" s="27" t="n"/>
    </row>
    <row r="4822" ht="13.8" customFormat="1" customHeight="1" s="70">
      <c r="M4822" s="27" t="n"/>
      <c r="N4822" s="27" t="n"/>
      <c r="O4822" s="27" t="n"/>
      <c r="P4822" s="27" t="n"/>
      <c r="Q4822" s="27" t="n"/>
      <c r="R4822" s="27" t="n"/>
      <c r="S4822" s="27" t="n"/>
      <c r="T4822" s="27" t="n"/>
    </row>
    <row r="4823" ht="13.8" customFormat="1" customHeight="1" s="70">
      <c r="M4823" s="27" t="n"/>
      <c r="N4823" s="27" t="n"/>
      <c r="O4823" s="27" t="n"/>
      <c r="P4823" s="27" t="n"/>
      <c r="Q4823" s="27" t="n"/>
      <c r="R4823" s="27" t="n"/>
      <c r="S4823" s="27" t="n"/>
      <c r="T4823" s="27" t="n"/>
    </row>
    <row r="4824" ht="13.8" customFormat="1" customHeight="1" s="70">
      <c r="M4824" s="27" t="n"/>
      <c r="N4824" s="27" t="n"/>
      <c r="O4824" s="27" t="n"/>
      <c r="P4824" s="27" t="n"/>
      <c r="Q4824" s="27" t="n"/>
      <c r="R4824" s="27" t="n"/>
      <c r="S4824" s="27" t="n"/>
      <c r="T4824" s="27" t="n"/>
    </row>
    <row r="4825" ht="13.8" customFormat="1" customHeight="1" s="70">
      <c r="M4825" s="27" t="n"/>
      <c r="N4825" s="27" t="n"/>
      <c r="O4825" s="27" t="n"/>
      <c r="P4825" s="27" t="n"/>
      <c r="Q4825" s="27" t="n"/>
      <c r="R4825" s="27" t="n"/>
      <c r="S4825" s="27" t="n"/>
      <c r="T4825" s="27" t="n"/>
    </row>
    <row r="4826" ht="13.8" customFormat="1" customHeight="1" s="70">
      <c r="M4826" s="27" t="n"/>
      <c r="N4826" s="27" t="n"/>
      <c r="O4826" s="27" t="n"/>
      <c r="P4826" s="27" t="n"/>
      <c r="Q4826" s="27" t="n"/>
      <c r="R4826" s="27" t="n"/>
      <c r="S4826" s="27" t="n"/>
      <c r="T4826" s="27" t="n"/>
    </row>
    <row r="4827" ht="13.8" customFormat="1" customHeight="1" s="70">
      <c r="M4827" s="27" t="n"/>
      <c r="N4827" s="27" t="n"/>
      <c r="O4827" s="27" t="n"/>
      <c r="P4827" s="27" t="n"/>
      <c r="Q4827" s="27" t="n"/>
      <c r="R4827" s="27" t="n"/>
      <c r="S4827" s="27" t="n"/>
      <c r="T4827" s="27" t="n"/>
    </row>
    <row r="4828" ht="13.8" customFormat="1" customHeight="1" s="70">
      <c r="M4828" s="27" t="n"/>
      <c r="N4828" s="27" t="n"/>
      <c r="O4828" s="27" t="n"/>
      <c r="P4828" s="27" t="n"/>
      <c r="Q4828" s="27" t="n"/>
      <c r="R4828" s="27" t="n"/>
      <c r="S4828" s="27" t="n"/>
      <c r="T4828" s="27" t="n"/>
    </row>
    <row r="4829" ht="13.8" customFormat="1" customHeight="1" s="70">
      <c r="M4829" s="27" t="n"/>
      <c r="N4829" s="27" t="n"/>
      <c r="O4829" s="27" t="n"/>
      <c r="P4829" s="27" t="n"/>
      <c r="Q4829" s="27" t="n"/>
      <c r="R4829" s="27" t="n"/>
      <c r="S4829" s="27" t="n"/>
      <c r="T4829" s="27" t="n"/>
    </row>
    <row r="4830" ht="13.8" customFormat="1" customHeight="1" s="70">
      <c r="M4830" s="27" t="n"/>
      <c r="N4830" s="27" t="n"/>
      <c r="O4830" s="27" t="n"/>
      <c r="P4830" s="27" t="n"/>
      <c r="Q4830" s="27" t="n"/>
      <c r="R4830" s="27" t="n"/>
      <c r="S4830" s="27" t="n"/>
      <c r="T4830" s="27" t="n"/>
    </row>
    <row r="4831" ht="13.8" customFormat="1" customHeight="1" s="70">
      <c r="M4831" s="27" t="n"/>
      <c r="N4831" s="27" t="n"/>
      <c r="O4831" s="27" t="n"/>
      <c r="P4831" s="27" t="n"/>
      <c r="Q4831" s="27" t="n"/>
      <c r="R4831" s="27" t="n"/>
      <c r="S4831" s="27" t="n"/>
      <c r="T4831" s="27" t="n"/>
    </row>
    <row r="4832" ht="13.8" customFormat="1" customHeight="1" s="70">
      <c r="M4832" s="27" t="n"/>
      <c r="N4832" s="27" t="n"/>
      <c r="O4832" s="27" t="n"/>
      <c r="P4832" s="27" t="n"/>
      <c r="Q4832" s="27" t="n"/>
      <c r="R4832" s="27" t="n"/>
      <c r="S4832" s="27" t="n"/>
      <c r="T4832" s="27" t="n"/>
    </row>
    <row r="4833" ht="13.8" customFormat="1" customHeight="1" s="70">
      <c r="M4833" s="27" t="n"/>
      <c r="N4833" s="27" t="n"/>
      <c r="O4833" s="27" t="n"/>
      <c r="P4833" s="27" t="n"/>
      <c r="Q4833" s="27" t="n"/>
      <c r="R4833" s="27" t="n"/>
      <c r="S4833" s="27" t="n"/>
      <c r="T4833" s="27" t="n"/>
    </row>
    <row r="4834" ht="13.8" customFormat="1" customHeight="1" s="70">
      <c r="M4834" s="27" t="n"/>
      <c r="N4834" s="27" t="n"/>
      <c r="O4834" s="27" t="n"/>
      <c r="P4834" s="27" t="n"/>
      <c r="Q4834" s="27" t="n"/>
      <c r="R4834" s="27" t="n"/>
      <c r="S4834" s="27" t="n"/>
      <c r="T4834" s="27" t="n"/>
    </row>
    <row r="4835" ht="13.8" customFormat="1" customHeight="1" s="70">
      <c r="M4835" s="27" t="n"/>
      <c r="N4835" s="27" t="n"/>
      <c r="O4835" s="27" t="n"/>
      <c r="P4835" s="27" t="n"/>
      <c r="Q4835" s="27" t="n"/>
      <c r="R4835" s="27" t="n"/>
      <c r="S4835" s="27" t="n"/>
      <c r="T4835" s="27" t="n"/>
    </row>
    <row r="4836" ht="13.8" customFormat="1" customHeight="1" s="70">
      <c r="M4836" s="27" t="n"/>
      <c r="N4836" s="27" t="n"/>
      <c r="O4836" s="27" t="n"/>
      <c r="P4836" s="27" t="n"/>
      <c r="Q4836" s="27" t="n"/>
      <c r="R4836" s="27" t="n"/>
      <c r="S4836" s="27" t="n"/>
      <c r="T4836" s="27" t="n"/>
    </row>
    <row r="4837" ht="13.8" customFormat="1" customHeight="1" s="70">
      <c r="M4837" s="27" t="n"/>
      <c r="N4837" s="27" t="n"/>
      <c r="O4837" s="27" t="n"/>
      <c r="P4837" s="27" t="n"/>
      <c r="Q4837" s="27" t="n"/>
      <c r="R4837" s="27" t="n"/>
      <c r="S4837" s="27" t="n"/>
      <c r="T4837" s="27" t="n"/>
    </row>
    <row r="4838" ht="13.8" customFormat="1" customHeight="1" s="70">
      <c r="M4838" s="27" t="n"/>
      <c r="N4838" s="27" t="n"/>
      <c r="O4838" s="27" t="n"/>
      <c r="P4838" s="27" t="n"/>
      <c r="Q4838" s="27" t="n"/>
      <c r="R4838" s="27" t="n"/>
      <c r="S4838" s="27" t="n"/>
      <c r="T4838" s="27" t="n"/>
    </row>
    <row r="4839" ht="13.8" customFormat="1" customHeight="1" s="70">
      <c r="M4839" s="27" t="n"/>
      <c r="N4839" s="27" t="n"/>
      <c r="O4839" s="27" t="n"/>
      <c r="P4839" s="27" t="n"/>
      <c r="Q4839" s="27" t="n"/>
      <c r="R4839" s="27" t="n"/>
      <c r="S4839" s="27" t="n"/>
      <c r="T4839" s="27" t="n"/>
    </row>
    <row r="4840" ht="13.8" customFormat="1" customHeight="1" s="70">
      <c r="M4840" s="27" t="n"/>
      <c r="N4840" s="27" t="n"/>
      <c r="O4840" s="27" t="n"/>
      <c r="P4840" s="27" t="n"/>
      <c r="Q4840" s="27" t="n"/>
      <c r="R4840" s="27" t="n"/>
      <c r="S4840" s="27" t="n"/>
      <c r="T4840" s="27" t="n"/>
    </row>
    <row r="4841" ht="13.8" customFormat="1" customHeight="1" s="70">
      <c r="M4841" s="27" t="n"/>
      <c r="N4841" s="27" t="n"/>
      <c r="O4841" s="27" t="n"/>
      <c r="P4841" s="27" t="n"/>
      <c r="Q4841" s="27" t="n"/>
      <c r="R4841" s="27" t="n"/>
      <c r="S4841" s="27" t="n"/>
      <c r="T4841" s="27" t="n"/>
    </row>
    <row r="4842" ht="13.8" customFormat="1" customHeight="1" s="70">
      <c r="M4842" s="27" t="n"/>
      <c r="N4842" s="27" t="n"/>
      <c r="O4842" s="27" t="n"/>
      <c r="P4842" s="27" t="n"/>
      <c r="Q4842" s="27" t="n"/>
      <c r="R4842" s="27" t="n"/>
      <c r="S4842" s="27" t="n"/>
      <c r="T4842" s="27" t="n"/>
    </row>
    <row r="4843" ht="13.8" customFormat="1" customHeight="1" s="70">
      <c r="M4843" s="27" t="n"/>
      <c r="N4843" s="27" t="n"/>
      <c r="O4843" s="27" t="n"/>
      <c r="P4843" s="27" t="n"/>
      <c r="Q4843" s="27" t="n"/>
      <c r="R4843" s="27" t="n"/>
      <c r="S4843" s="27" t="n"/>
      <c r="T4843" s="27" t="n"/>
    </row>
    <row r="4844" ht="13.8" customFormat="1" customHeight="1" s="70">
      <c r="M4844" s="27" t="n"/>
      <c r="N4844" s="27" t="n"/>
      <c r="O4844" s="27" t="n"/>
      <c r="P4844" s="27" t="n"/>
      <c r="Q4844" s="27" t="n"/>
      <c r="R4844" s="27" t="n"/>
      <c r="S4844" s="27" t="n"/>
      <c r="T4844" s="27" t="n"/>
    </row>
    <row r="4845" ht="13.8" customFormat="1" customHeight="1" s="70">
      <c r="M4845" s="27" t="n"/>
      <c r="N4845" s="27" t="n"/>
      <c r="O4845" s="27" t="n"/>
      <c r="P4845" s="27" t="n"/>
      <c r="Q4845" s="27" t="n"/>
      <c r="R4845" s="27" t="n"/>
      <c r="S4845" s="27" t="n"/>
      <c r="T4845" s="27" t="n"/>
    </row>
    <row r="4846" ht="13.8" customFormat="1" customHeight="1" s="70">
      <c r="M4846" s="27" t="n"/>
      <c r="N4846" s="27" t="n"/>
      <c r="O4846" s="27" t="n"/>
      <c r="P4846" s="27" t="n"/>
      <c r="Q4846" s="27" t="n"/>
      <c r="R4846" s="27" t="n"/>
      <c r="S4846" s="27" t="n"/>
      <c r="T4846" s="27" t="n"/>
    </row>
    <row r="4847" ht="13.8" customFormat="1" customHeight="1" s="70">
      <c r="M4847" s="27" t="n"/>
      <c r="N4847" s="27" t="n"/>
      <c r="O4847" s="27" t="n"/>
      <c r="P4847" s="27" t="n"/>
      <c r="Q4847" s="27" t="n"/>
      <c r="R4847" s="27" t="n"/>
      <c r="S4847" s="27" t="n"/>
      <c r="T4847" s="27" t="n"/>
    </row>
    <row r="4848" ht="13.8" customFormat="1" customHeight="1" s="70">
      <c r="M4848" s="27" t="n"/>
      <c r="N4848" s="27" t="n"/>
      <c r="O4848" s="27" t="n"/>
      <c r="P4848" s="27" t="n"/>
      <c r="Q4848" s="27" t="n"/>
      <c r="R4848" s="27" t="n"/>
      <c r="S4848" s="27" t="n"/>
      <c r="T4848" s="27" t="n"/>
    </row>
    <row r="4849" ht="13.8" customFormat="1" customHeight="1" s="70">
      <c r="M4849" s="27" t="n"/>
      <c r="N4849" s="27" t="n"/>
      <c r="O4849" s="27" t="n"/>
      <c r="P4849" s="27" t="n"/>
      <c r="Q4849" s="27" t="n"/>
      <c r="R4849" s="27" t="n"/>
      <c r="S4849" s="27" t="n"/>
      <c r="T4849" s="27" t="n"/>
    </row>
    <row r="4850" ht="13.8" customFormat="1" customHeight="1" s="70">
      <c r="M4850" s="27" t="n"/>
      <c r="N4850" s="27" t="n"/>
      <c r="O4850" s="27" t="n"/>
      <c r="P4850" s="27" t="n"/>
      <c r="Q4850" s="27" t="n"/>
      <c r="R4850" s="27" t="n"/>
      <c r="S4850" s="27" t="n"/>
      <c r="T4850" s="27" t="n"/>
    </row>
    <row r="4851" ht="13.8" customFormat="1" customHeight="1" s="70">
      <c r="M4851" s="27" t="n"/>
      <c r="N4851" s="27" t="n"/>
      <c r="O4851" s="27" t="n"/>
      <c r="P4851" s="27" t="n"/>
      <c r="Q4851" s="27" t="n"/>
      <c r="R4851" s="27" t="n"/>
      <c r="S4851" s="27" t="n"/>
      <c r="T4851" s="27" t="n"/>
    </row>
    <row r="4852" ht="13.8" customFormat="1" customHeight="1" s="70">
      <c r="M4852" s="27" t="n"/>
      <c r="N4852" s="27" t="n"/>
      <c r="O4852" s="27" t="n"/>
      <c r="P4852" s="27" t="n"/>
      <c r="Q4852" s="27" t="n"/>
      <c r="R4852" s="27" t="n"/>
      <c r="S4852" s="27" t="n"/>
      <c r="T4852" s="27" t="n"/>
    </row>
    <row r="4853" ht="13.8" customFormat="1" customHeight="1" s="70">
      <c r="M4853" s="27" t="n"/>
      <c r="N4853" s="27" t="n"/>
      <c r="O4853" s="27" t="n"/>
      <c r="P4853" s="27" t="n"/>
      <c r="Q4853" s="27" t="n"/>
      <c r="R4853" s="27" t="n"/>
      <c r="S4853" s="27" t="n"/>
      <c r="T4853" s="27" t="n"/>
    </row>
    <row r="4854" ht="13.8" customFormat="1" customHeight="1" s="70">
      <c r="M4854" s="27" t="n"/>
      <c r="N4854" s="27" t="n"/>
      <c r="O4854" s="27" t="n"/>
      <c r="P4854" s="27" t="n"/>
      <c r="Q4854" s="27" t="n"/>
      <c r="R4854" s="27" t="n"/>
      <c r="S4854" s="27" t="n"/>
      <c r="T4854" s="27" t="n"/>
    </row>
    <row r="4855" ht="13.8" customFormat="1" customHeight="1" s="70">
      <c r="M4855" s="27" t="n"/>
      <c r="N4855" s="27" t="n"/>
      <c r="O4855" s="27" t="n"/>
      <c r="P4855" s="27" t="n"/>
      <c r="Q4855" s="27" t="n"/>
      <c r="R4855" s="27" t="n"/>
      <c r="S4855" s="27" t="n"/>
      <c r="T4855" s="27" t="n"/>
    </row>
    <row r="4856" ht="13.8" customFormat="1" customHeight="1" s="70">
      <c r="M4856" s="27" t="n"/>
      <c r="N4856" s="27" t="n"/>
      <c r="O4856" s="27" t="n"/>
      <c r="P4856" s="27" t="n"/>
      <c r="Q4856" s="27" t="n"/>
      <c r="R4856" s="27" t="n"/>
      <c r="S4856" s="27" t="n"/>
      <c r="T4856" s="27" t="n"/>
    </row>
    <row r="4857" ht="13.8" customFormat="1" customHeight="1" s="70">
      <c r="M4857" s="27" t="n"/>
      <c r="N4857" s="27" t="n"/>
      <c r="O4857" s="27" t="n"/>
      <c r="P4857" s="27" t="n"/>
      <c r="Q4857" s="27" t="n"/>
      <c r="R4857" s="27" t="n"/>
      <c r="S4857" s="27" t="n"/>
      <c r="T4857" s="27" t="n"/>
    </row>
    <row r="4858" ht="13.8" customFormat="1" customHeight="1" s="70">
      <c r="M4858" s="27" t="n"/>
      <c r="N4858" s="27" t="n"/>
      <c r="O4858" s="27" t="n"/>
      <c r="P4858" s="27" t="n"/>
      <c r="Q4858" s="27" t="n"/>
      <c r="R4858" s="27" t="n"/>
      <c r="S4858" s="27" t="n"/>
      <c r="T4858" s="27" t="n"/>
    </row>
    <row r="4859" ht="13.8" customFormat="1" customHeight="1" s="70">
      <c r="M4859" s="27" t="n"/>
      <c r="N4859" s="27" t="n"/>
      <c r="O4859" s="27" t="n"/>
      <c r="P4859" s="27" t="n"/>
      <c r="Q4859" s="27" t="n"/>
      <c r="R4859" s="27" t="n"/>
      <c r="S4859" s="27" t="n"/>
      <c r="T4859" s="27" t="n"/>
    </row>
    <row r="4860" ht="13.8" customFormat="1" customHeight="1" s="70">
      <c r="M4860" s="27" t="n"/>
      <c r="N4860" s="27" t="n"/>
      <c r="O4860" s="27" t="n"/>
      <c r="P4860" s="27" t="n"/>
      <c r="Q4860" s="27" t="n"/>
      <c r="R4860" s="27" t="n"/>
      <c r="S4860" s="27" t="n"/>
      <c r="T4860" s="27" t="n"/>
    </row>
    <row r="4861" ht="13.8" customFormat="1" customHeight="1" s="70">
      <c r="M4861" s="27" t="n"/>
      <c r="N4861" s="27" t="n"/>
      <c r="O4861" s="27" t="n"/>
      <c r="P4861" s="27" t="n"/>
      <c r="Q4861" s="27" t="n"/>
      <c r="R4861" s="27" t="n"/>
      <c r="S4861" s="27" t="n"/>
      <c r="T4861" s="27" t="n"/>
    </row>
    <row r="4862" ht="13.8" customFormat="1" customHeight="1" s="70">
      <c r="M4862" s="27" t="n"/>
      <c r="N4862" s="27" t="n"/>
      <c r="O4862" s="27" t="n"/>
      <c r="P4862" s="27" t="n"/>
      <c r="Q4862" s="27" t="n"/>
      <c r="R4862" s="27" t="n"/>
      <c r="S4862" s="27" t="n"/>
      <c r="T4862" s="27" t="n"/>
    </row>
    <row r="4863" ht="13.8" customFormat="1" customHeight="1" s="70">
      <c r="M4863" s="27" t="n"/>
      <c r="N4863" s="27" t="n"/>
      <c r="O4863" s="27" t="n"/>
      <c r="P4863" s="27" t="n"/>
      <c r="Q4863" s="27" t="n"/>
      <c r="R4863" s="27" t="n"/>
      <c r="S4863" s="27" t="n"/>
      <c r="T4863" s="27" t="n"/>
    </row>
    <row r="4864" ht="13.8" customFormat="1" customHeight="1" s="70">
      <c r="M4864" s="27" t="n"/>
      <c r="N4864" s="27" t="n"/>
      <c r="O4864" s="27" t="n"/>
      <c r="P4864" s="27" t="n"/>
      <c r="Q4864" s="27" t="n"/>
      <c r="R4864" s="27" t="n"/>
      <c r="S4864" s="27" t="n"/>
      <c r="T4864" s="27" t="n"/>
    </row>
    <row r="4865" ht="13.8" customFormat="1" customHeight="1" s="70">
      <c r="M4865" s="27" t="n"/>
      <c r="N4865" s="27" t="n"/>
      <c r="O4865" s="27" t="n"/>
      <c r="P4865" s="27" t="n"/>
      <c r="Q4865" s="27" t="n"/>
      <c r="R4865" s="27" t="n"/>
      <c r="S4865" s="27" t="n"/>
      <c r="T4865" s="27" t="n"/>
    </row>
    <row r="4866" ht="13.8" customFormat="1" customHeight="1" s="70">
      <c r="M4866" s="27" t="n"/>
      <c r="N4866" s="27" t="n"/>
      <c r="O4866" s="27" t="n"/>
      <c r="P4866" s="27" t="n"/>
      <c r="Q4866" s="27" t="n"/>
      <c r="R4866" s="27" t="n"/>
      <c r="S4866" s="27" t="n"/>
      <c r="T4866" s="27" t="n"/>
    </row>
    <row r="4867" ht="13.8" customFormat="1" customHeight="1" s="70">
      <c r="M4867" s="27" t="n"/>
      <c r="N4867" s="27" t="n"/>
      <c r="O4867" s="27" t="n"/>
      <c r="P4867" s="27" t="n"/>
      <c r="Q4867" s="27" t="n"/>
      <c r="R4867" s="27" t="n"/>
      <c r="S4867" s="27" t="n"/>
      <c r="T4867" s="27" t="n"/>
    </row>
    <row r="4868" ht="13.8" customFormat="1" customHeight="1" s="70">
      <c r="M4868" s="27" t="n"/>
      <c r="N4868" s="27" t="n"/>
      <c r="O4868" s="27" t="n"/>
      <c r="P4868" s="27" t="n"/>
      <c r="Q4868" s="27" t="n"/>
      <c r="R4868" s="27" t="n"/>
      <c r="S4868" s="27" t="n"/>
      <c r="T4868" s="27" t="n"/>
    </row>
    <row r="4869" ht="13.8" customFormat="1" customHeight="1" s="70">
      <c r="M4869" s="27" t="n"/>
      <c r="N4869" s="27" t="n"/>
      <c r="O4869" s="27" t="n"/>
      <c r="P4869" s="27" t="n"/>
      <c r="Q4869" s="27" t="n"/>
      <c r="R4869" s="27" t="n"/>
      <c r="S4869" s="27" t="n"/>
      <c r="T4869" s="27" t="n"/>
    </row>
    <row r="4870" ht="13.8" customFormat="1" customHeight="1" s="70">
      <c r="M4870" s="27" t="n"/>
      <c r="N4870" s="27" t="n"/>
      <c r="O4870" s="27" t="n"/>
      <c r="P4870" s="27" t="n"/>
      <c r="Q4870" s="27" t="n"/>
      <c r="R4870" s="27" t="n"/>
      <c r="S4870" s="27" t="n"/>
      <c r="T4870" s="27" t="n"/>
    </row>
    <row r="4871" ht="13.8" customFormat="1" customHeight="1" s="70">
      <c r="M4871" s="27" t="n"/>
      <c r="N4871" s="27" t="n"/>
      <c r="O4871" s="27" t="n"/>
      <c r="P4871" s="27" t="n"/>
      <c r="Q4871" s="27" t="n"/>
      <c r="R4871" s="27" t="n"/>
      <c r="S4871" s="27" t="n"/>
      <c r="T4871" s="27" t="n"/>
    </row>
    <row r="4872" ht="13.8" customFormat="1" customHeight="1" s="70">
      <c r="M4872" s="27" t="n"/>
      <c r="N4872" s="27" t="n"/>
      <c r="O4872" s="27" t="n"/>
      <c r="P4872" s="27" t="n"/>
      <c r="Q4872" s="27" t="n"/>
      <c r="R4872" s="27" t="n"/>
      <c r="S4872" s="27" t="n"/>
      <c r="T4872" s="27" t="n"/>
    </row>
    <row r="4873" ht="13.8" customFormat="1" customHeight="1" s="70">
      <c r="M4873" s="27" t="n"/>
      <c r="N4873" s="27" t="n"/>
      <c r="O4873" s="27" t="n"/>
      <c r="P4873" s="27" t="n"/>
      <c r="Q4873" s="27" t="n"/>
      <c r="R4873" s="27" t="n"/>
      <c r="S4873" s="27" t="n"/>
      <c r="T4873" s="27" t="n"/>
    </row>
    <row r="4874" ht="13.8" customFormat="1" customHeight="1" s="70">
      <c r="M4874" s="27" t="n"/>
      <c r="N4874" s="27" t="n"/>
      <c r="O4874" s="27" t="n"/>
      <c r="P4874" s="27" t="n"/>
      <c r="Q4874" s="27" t="n"/>
      <c r="R4874" s="27" t="n"/>
      <c r="S4874" s="27" t="n"/>
      <c r="T4874" s="27" t="n"/>
    </row>
    <row r="4875" ht="13.8" customFormat="1" customHeight="1" s="70">
      <c r="M4875" s="27" t="n"/>
      <c r="N4875" s="27" t="n"/>
      <c r="O4875" s="27" t="n"/>
      <c r="P4875" s="27" t="n"/>
      <c r="Q4875" s="27" t="n"/>
      <c r="R4875" s="27" t="n"/>
      <c r="S4875" s="27" t="n"/>
      <c r="T4875" s="27" t="n"/>
    </row>
    <row r="4876" ht="13.8" customFormat="1" customHeight="1" s="70">
      <c r="M4876" s="27" t="n"/>
      <c r="N4876" s="27" t="n"/>
      <c r="O4876" s="27" t="n"/>
      <c r="P4876" s="27" t="n"/>
      <c r="Q4876" s="27" t="n"/>
      <c r="R4876" s="27" t="n"/>
      <c r="S4876" s="27" t="n"/>
      <c r="T4876" s="27" t="n"/>
    </row>
    <row r="4877" ht="13.8" customFormat="1" customHeight="1" s="70">
      <c r="M4877" s="27" t="n"/>
      <c r="N4877" s="27" t="n"/>
      <c r="O4877" s="27" t="n"/>
      <c r="P4877" s="27" t="n"/>
      <c r="Q4877" s="27" t="n"/>
      <c r="R4877" s="27" t="n"/>
      <c r="S4877" s="27" t="n"/>
      <c r="T4877" s="27" t="n"/>
    </row>
    <row r="4878" ht="13.8" customFormat="1" customHeight="1" s="70">
      <c r="M4878" s="27" t="n"/>
      <c r="N4878" s="27" t="n"/>
      <c r="O4878" s="27" t="n"/>
      <c r="P4878" s="27" t="n"/>
      <c r="Q4878" s="27" t="n"/>
      <c r="R4878" s="27" t="n"/>
      <c r="S4878" s="27" t="n"/>
      <c r="T4878" s="27" t="n"/>
    </row>
    <row r="4879" ht="13.8" customFormat="1" customHeight="1" s="70">
      <c r="M4879" s="27" t="n"/>
      <c r="N4879" s="27" t="n"/>
      <c r="O4879" s="27" t="n"/>
      <c r="P4879" s="27" t="n"/>
      <c r="Q4879" s="27" t="n"/>
      <c r="R4879" s="27" t="n"/>
      <c r="S4879" s="27" t="n"/>
      <c r="T4879" s="27" t="n"/>
    </row>
    <row r="4880" ht="13.8" customFormat="1" customHeight="1" s="70">
      <c r="M4880" s="27" t="n"/>
      <c r="N4880" s="27" t="n"/>
      <c r="O4880" s="27" t="n"/>
      <c r="P4880" s="27" t="n"/>
      <c r="Q4880" s="27" t="n"/>
      <c r="R4880" s="27" t="n"/>
      <c r="S4880" s="27" t="n"/>
      <c r="T4880" s="27" t="n"/>
    </row>
    <row r="4881" ht="13.8" customFormat="1" customHeight="1" s="70">
      <c r="M4881" s="27" t="n"/>
      <c r="N4881" s="27" t="n"/>
      <c r="O4881" s="27" t="n"/>
      <c r="P4881" s="27" t="n"/>
      <c r="Q4881" s="27" t="n"/>
      <c r="R4881" s="27" t="n"/>
      <c r="S4881" s="27" t="n"/>
      <c r="T4881" s="27" t="n"/>
    </row>
    <row r="4882" ht="13.8" customFormat="1" customHeight="1" s="70">
      <c r="M4882" s="27" t="n"/>
      <c r="N4882" s="27" t="n"/>
      <c r="O4882" s="27" t="n"/>
      <c r="P4882" s="27" t="n"/>
      <c r="Q4882" s="27" t="n"/>
      <c r="R4882" s="27" t="n"/>
      <c r="S4882" s="27" t="n"/>
      <c r="T4882" s="27" t="n"/>
    </row>
    <row r="4883" ht="13.8" customFormat="1" customHeight="1" s="70">
      <c r="M4883" s="27" t="n"/>
      <c r="N4883" s="27" t="n"/>
      <c r="O4883" s="27" t="n"/>
      <c r="P4883" s="27" t="n"/>
      <c r="Q4883" s="27" t="n"/>
      <c r="R4883" s="27" t="n"/>
      <c r="S4883" s="27" t="n"/>
      <c r="T4883" s="27" t="n"/>
    </row>
    <row r="4884" ht="13.8" customFormat="1" customHeight="1" s="70">
      <c r="M4884" s="27" t="n"/>
      <c r="N4884" s="27" t="n"/>
      <c r="O4884" s="27" t="n"/>
      <c r="P4884" s="27" t="n"/>
      <c r="Q4884" s="27" t="n"/>
      <c r="R4884" s="27" t="n"/>
      <c r="S4884" s="27" t="n"/>
      <c r="T4884" s="27" t="n"/>
    </row>
    <row r="4885" ht="13.8" customFormat="1" customHeight="1" s="70">
      <c r="M4885" s="27" t="n"/>
      <c r="N4885" s="27" t="n"/>
      <c r="O4885" s="27" t="n"/>
      <c r="P4885" s="27" t="n"/>
      <c r="Q4885" s="27" t="n"/>
      <c r="R4885" s="27" t="n"/>
      <c r="S4885" s="27" t="n"/>
      <c r="T4885" s="27" t="n"/>
    </row>
    <row r="4886" ht="13.8" customFormat="1" customHeight="1" s="70">
      <c r="M4886" s="27" t="n"/>
      <c r="N4886" s="27" t="n"/>
      <c r="O4886" s="27" t="n"/>
      <c r="P4886" s="27" t="n"/>
      <c r="Q4886" s="27" t="n"/>
      <c r="R4886" s="27" t="n"/>
      <c r="S4886" s="27" t="n"/>
      <c r="T4886" s="27" t="n"/>
    </row>
    <row r="4887" ht="13.8" customFormat="1" customHeight="1" s="70">
      <c r="M4887" s="27" t="n"/>
      <c r="N4887" s="27" t="n"/>
      <c r="O4887" s="27" t="n"/>
      <c r="P4887" s="27" t="n"/>
      <c r="Q4887" s="27" t="n"/>
      <c r="R4887" s="27" t="n"/>
      <c r="S4887" s="27" t="n"/>
      <c r="T4887" s="27" t="n"/>
    </row>
    <row r="4888" ht="13.8" customFormat="1" customHeight="1" s="70">
      <c r="M4888" s="27" t="n"/>
      <c r="N4888" s="27" t="n"/>
      <c r="O4888" s="27" t="n"/>
      <c r="P4888" s="27" t="n"/>
      <c r="Q4888" s="27" t="n"/>
      <c r="R4888" s="27" t="n"/>
      <c r="S4888" s="27" t="n"/>
      <c r="T4888" s="27" t="n"/>
    </row>
    <row r="4889" ht="13.8" customFormat="1" customHeight="1" s="70">
      <c r="M4889" s="27" t="n"/>
      <c r="N4889" s="27" t="n"/>
      <c r="O4889" s="27" t="n"/>
      <c r="P4889" s="27" t="n"/>
      <c r="Q4889" s="27" t="n"/>
      <c r="R4889" s="27" t="n"/>
      <c r="S4889" s="27" t="n"/>
      <c r="T4889" s="27" t="n"/>
    </row>
    <row r="4890" ht="13.8" customFormat="1" customHeight="1" s="70">
      <c r="M4890" s="27" t="n"/>
      <c r="N4890" s="27" t="n"/>
      <c r="O4890" s="27" t="n"/>
      <c r="P4890" s="27" t="n"/>
      <c r="Q4890" s="27" t="n"/>
      <c r="R4890" s="27" t="n"/>
      <c r="S4890" s="27" t="n"/>
      <c r="T4890" s="27" t="n"/>
    </row>
    <row r="4891" ht="13.8" customFormat="1" customHeight="1" s="70">
      <c r="M4891" s="27" t="n"/>
      <c r="N4891" s="27" t="n"/>
      <c r="O4891" s="27" t="n"/>
      <c r="P4891" s="27" t="n"/>
      <c r="Q4891" s="27" t="n"/>
      <c r="R4891" s="27" t="n"/>
      <c r="S4891" s="27" t="n"/>
      <c r="T4891" s="27" t="n"/>
    </row>
    <row r="4892" ht="13.8" customFormat="1" customHeight="1" s="70">
      <c r="M4892" s="27" t="n"/>
      <c r="N4892" s="27" t="n"/>
      <c r="O4892" s="27" t="n"/>
      <c r="P4892" s="27" t="n"/>
      <c r="Q4892" s="27" t="n"/>
      <c r="R4892" s="27" t="n"/>
      <c r="S4892" s="27" t="n"/>
      <c r="T4892" s="27" t="n"/>
    </row>
    <row r="4893" ht="13.8" customFormat="1" customHeight="1" s="70">
      <c r="M4893" s="27" t="n"/>
      <c r="N4893" s="27" t="n"/>
      <c r="O4893" s="27" t="n"/>
      <c r="P4893" s="27" t="n"/>
      <c r="Q4893" s="27" t="n"/>
      <c r="R4893" s="27" t="n"/>
      <c r="S4893" s="27" t="n"/>
      <c r="T4893" s="27" t="n"/>
    </row>
    <row r="4894" ht="13.8" customFormat="1" customHeight="1" s="70">
      <c r="M4894" s="27" t="n"/>
      <c r="N4894" s="27" t="n"/>
      <c r="O4894" s="27" t="n"/>
      <c r="P4894" s="27" t="n"/>
      <c r="Q4894" s="27" t="n"/>
      <c r="R4894" s="27" t="n"/>
      <c r="S4894" s="27" t="n"/>
      <c r="T4894" s="27" t="n"/>
    </row>
    <row r="4895" ht="13.8" customFormat="1" customHeight="1" s="70">
      <c r="M4895" s="27" t="n"/>
      <c r="N4895" s="27" t="n"/>
      <c r="O4895" s="27" t="n"/>
      <c r="P4895" s="27" t="n"/>
      <c r="Q4895" s="27" t="n"/>
      <c r="R4895" s="27" t="n"/>
      <c r="S4895" s="27" t="n"/>
      <c r="T4895" s="27" t="n"/>
    </row>
    <row r="4896" ht="13.8" customFormat="1" customHeight="1" s="70">
      <c r="M4896" s="27" t="n"/>
      <c r="N4896" s="27" t="n"/>
      <c r="O4896" s="27" t="n"/>
      <c r="P4896" s="27" t="n"/>
      <c r="Q4896" s="27" t="n"/>
      <c r="R4896" s="27" t="n"/>
      <c r="S4896" s="27" t="n"/>
      <c r="T4896" s="27" t="n"/>
    </row>
    <row r="4897" ht="13.8" customFormat="1" customHeight="1" s="70">
      <c r="M4897" s="27" t="n"/>
      <c r="N4897" s="27" t="n"/>
      <c r="O4897" s="27" t="n"/>
      <c r="P4897" s="27" t="n"/>
      <c r="Q4897" s="27" t="n"/>
      <c r="R4897" s="27" t="n"/>
      <c r="S4897" s="27" t="n"/>
      <c r="T4897" s="27" t="n"/>
    </row>
    <row r="4898" ht="13.8" customFormat="1" customHeight="1" s="70">
      <c r="M4898" s="27" t="n"/>
      <c r="N4898" s="27" t="n"/>
      <c r="O4898" s="27" t="n"/>
      <c r="P4898" s="27" t="n"/>
      <c r="Q4898" s="27" t="n"/>
      <c r="R4898" s="27" t="n"/>
      <c r="S4898" s="27" t="n"/>
      <c r="T4898" s="27" t="n"/>
    </row>
    <row r="4899" ht="13.8" customFormat="1" customHeight="1" s="70">
      <c r="M4899" s="27" t="n"/>
      <c r="N4899" s="27" t="n"/>
      <c r="O4899" s="27" t="n"/>
      <c r="P4899" s="27" t="n"/>
      <c r="Q4899" s="27" t="n"/>
      <c r="R4899" s="27" t="n"/>
      <c r="S4899" s="27" t="n"/>
      <c r="T4899" s="27" t="n"/>
    </row>
    <row r="4900" ht="13.8" customFormat="1" customHeight="1" s="70">
      <c r="M4900" s="27" t="n"/>
      <c r="N4900" s="27" t="n"/>
      <c r="O4900" s="27" t="n"/>
      <c r="P4900" s="27" t="n"/>
      <c r="Q4900" s="27" t="n"/>
      <c r="R4900" s="27" t="n"/>
      <c r="S4900" s="27" t="n"/>
      <c r="T4900" s="27" t="n"/>
    </row>
    <row r="4901" ht="13.8" customFormat="1" customHeight="1" s="70">
      <c r="M4901" s="27" t="n"/>
      <c r="N4901" s="27" t="n"/>
      <c r="O4901" s="27" t="n"/>
      <c r="P4901" s="27" t="n"/>
      <c r="Q4901" s="27" t="n"/>
      <c r="R4901" s="27" t="n"/>
      <c r="S4901" s="27" t="n"/>
      <c r="T4901" s="27" t="n"/>
    </row>
    <row r="4902" ht="13.8" customFormat="1" customHeight="1" s="70">
      <c r="M4902" s="27" t="n"/>
      <c r="N4902" s="27" t="n"/>
      <c r="O4902" s="27" t="n"/>
      <c r="P4902" s="27" t="n"/>
      <c r="Q4902" s="27" t="n"/>
      <c r="R4902" s="27" t="n"/>
      <c r="S4902" s="27" t="n"/>
      <c r="T4902" s="27" t="n"/>
    </row>
    <row r="4903" ht="13.8" customFormat="1" customHeight="1" s="70">
      <c r="M4903" s="27" t="n"/>
      <c r="N4903" s="27" t="n"/>
      <c r="O4903" s="27" t="n"/>
      <c r="P4903" s="27" t="n"/>
      <c r="Q4903" s="27" t="n"/>
      <c r="R4903" s="27" t="n"/>
      <c r="S4903" s="27" t="n"/>
      <c r="T4903" s="27" t="n"/>
    </row>
    <row r="4904" ht="13.8" customFormat="1" customHeight="1" s="70">
      <c r="M4904" s="27" t="n"/>
      <c r="N4904" s="27" t="n"/>
      <c r="O4904" s="27" t="n"/>
      <c r="P4904" s="27" t="n"/>
      <c r="Q4904" s="27" t="n"/>
      <c r="R4904" s="27" t="n"/>
      <c r="S4904" s="27" t="n"/>
      <c r="T4904" s="27" t="n"/>
    </row>
    <row r="4905" ht="13.8" customFormat="1" customHeight="1" s="70">
      <c r="M4905" s="27" t="n"/>
      <c r="N4905" s="27" t="n"/>
      <c r="O4905" s="27" t="n"/>
      <c r="P4905" s="27" t="n"/>
      <c r="Q4905" s="27" t="n"/>
      <c r="R4905" s="27" t="n"/>
      <c r="S4905" s="27" t="n"/>
      <c r="T4905" s="27" t="n"/>
    </row>
    <row r="4906" ht="13.8" customFormat="1" customHeight="1" s="70">
      <c r="M4906" s="27" t="n"/>
      <c r="N4906" s="27" t="n"/>
      <c r="O4906" s="27" t="n"/>
      <c r="P4906" s="27" t="n"/>
      <c r="Q4906" s="27" t="n"/>
      <c r="R4906" s="27" t="n"/>
      <c r="S4906" s="27" t="n"/>
      <c r="T4906" s="27" t="n"/>
    </row>
    <row r="4907" ht="13.8" customFormat="1" customHeight="1" s="70">
      <c r="M4907" s="27" t="n"/>
      <c r="N4907" s="27" t="n"/>
      <c r="O4907" s="27" t="n"/>
      <c r="P4907" s="27" t="n"/>
      <c r="Q4907" s="27" t="n"/>
      <c r="R4907" s="27" t="n"/>
      <c r="S4907" s="27" t="n"/>
      <c r="T4907" s="27" t="n"/>
    </row>
    <row r="4908" ht="13.8" customFormat="1" customHeight="1" s="70">
      <c r="M4908" s="27" t="n"/>
      <c r="N4908" s="27" t="n"/>
      <c r="O4908" s="27" t="n"/>
      <c r="P4908" s="27" t="n"/>
      <c r="Q4908" s="27" t="n"/>
      <c r="R4908" s="27" t="n"/>
      <c r="S4908" s="27" t="n"/>
      <c r="T4908" s="27" t="n"/>
    </row>
    <row r="4909" ht="13.8" customFormat="1" customHeight="1" s="70">
      <c r="M4909" s="27" t="n"/>
      <c r="N4909" s="27" t="n"/>
      <c r="O4909" s="27" t="n"/>
      <c r="P4909" s="27" t="n"/>
      <c r="Q4909" s="27" t="n"/>
      <c r="R4909" s="27" t="n"/>
      <c r="S4909" s="27" t="n"/>
      <c r="T4909" s="27" t="n"/>
    </row>
    <row r="4910" ht="13.8" customFormat="1" customHeight="1" s="70">
      <c r="M4910" s="27" t="n"/>
      <c r="N4910" s="27" t="n"/>
      <c r="O4910" s="27" t="n"/>
      <c r="P4910" s="27" t="n"/>
      <c r="Q4910" s="27" t="n"/>
      <c r="R4910" s="27" t="n"/>
      <c r="S4910" s="27" t="n"/>
      <c r="T4910" s="27" t="n"/>
    </row>
    <row r="4911" ht="13.8" customFormat="1" customHeight="1" s="70">
      <c r="M4911" s="27" t="n"/>
      <c r="N4911" s="27" t="n"/>
      <c r="O4911" s="27" t="n"/>
      <c r="P4911" s="27" t="n"/>
      <c r="Q4911" s="27" t="n"/>
      <c r="R4911" s="27" t="n"/>
      <c r="S4911" s="27" t="n"/>
      <c r="T4911" s="27" t="n"/>
    </row>
    <row r="4912" ht="13.8" customFormat="1" customHeight="1" s="70">
      <c r="M4912" s="27" t="n"/>
      <c r="N4912" s="27" t="n"/>
      <c r="O4912" s="27" t="n"/>
      <c r="P4912" s="27" t="n"/>
      <c r="Q4912" s="27" t="n"/>
      <c r="R4912" s="27" t="n"/>
      <c r="S4912" s="27" t="n"/>
      <c r="T4912" s="27" t="n"/>
    </row>
    <row r="4913" ht="13.8" customFormat="1" customHeight="1" s="70">
      <c r="M4913" s="27" t="n"/>
      <c r="N4913" s="27" t="n"/>
      <c r="O4913" s="27" t="n"/>
      <c r="P4913" s="27" t="n"/>
      <c r="Q4913" s="27" t="n"/>
      <c r="R4913" s="27" t="n"/>
      <c r="S4913" s="27" t="n"/>
      <c r="T4913" s="27" t="n"/>
    </row>
    <row r="4914" ht="13.8" customFormat="1" customHeight="1" s="70">
      <c r="M4914" s="27" t="n"/>
      <c r="N4914" s="27" t="n"/>
      <c r="O4914" s="27" t="n"/>
      <c r="P4914" s="27" t="n"/>
      <c r="Q4914" s="27" t="n"/>
      <c r="R4914" s="27" t="n"/>
      <c r="S4914" s="27" t="n"/>
      <c r="T4914" s="27" t="n"/>
    </row>
    <row r="4915" ht="13.8" customFormat="1" customHeight="1" s="70">
      <c r="M4915" s="27" t="n"/>
      <c r="N4915" s="27" t="n"/>
      <c r="O4915" s="27" t="n"/>
      <c r="P4915" s="27" t="n"/>
      <c r="Q4915" s="27" t="n"/>
      <c r="R4915" s="27" t="n"/>
      <c r="S4915" s="27" t="n"/>
      <c r="T4915" s="27" t="n"/>
    </row>
    <row r="4916" ht="13.8" customFormat="1" customHeight="1" s="70">
      <c r="M4916" s="27" t="n"/>
      <c r="N4916" s="27" t="n"/>
      <c r="O4916" s="27" t="n"/>
      <c r="P4916" s="27" t="n"/>
      <c r="Q4916" s="27" t="n"/>
      <c r="R4916" s="27" t="n"/>
      <c r="S4916" s="27" t="n"/>
      <c r="T4916" s="27" t="n"/>
    </row>
    <row r="4917" ht="13.8" customFormat="1" customHeight="1" s="70">
      <c r="M4917" s="27" t="n"/>
      <c r="N4917" s="27" t="n"/>
      <c r="O4917" s="27" t="n"/>
      <c r="P4917" s="27" t="n"/>
      <c r="Q4917" s="27" t="n"/>
      <c r="R4917" s="27" t="n"/>
      <c r="S4917" s="27" t="n"/>
      <c r="T4917" s="27" t="n"/>
    </row>
    <row r="4918" ht="13.8" customFormat="1" customHeight="1" s="70">
      <c r="M4918" s="27" t="n"/>
      <c r="N4918" s="27" t="n"/>
      <c r="O4918" s="27" t="n"/>
      <c r="P4918" s="27" t="n"/>
      <c r="Q4918" s="27" t="n"/>
      <c r="R4918" s="27" t="n"/>
      <c r="S4918" s="27" t="n"/>
      <c r="T4918" s="27" t="n"/>
    </row>
    <row r="4919" ht="13.8" customFormat="1" customHeight="1" s="70">
      <c r="M4919" s="27" t="n"/>
      <c r="N4919" s="27" t="n"/>
      <c r="O4919" s="27" t="n"/>
      <c r="P4919" s="27" t="n"/>
      <c r="Q4919" s="27" t="n"/>
      <c r="R4919" s="27" t="n"/>
      <c r="S4919" s="27" t="n"/>
      <c r="T4919" s="27" t="n"/>
    </row>
    <row r="4920" ht="13.8" customFormat="1" customHeight="1" s="70">
      <c r="M4920" s="27" t="n"/>
      <c r="N4920" s="27" t="n"/>
      <c r="O4920" s="27" t="n"/>
      <c r="P4920" s="27" t="n"/>
      <c r="Q4920" s="27" t="n"/>
      <c r="R4920" s="27" t="n"/>
      <c r="S4920" s="27" t="n"/>
      <c r="T4920" s="27" t="n"/>
    </row>
    <row r="4921" ht="13.8" customFormat="1" customHeight="1" s="70">
      <c r="M4921" s="27" t="n"/>
      <c r="N4921" s="27" t="n"/>
      <c r="O4921" s="27" t="n"/>
      <c r="P4921" s="27" t="n"/>
      <c r="Q4921" s="27" t="n"/>
      <c r="R4921" s="27" t="n"/>
      <c r="S4921" s="27" t="n"/>
      <c r="T4921" s="27" t="n"/>
    </row>
    <row r="4922" ht="13.8" customFormat="1" customHeight="1" s="70">
      <c r="M4922" s="27" t="n"/>
      <c r="N4922" s="27" t="n"/>
      <c r="O4922" s="27" t="n"/>
      <c r="P4922" s="27" t="n"/>
      <c r="Q4922" s="27" t="n"/>
      <c r="R4922" s="27" t="n"/>
      <c r="S4922" s="27" t="n"/>
      <c r="T4922" s="27" t="n"/>
    </row>
    <row r="4923" ht="13.8" customFormat="1" customHeight="1" s="70">
      <c r="M4923" s="27" t="n"/>
      <c r="N4923" s="27" t="n"/>
      <c r="O4923" s="27" t="n"/>
      <c r="P4923" s="27" t="n"/>
      <c r="Q4923" s="27" t="n"/>
      <c r="R4923" s="27" t="n"/>
      <c r="S4923" s="27" t="n"/>
      <c r="T4923" s="27" t="n"/>
    </row>
    <row r="4924" ht="13.8" customFormat="1" customHeight="1" s="70">
      <c r="M4924" s="27" t="n"/>
      <c r="N4924" s="27" t="n"/>
      <c r="O4924" s="27" t="n"/>
      <c r="P4924" s="27" t="n"/>
      <c r="Q4924" s="27" t="n"/>
      <c r="R4924" s="27" t="n"/>
      <c r="S4924" s="27" t="n"/>
      <c r="T4924" s="27" t="n"/>
    </row>
    <row r="4925" ht="13.8" customFormat="1" customHeight="1" s="70">
      <c r="M4925" s="27" t="n"/>
      <c r="N4925" s="27" t="n"/>
      <c r="O4925" s="27" t="n"/>
      <c r="P4925" s="27" t="n"/>
      <c r="Q4925" s="27" t="n"/>
      <c r="R4925" s="27" t="n"/>
      <c r="S4925" s="27" t="n"/>
      <c r="T4925" s="27" t="n"/>
    </row>
    <row r="4926" ht="13.8" customFormat="1" customHeight="1" s="70">
      <c r="M4926" s="27" t="n"/>
      <c r="N4926" s="27" t="n"/>
      <c r="O4926" s="27" t="n"/>
      <c r="P4926" s="27" t="n"/>
      <c r="Q4926" s="27" t="n"/>
      <c r="R4926" s="27" t="n"/>
      <c r="S4926" s="27" t="n"/>
      <c r="T4926" s="27" t="n"/>
    </row>
    <row r="4927" ht="13.8" customFormat="1" customHeight="1" s="70">
      <c r="M4927" s="27" t="n"/>
      <c r="N4927" s="27" t="n"/>
      <c r="O4927" s="27" t="n"/>
      <c r="P4927" s="27" t="n"/>
      <c r="Q4927" s="27" t="n"/>
      <c r="R4927" s="27" t="n"/>
      <c r="S4927" s="27" t="n"/>
      <c r="T4927" s="27" t="n"/>
    </row>
    <row r="4928" ht="13.8" customFormat="1" customHeight="1" s="70">
      <c r="M4928" s="27" t="n"/>
      <c r="N4928" s="27" t="n"/>
      <c r="O4928" s="27" t="n"/>
      <c r="P4928" s="27" t="n"/>
      <c r="Q4928" s="27" t="n"/>
      <c r="R4928" s="27" t="n"/>
      <c r="S4928" s="27" t="n"/>
      <c r="T4928" s="27" t="n"/>
    </row>
    <row r="4929" ht="13.8" customFormat="1" customHeight="1" s="70">
      <c r="M4929" s="27" t="n"/>
      <c r="N4929" s="27" t="n"/>
      <c r="O4929" s="27" t="n"/>
      <c r="P4929" s="27" t="n"/>
      <c r="Q4929" s="27" t="n"/>
      <c r="R4929" s="27" t="n"/>
      <c r="S4929" s="27" t="n"/>
      <c r="T4929" s="27" t="n"/>
    </row>
    <row r="4930" ht="13.8" customFormat="1" customHeight="1" s="70">
      <c r="M4930" s="27" t="n"/>
      <c r="N4930" s="27" t="n"/>
      <c r="O4930" s="27" t="n"/>
      <c r="P4930" s="27" t="n"/>
      <c r="Q4930" s="27" t="n"/>
      <c r="R4930" s="27" t="n"/>
      <c r="S4930" s="27" t="n"/>
      <c r="T4930" s="27" t="n"/>
    </row>
    <row r="4931" ht="13.8" customFormat="1" customHeight="1" s="70">
      <c r="M4931" s="27" t="n"/>
      <c r="N4931" s="27" t="n"/>
      <c r="O4931" s="27" t="n"/>
      <c r="P4931" s="27" t="n"/>
      <c r="Q4931" s="27" t="n"/>
      <c r="R4931" s="27" t="n"/>
      <c r="S4931" s="27" t="n"/>
      <c r="T4931" s="27" t="n"/>
    </row>
    <row r="4932" ht="13.8" customFormat="1" customHeight="1" s="70">
      <c r="M4932" s="27" t="n"/>
      <c r="N4932" s="27" t="n"/>
      <c r="O4932" s="27" t="n"/>
      <c r="P4932" s="27" t="n"/>
      <c r="Q4932" s="27" t="n"/>
      <c r="R4932" s="27" t="n"/>
      <c r="S4932" s="27" t="n"/>
      <c r="T4932" s="27" t="n"/>
    </row>
    <row r="4933" ht="13.8" customFormat="1" customHeight="1" s="70">
      <c r="M4933" s="27" t="n"/>
      <c r="N4933" s="27" t="n"/>
      <c r="O4933" s="27" t="n"/>
      <c r="P4933" s="27" t="n"/>
      <c r="Q4933" s="27" t="n"/>
      <c r="R4933" s="27" t="n"/>
      <c r="S4933" s="27" t="n"/>
      <c r="T4933" s="27" t="n"/>
    </row>
    <row r="4934" ht="13.8" customFormat="1" customHeight="1" s="70">
      <c r="M4934" s="27" t="n"/>
      <c r="N4934" s="27" t="n"/>
      <c r="O4934" s="27" t="n"/>
      <c r="P4934" s="27" t="n"/>
      <c r="Q4934" s="27" t="n"/>
      <c r="R4934" s="27" t="n"/>
      <c r="S4934" s="27" t="n"/>
      <c r="T4934" s="27" t="n"/>
    </row>
    <row r="4935" ht="13.8" customFormat="1" customHeight="1" s="70">
      <c r="M4935" s="27" t="n"/>
      <c r="N4935" s="27" t="n"/>
      <c r="O4935" s="27" t="n"/>
      <c r="P4935" s="27" t="n"/>
      <c r="Q4935" s="27" t="n"/>
      <c r="R4935" s="27" t="n"/>
      <c r="S4935" s="27" t="n"/>
      <c r="T4935" s="27" t="n"/>
    </row>
    <row r="4936" ht="13.8" customFormat="1" customHeight="1" s="70">
      <c r="M4936" s="27" t="n"/>
      <c r="N4936" s="27" t="n"/>
      <c r="O4936" s="27" t="n"/>
      <c r="P4936" s="27" t="n"/>
      <c r="Q4936" s="27" t="n"/>
      <c r="R4936" s="27" t="n"/>
      <c r="S4936" s="27" t="n"/>
      <c r="T4936" s="27" t="n"/>
    </row>
    <row r="4937" ht="13.8" customFormat="1" customHeight="1" s="70">
      <c r="M4937" s="27" t="n"/>
      <c r="N4937" s="27" t="n"/>
      <c r="O4937" s="27" t="n"/>
      <c r="P4937" s="27" t="n"/>
      <c r="Q4937" s="27" t="n"/>
      <c r="R4937" s="27" t="n"/>
      <c r="S4937" s="27" t="n"/>
      <c r="T4937" s="27" t="n"/>
    </row>
    <row r="4938" ht="13.8" customFormat="1" customHeight="1" s="70">
      <c r="M4938" s="27" t="n"/>
      <c r="N4938" s="27" t="n"/>
      <c r="O4938" s="27" t="n"/>
      <c r="P4938" s="27" t="n"/>
      <c r="Q4938" s="27" t="n"/>
      <c r="R4938" s="27" t="n"/>
      <c r="S4938" s="27" t="n"/>
      <c r="T4938" s="27" t="n"/>
    </row>
    <row r="4939" ht="13.8" customFormat="1" customHeight="1" s="70">
      <c r="M4939" s="27" t="n"/>
      <c r="N4939" s="27" t="n"/>
      <c r="O4939" s="27" t="n"/>
      <c r="P4939" s="27" t="n"/>
      <c r="Q4939" s="27" t="n"/>
      <c r="R4939" s="27" t="n"/>
      <c r="S4939" s="27" t="n"/>
      <c r="T4939" s="27" t="n"/>
    </row>
    <row r="4940" ht="13.8" customFormat="1" customHeight="1" s="70">
      <c r="M4940" s="27" t="n"/>
      <c r="N4940" s="27" t="n"/>
      <c r="O4940" s="27" t="n"/>
      <c r="P4940" s="27" t="n"/>
      <c r="Q4940" s="27" t="n"/>
      <c r="R4940" s="27" t="n"/>
      <c r="S4940" s="27" t="n"/>
      <c r="T4940" s="27" t="n"/>
    </row>
    <row r="4941" ht="13.8" customFormat="1" customHeight="1" s="70">
      <c r="M4941" s="27" t="n"/>
      <c r="N4941" s="27" t="n"/>
      <c r="O4941" s="27" t="n"/>
      <c r="P4941" s="27" t="n"/>
      <c r="Q4941" s="27" t="n"/>
      <c r="R4941" s="27" t="n"/>
      <c r="S4941" s="27" t="n"/>
      <c r="T4941" s="27" t="n"/>
    </row>
    <row r="4942" ht="13.8" customFormat="1" customHeight="1" s="70">
      <c r="M4942" s="27" t="n"/>
      <c r="N4942" s="27" t="n"/>
      <c r="O4942" s="27" t="n"/>
      <c r="P4942" s="27" t="n"/>
      <c r="Q4942" s="27" t="n"/>
      <c r="R4942" s="27" t="n"/>
      <c r="S4942" s="27" t="n"/>
      <c r="T4942" s="27" t="n"/>
    </row>
    <row r="4943" ht="13.8" customFormat="1" customHeight="1" s="70">
      <c r="M4943" s="27" t="n"/>
      <c r="N4943" s="27" t="n"/>
      <c r="O4943" s="27" t="n"/>
      <c r="P4943" s="27" t="n"/>
      <c r="Q4943" s="27" t="n"/>
      <c r="R4943" s="27" t="n"/>
      <c r="S4943" s="27" t="n"/>
      <c r="T4943" s="27" t="n"/>
    </row>
    <row r="4944" ht="13.8" customFormat="1" customHeight="1" s="70">
      <c r="M4944" s="27" t="n"/>
      <c r="N4944" s="27" t="n"/>
      <c r="O4944" s="27" t="n"/>
      <c r="P4944" s="27" t="n"/>
      <c r="Q4944" s="27" t="n"/>
      <c r="R4944" s="27" t="n"/>
      <c r="S4944" s="27" t="n"/>
      <c r="T4944" s="27" t="n"/>
    </row>
    <row r="4945" ht="13.8" customFormat="1" customHeight="1" s="70">
      <c r="M4945" s="27" t="n"/>
      <c r="N4945" s="27" t="n"/>
      <c r="O4945" s="27" t="n"/>
      <c r="P4945" s="27" t="n"/>
      <c r="Q4945" s="27" t="n"/>
      <c r="R4945" s="27" t="n"/>
      <c r="S4945" s="27" t="n"/>
      <c r="T4945" s="27" t="n"/>
    </row>
    <row r="4946" ht="13.8" customFormat="1" customHeight="1" s="70">
      <c r="M4946" s="27" t="n"/>
      <c r="N4946" s="27" t="n"/>
      <c r="O4946" s="27" t="n"/>
      <c r="P4946" s="27" t="n"/>
      <c r="Q4946" s="27" t="n"/>
      <c r="R4946" s="27" t="n"/>
      <c r="S4946" s="27" t="n"/>
      <c r="T4946" s="27" t="n"/>
    </row>
    <row r="4947" ht="13.8" customFormat="1" customHeight="1" s="70">
      <c r="M4947" s="27" t="n"/>
      <c r="N4947" s="27" t="n"/>
      <c r="O4947" s="27" t="n"/>
      <c r="P4947" s="27" t="n"/>
      <c r="Q4947" s="27" t="n"/>
      <c r="R4947" s="27" t="n"/>
      <c r="S4947" s="27" t="n"/>
      <c r="T4947" s="27" t="n"/>
    </row>
    <row r="4948" ht="13.8" customFormat="1" customHeight="1" s="70">
      <c r="M4948" s="27" t="n"/>
      <c r="N4948" s="27" t="n"/>
      <c r="O4948" s="27" t="n"/>
      <c r="P4948" s="27" t="n"/>
      <c r="Q4948" s="27" t="n"/>
      <c r="R4948" s="27" t="n"/>
      <c r="S4948" s="27" t="n"/>
      <c r="T4948" s="27" t="n"/>
    </row>
    <row r="4949" ht="13.8" customFormat="1" customHeight="1" s="70">
      <c r="M4949" s="27" t="n"/>
      <c r="N4949" s="27" t="n"/>
      <c r="O4949" s="27" t="n"/>
      <c r="P4949" s="27" t="n"/>
      <c r="Q4949" s="27" t="n"/>
      <c r="R4949" s="27" t="n"/>
      <c r="S4949" s="27" t="n"/>
      <c r="T4949" s="27" t="n"/>
    </row>
    <row r="4950" ht="13.8" customFormat="1" customHeight="1" s="70">
      <c r="M4950" s="27" t="n"/>
      <c r="N4950" s="27" t="n"/>
      <c r="O4950" s="27" t="n"/>
      <c r="P4950" s="27" t="n"/>
      <c r="Q4950" s="27" t="n"/>
      <c r="R4950" s="27" t="n"/>
      <c r="S4950" s="27" t="n"/>
      <c r="T4950" s="27" t="n"/>
    </row>
    <row r="4951" ht="13.8" customFormat="1" customHeight="1" s="70">
      <c r="M4951" s="27" t="n"/>
      <c r="N4951" s="27" t="n"/>
      <c r="O4951" s="27" t="n"/>
      <c r="P4951" s="27" t="n"/>
      <c r="Q4951" s="27" t="n"/>
      <c r="R4951" s="27" t="n"/>
      <c r="S4951" s="27" t="n"/>
      <c r="T4951" s="27" t="n"/>
    </row>
    <row r="4952" ht="13.8" customFormat="1" customHeight="1" s="70">
      <c r="M4952" s="27" t="n"/>
      <c r="N4952" s="27" t="n"/>
      <c r="O4952" s="27" t="n"/>
      <c r="P4952" s="27" t="n"/>
      <c r="Q4952" s="27" t="n"/>
      <c r="R4952" s="27" t="n"/>
      <c r="S4952" s="27" t="n"/>
      <c r="T4952" s="27" t="n"/>
    </row>
    <row r="4953" ht="13.8" customFormat="1" customHeight="1" s="70">
      <c r="M4953" s="27" t="n"/>
      <c r="N4953" s="27" t="n"/>
      <c r="O4953" s="27" t="n"/>
      <c r="P4953" s="27" t="n"/>
      <c r="Q4953" s="27" t="n"/>
      <c r="R4953" s="27" t="n"/>
      <c r="S4953" s="27" t="n"/>
      <c r="T4953" s="27" t="n"/>
    </row>
    <row r="4954" ht="13.8" customFormat="1" customHeight="1" s="70">
      <c r="M4954" s="27" t="n"/>
      <c r="N4954" s="27" t="n"/>
      <c r="O4954" s="27" t="n"/>
      <c r="P4954" s="27" t="n"/>
      <c r="Q4954" s="27" t="n"/>
      <c r="R4954" s="27" t="n"/>
      <c r="S4954" s="27" t="n"/>
      <c r="T4954" s="27" t="n"/>
    </row>
    <row r="4955" ht="13.8" customFormat="1" customHeight="1" s="70">
      <c r="M4955" s="27" t="n"/>
      <c r="N4955" s="27" t="n"/>
      <c r="O4955" s="27" t="n"/>
      <c r="P4955" s="27" t="n"/>
      <c r="Q4955" s="27" t="n"/>
      <c r="R4955" s="27" t="n"/>
      <c r="S4955" s="27" t="n"/>
      <c r="T4955" s="27" t="n"/>
    </row>
    <row r="4956" ht="13.8" customFormat="1" customHeight="1" s="70">
      <c r="M4956" s="27" t="n"/>
      <c r="N4956" s="27" t="n"/>
      <c r="O4956" s="27" t="n"/>
      <c r="P4956" s="27" t="n"/>
      <c r="Q4956" s="27" t="n"/>
      <c r="R4956" s="27" t="n"/>
      <c r="S4956" s="27" t="n"/>
      <c r="T4956" s="27" t="n"/>
    </row>
    <row r="4957" ht="13.8" customFormat="1" customHeight="1" s="70">
      <c r="M4957" s="27" t="n"/>
      <c r="N4957" s="27" t="n"/>
      <c r="O4957" s="27" t="n"/>
      <c r="P4957" s="27" t="n"/>
      <c r="Q4957" s="27" t="n"/>
      <c r="R4957" s="27" t="n"/>
      <c r="S4957" s="27" t="n"/>
      <c r="T4957" s="27" t="n"/>
    </row>
    <row r="4958" ht="13.8" customFormat="1" customHeight="1" s="70">
      <c r="M4958" s="27" t="n"/>
      <c r="N4958" s="27" t="n"/>
      <c r="O4958" s="27" t="n"/>
      <c r="P4958" s="27" t="n"/>
      <c r="Q4958" s="27" t="n"/>
      <c r="R4958" s="27" t="n"/>
      <c r="S4958" s="27" t="n"/>
      <c r="T4958" s="27" t="n"/>
    </row>
    <row r="4959" ht="13.8" customFormat="1" customHeight="1" s="70">
      <c r="M4959" s="27" t="n"/>
      <c r="N4959" s="27" t="n"/>
      <c r="O4959" s="27" t="n"/>
      <c r="P4959" s="27" t="n"/>
      <c r="Q4959" s="27" t="n"/>
      <c r="R4959" s="27" t="n"/>
      <c r="S4959" s="27" t="n"/>
      <c r="T4959" s="27" t="n"/>
    </row>
    <row r="4960" ht="13.8" customFormat="1" customHeight="1" s="70">
      <c r="M4960" s="27" t="n"/>
      <c r="N4960" s="27" t="n"/>
      <c r="O4960" s="27" t="n"/>
      <c r="P4960" s="27" t="n"/>
      <c r="Q4960" s="27" t="n"/>
      <c r="R4960" s="27" t="n"/>
      <c r="S4960" s="27" t="n"/>
      <c r="T4960" s="27" t="n"/>
    </row>
    <row r="4961" ht="13.8" customFormat="1" customHeight="1" s="70">
      <c r="M4961" s="27" t="n"/>
      <c r="N4961" s="27" t="n"/>
      <c r="O4961" s="27" t="n"/>
      <c r="P4961" s="27" t="n"/>
      <c r="Q4961" s="27" t="n"/>
      <c r="R4961" s="27" t="n"/>
      <c r="S4961" s="27" t="n"/>
      <c r="T4961" s="27" t="n"/>
    </row>
    <row r="4962" ht="13.8" customFormat="1" customHeight="1" s="70">
      <c r="M4962" s="27" t="n"/>
      <c r="N4962" s="27" t="n"/>
      <c r="O4962" s="27" t="n"/>
      <c r="P4962" s="27" t="n"/>
      <c r="Q4962" s="27" t="n"/>
      <c r="R4962" s="27" t="n"/>
      <c r="S4962" s="27" t="n"/>
      <c r="T4962" s="27" t="n"/>
    </row>
    <row r="4963" ht="13.8" customFormat="1" customHeight="1" s="70">
      <c r="M4963" s="27" t="n"/>
      <c r="N4963" s="27" t="n"/>
      <c r="O4963" s="27" t="n"/>
      <c r="P4963" s="27" t="n"/>
      <c r="Q4963" s="27" t="n"/>
      <c r="R4963" s="27" t="n"/>
      <c r="S4963" s="27" t="n"/>
      <c r="T4963" s="27" t="n"/>
    </row>
    <row r="4964" ht="13.8" customFormat="1" customHeight="1" s="70">
      <c r="M4964" s="27" t="n"/>
      <c r="N4964" s="27" t="n"/>
      <c r="O4964" s="27" t="n"/>
      <c r="P4964" s="27" t="n"/>
      <c r="Q4964" s="27" t="n"/>
      <c r="R4964" s="27" t="n"/>
      <c r="S4964" s="27" t="n"/>
      <c r="T4964" s="27" t="n"/>
    </row>
    <row r="4965" ht="13.8" customFormat="1" customHeight="1" s="70">
      <c r="M4965" s="27" t="n"/>
      <c r="N4965" s="27" t="n"/>
      <c r="O4965" s="27" t="n"/>
      <c r="P4965" s="27" t="n"/>
      <c r="Q4965" s="27" t="n"/>
      <c r="R4965" s="27" t="n"/>
      <c r="S4965" s="27" t="n"/>
      <c r="T4965" s="27" t="n"/>
    </row>
    <row r="4966" ht="13.8" customFormat="1" customHeight="1" s="70">
      <c r="M4966" s="27" t="n"/>
      <c r="N4966" s="27" t="n"/>
      <c r="O4966" s="27" t="n"/>
      <c r="P4966" s="27" t="n"/>
      <c r="Q4966" s="27" t="n"/>
      <c r="R4966" s="27" t="n"/>
      <c r="S4966" s="27" t="n"/>
      <c r="T4966" s="27" t="n"/>
    </row>
    <row r="4967" ht="13.8" customFormat="1" customHeight="1" s="70">
      <c r="M4967" s="27" t="n"/>
      <c r="N4967" s="27" t="n"/>
      <c r="O4967" s="27" t="n"/>
      <c r="P4967" s="27" t="n"/>
      <c r="Q4967" s="27" t="n"/>
      <c r="R4967" s="27" t="n"/>
      <c r="S4967" s="27" t="n"/>
      <c r="T4967" s="27" t="n"/>
    </row>
    <row r="4968" ht="13.8" customFormat="1" customHeight="1" s="70">
      <c r="M4968" s="27" t="n"/>
      <c r="N4968" s="27" t="n"/>
      <c r="O4968" s="27" t="n"/>
      <c r="P4968" s="27" t="n"/>
      <c r="Q4968" s="27" t="n"/>
      <c r="R4968" s="27" t="n"/>
      <c r="S4968" s="27" t="n"/>
      <c r="T4968" s="27" t="n"/>
    </row>
    <row r="4969" ht="13.8" customFormat="1" customHeight="1" s="70">
      <c r="M4969" s="27" t="n"/>
      <c r="N4969" s="27" t="n"/>
      <c r="O4969" s="27" t="n"/>
      <c r="P4969" s="27" t="n"/>
      <c r="Q4969" s="27" t="n"/>
      <c r="R4969" s="27" t="n"/>
      <c r="S4969" s="27" t="n"/>
      <c r="T4969" s="27" t="n"/>
    </row>
    <row r="4970" ht="13.8" customFormat="1" customHeight="1" s="70">
      <c r="M4970" s="27" t="n"/>
      <c r="N4970" s="27" t="n"/>
      <c r="O4970" s="27" t="n"/>
      <c r="P4970" s="27" t="n"/>
      <c r="Q4970" s="27" t="n"/>
      <c r="R4970" s="27" t="n"/>
      <c r="S4970" s="27" t="n"/>
      <c r="T4970" s="27" t="n"/>
    </row>
    <row r="4971" ht="13.8" customFormat="1" customHeight="1" s="70">
      <c r="M4971" s="27" t="n"/>
      <c r="N4971" s="27" t="n"/>
      <c r="O4971" s="27" t="n"/>
      <c r="P4971" s="27" t="n"/>
      <c r="Q4971" s="27" t="n"/>
      <c r="R4971" s="27" t="n"/>
      <c r="S4971" s="27" t="n"/>
      <c r="T4971" s="27" t="n"/>
    </row>
    <row r="4972" ht="13.8" customFormat="1" customHeight="1" s="70">
      <c r="M4972" s="27" t="n"/>
      <c r="N4972" s="27" t="n"/>
      <c r="O4972" s="27" t="n"/>
      <c r="P4972" s="27" t="n"/>
      <c r="Q4972" s="27" t="n"/>
      <c r="R4972" s="27" t="n"/>
      <c r="S4972" s="27" t="n"/>
      <c r="T4972" s="27" t="n"/>
    </row>
    <row r="4973" ht="13.8" customFormat="1" customHeight="1" s="70">
      <c r="M4973" s="27" t="n"/>
      <c r="N4973" s="27" t="n"/>
      <c r="O4973" s="27" t="n"/>
      <c r="P4973" s="27" t="n"/>
      <c r="Q4973" s="27" t="n"/>
      <c r="R4973" s="27" t="n"/>
      <c r="S4973" s="27" t="n"/>
      <c r="T4973" s="27" t="n"/>
    </row>
    <row r="4974" ht="13.8" customFormat="1" customHeight="1" s="70">
      <c r="M4974" s="27" t="n"/>
      <c r="N4974" s="27" t="n"/>
      <c r="O4974" s="27" t="n"/>
      <c r="P4974" s="27" t="n"/>
      <c r="Q4974" s="27" t="n"/>
      <c r="R4974" s="27" t="n"/>
      <c r="S4974" s="27" t="n"/>
      <c r="T4974" s="27" t="n"/>
    </row>
    <row r="4975" ht="13.8" customFormat="1" customHeight="1" s="70">
      <c r="M4975" s="27" t="n"/>
      <c r="N4975" s="27" t="n"/>
      <c r="O4975" s="27" t="n"/>
      <c r="P4975" s="27" t="n"/>
      <c r="Q4975" s="27" t="n"/>
      <c r="R4975" s="27" t="n"/>
      <c r="S4975" s="27" t="n"/>
      <c r="T4975" s="27" t="n"/>
    </row>
    <row r="4976" ht="13.8" customFormat="1" customHeight="1" s="70">
      <c r="M4976" s="27" t="n"/>
      <c r="N4976" s="27" t="n"/>
      <c r="O4976" s="27" t="n"/>
      <c r="P4976" s="27" t="n"/>
      <c r="Q4976" s="27" t="n"/>
      <c r="R4976" s="27" t="n"/>
      <c r="S4976" s="27" t="n"/>
      <c r="T4976" s="27" t="n"/>
    </row>
    <row r="4977" ht="13.8" customFormat="1" customHeight="1" s="70">
      <c r="M4977" s="27" t="n"/>
      <c r="N4977" s="27" t="n"/>
      <c r="O4977" s="27" t="n"/>
      <c r="P4977" s="27" t="n"/>
      <c r="Q4977" s="27" t="n"/>
      <c r="R4977" s="27" t="n"/>
      <c r="S4977" s="27" t="n"/>
      <c r="T4977" s="27" t="n"/>
    </row>
    <row r="4978" ht="13.8" customFormat="1" customHeight="1" s="70">
      <c r="M4978" s="27" t="n"/>
      <c r="N4978" s="27" t="n"/>
      <c r="O4978" s="27" t="n"/>
      <c r="P4978" s="27" t="n"/>
      <c r="Q4978" s="27" t="n"/>
      <c r="R4978" s="27" t="n"/>
      <c r="S4978" s="27" t="n"/>
      <c r="T4978" s="27" t="n"/>
    </row>
    <row r="4979" ht="13.8" customFormat="1" customHeight="1" s="70">
      <c r="M4979" s="27" t="n"/>
      <c r="N4979" s="27" t="n"/>
      <c r="O4979" s="27" t="n"/>
      <c r="P4979" s="27" t="n"/>
      <c r="Q4979" s="27" t="n"/>
      <c r="R4979" s="27" t="n"/>
      <c r="S4979" s="27" t="n"/>
      <c r="T4979" s="27" t="n"/>
    </row>
    <row r="4980" ht="13.8" customFormat="1" customHeight="1" s="70">
      <c r="M4980" s="27" t="n"/>
      <c r="N4980" s="27" t="n"/>
      <c r="O4980" s="27" t="n"/>
      <c r="P4980" s="27" t="n"/>
      <c r="Q4980" s="27" t="n"/>
      <c r="R4980" s="27" t="n"/>
      <c r="S4980" s="27" t="n"/>
      <c r="T4980" s="27" t="n"/>
    </row>
    <row r="4981" ht="13.8" customFormat="1" customHeight="1" s="70">
      <c r="M4981" s="27" t="n"/>
      <c r="N4981" s="27" t="n"/>
      <c r="O4981" s="27" t="n"/>
      <c r="P4981" s="27" t="n"/>
      <c r="Q4981" s="27" t="n"/>
      <c r="R4981" s="27" t="n"/>
      <c r="S4981" s="27" t="n"/>
      <c r="T4981" s="27" t="n"/>
    </row>
    <row r="4982" ht="13.8" customFormat="1" customHeight="1" s="70">
      <c r="M4982" s="27" t="n"/>
      <c r="N4982" s="27" t="n"/>
      <c r="O4982" s="27" t="n"/>
      <c r="P4982" s="27" t="n"/>
      <c r="Q4982" s="27" t="n"/>
      <c r="R4982" s="27" t="n"/>
      <c r="S4982" s="27" t="n"/>
      <c r="T4982" s="27" t="n"/>
    </row>
    <row r="4983" ht="13.8" customFormat="1" customHeight="1" s="70">
      <c r="M4983" s="27" t="n"/>
      <c r="N4983" s="27" t="n"/>
      <c r="O4983" s="27" t="n"/>
      <c r="P4983" s="27" t="n"/>
      <c r="Q4983" s="27" t="n"/>
      <c r="R4983" s="27" t="n"/>
      <c r="S4983" s="27" t="n"/>
      <c r="T4983" s="27" t="n"/>
    </row>
    <row r="4984" ht="13.8" customFormat="1" customHeight="1" s="70">
      <c r="M4984" s="27" t="n"/>
      <c r="N4984" s="27" t="n"/>
      <c r="O4984" s="27" t="n"/>
      <c r="P4984" s="27" t="n"/>
      <c r="Q4984" s="27" t="n"/>
      <c r="R4984" s="27" t="n"/>
      <c r="S4984" s="27" t="n"/>
      <c r="T4984" s="27" t="n"/>
    </row>
    <row r="4985" ht="13.8" customFormat="1" customHeight="1" s="70">
      <c r="M4985" s="27" t="n"/>
      <c r="N4985" s="27" t="n"/>
      <c r="O4985" s="27" t="n"/>
      <c r="P4985" s="27" t="n"/>
      <c r="Q4985" s="27" t="n"/>
      <c r="R4985" s="27" t="n"/>
      <c r="S4985" s="27" t="n"/>
      <c r="T4985" s="27" t="n"/>
    </row>
    <row r="4986" ht="13.8" customFormat="1" customHeight="1" s="70">
      <c r="M4986" s="27" t="n"/>
      <c r="N4986" s="27" t="n"/>
      <c r="O4986" s="27" t="n"/>
      <c r="P4986" s="27" t="n"/>
      <c r="Q4986" s="27" t="n"/>
      <c r="R4986" s="27" t="n"/>
      <c r="S4986" s="27" t="n"/>
      <c r="T4986" s="27" t="n"/>
    </row>
    <row r="4987" ht="13.8" customFormat="1" customHeight="1" s="70">
      <c r="M4987" s="27" t="n"/>
      <c r="N4987" s="27" t="n"/>
      <c r="O4987" s="27" t="n"/>
      <c r="P4987" s="27" t="n"/>
      <c r="Q4987" s="27" t="n"/>
      <c r="R4987" s="27" t="n"/>
      <c r="S4987" s="27" t="n"/>
      <c r="T4987" s="27" t="n"/>
    </row>
    <row r="4988" ht="13.8" customFormat="1" customHeight="1" s="70">
      <c r="M4988" s="27" t="n"/>
      <c r="N4988" s="27" t="n"/>
      <c r="O4988" s="27" t="n"/>
      <c r="P4988" s="27" t="n"/>
      <c r="Q4988" s="27" t="n"/>
      <c r="R4988" s="27" t="n"/>
      <c r="S4988" s="27" t="n"/>
      <c r="T4988" s="27" t="n"/>
    </row>
    <row r="4989" ht="13.8" customFormat="1" customHeight="1" s="70">
      <c r="M4989" s="27" t="n"/>
      <c r="N4989" s="27" t="n"/>
      <c r="O4989" s="27" t="n"/>
      <c r="P4989" s="27" t="n"/>
      <c r="Q4989" s="27" t="n"/>
      <c r="R4989" s="27" t="n"/>
      <c r="S4989" s="27" t="n"/>
      <c r="T4989" s="27" t="n"/>
    </row>
    <row r="4990" ht="13.8" customFormat="1" customHeight="1" s="70">
      <c r="M4990" s="27" t="n"/>
      <c r="N4990" s="27" t="n"/>
      <c r="O4990" s="27" t="n"/>
      <c r="P4990" s="27" t="n"/>
      <c r="Q4990" s="27" t="n"/>
      <c r="R4990" s="27" t="n"/>
      <c r="S4990" s="27" t="n"/>
      <c r="T4990" s="27" t="n"/>
    </row>
    <row r="4991" ht="13.8" customFormat="1" customHeight="1" s="70">
      <c r="M4991" s="27" t="n"/>
      <c r="N4991" s="27" t="n"/>
      <c r="O4991" s="27" t="n"/>
      <c r="P4991" s="27" t="n"/>
      <c r="Q4991" s="27" t="n"/>
      <c r="R4991" s="27" t="n"/>
      <c r="S4991" s="27" t="n"/>
      <c r="T4991" s="27" t="n"/>
    </row>
    <row r="4992" ht="13.8" customFormat="1" customHeight="1" s="70">
      <c r="M4992" s="27" t="n"/>
      <c r="N4992" s="27" t="n"/>
      <c r="O4992" s="27" t="n"/>
      <c r="P4992" s="27" t="n"/>
      <c r="Q4992" s="27" t="n"/>
      <c r="R4992" s="27" t="n"/>
      <c r="S4992" s="27" t="n"/>
      <c r="T4992" s="27" t="n"/>
    </row>
    <row r="4993" ht="13.8" customFormat="1" customHeight="1" s="70">
      <c r="M4993" s="27" t="n"/>
      <c r="N4993" s="27" t="n"/>
      <c r="O4993" s="27" t="n"/>
      <c r="P4993" s="27" t="n"/>
      <c r="Q4993" s="27" t="n"/>
      <c r="R4993" s="27" t="n"/>
      <c r="S4993" s="27" t="n"/>
      <c r="T4993" s="27" t="n"/>
    </row>
    <row r="4994" ht="13.8" customFormat="1" customHeight="1" s="70">
      <c r="M4994" s="27" t="n"/>
      <c r="N4994" s="27" t="n"/>
      <c r="O4994" s="27" t="n"/>
      <c r="P4994" s="27" t="n"/>
      <c r="Q4994" s="27" t="n"/>
      <c r="R4994" s="27" t="n"/>
      <c r="S4994" s="27" t="n"/>
      <c r="T4994" s="27" t="n"/>
    </row>
    <row r="4995" ht="13.8" customFormat="1" customHeight="1" s="70">
      <c r="M4995" s="27" t="n"/>
      <c r="N4995" s="27" t="n"/>
      <c r="O4995" s="27" t="n"/>
      <c r="P4995" s="27" t="n"/>
      <c r="Q4995" s="27" t="n"/>
      <c r="R4995" s="27" t="n"/>
      <c r="S4995" s="27" t="n"/>
      <c r="T4995" s="27" t="n"/>
    </row>
    <row r="4996" ht="13.8" customFormat="1" customHeight="1" s="70">
      <c r="M4996" s="27" t="n"/>
      <c r="N4996" s="27" t="n"/>
      <c r="O4996" s="27" t="n"/>
      <c r="P4996" s="27" t="n"/>
      <c r="Q4996" s="27" t="n"/>
      <c r="R4996" s="27" t="n"/>
      <c r="S4996" s="27" t="n"/>
      <c r="T4996" s="27" t="n"/>
    </row>
    <row r="4997" ht="13.8" customFormat="1" customHeight="1" s="70">
      <c r="M4997" s="27" t="n"/>
      <c r="N4997" s="27" t="n"/>
      <c r="O4997" s="27" t="n"/>
      <c r="P4997" s="27" t="n"/>
      <c r="Q4997" s="27" t="n"/>
      <c r="R4997" s="27" t="n"/>
      <c r="S4997" s="27" t="n"/>
      <c r="T4997" s="27" t="n"/>
    </row>
    <row r="4998" ht="13.8" customFormat="1" customHeight="1" s="70">
      <c r="M4998" s="27" t="n"/>
      <c r="N4998" s="27" t="n"/>
      <c r="O4998" s="27" t="n"/>
      <c r="P4998" s="27" t="n"/>
      <c r="Q4998" s="27" t="n"/>
      <c r="R4998" s="27" t="n"/>
      <c r="S4998" s="27" t="n"/>
      <c r="T4998" s="27" t="n"/>
    </row>
    <row r="4999" ht="13.8" customFormat="1" customHeight="1" s="70">
      <c r="M4999" s="27" t="n"/>
      <c r="N4999" s="27" t="n"/>
      <c r="O4999" s="27" t="n"/>
      <c r="P4999" s="27" t="n"/>
      <c r="Q4999" s="27" t="n"/>
      <c r="R4999" s="27" t="n"/>
      <c r="S4999" s="27" t="n"/>
      <c r="T4999" s="27" t="n"/>
    </row>
    <row r="5000" ht="13.8" customFormat="1" customHeight="1" s="70">
      <c r="M5000" s="27" t="n"/>
      <c r="N5000" s="27" t="n"/>
      <c r="O5000" s="27" t="n"/>
      <c r="P5000" s="27" t="n"/>
      <c r="Q5000" s="27" t="n"/>
      <c r="R5000" s="27" t="n"/>
      <c r="S5000" s="27" t="n"/>
      <c r="T5000" s="27" t="n"/>
    </row>
    <row r="5001" ht="13.8" customFormat="1" customHeight="1" s="70">
      <c r="M5001" s="27" t="n"/>
      <c r="N5001" s="27" t="n"/>
      <c r="O5001" s="27" t="n"/>
      <c r="P5001" s="27" t="n"/>
      <c r="Q5001" s="27" t="n"/>
      <c r="R5001" s="27" t="n"/>
      <c r="S5001" s="27" t="n"/>
      <c r="T5001" s="27" t="n"/>
    </row>
    <row r="5002" ht="13.8" customFormat="1" customHeight="1" s="70">
      <c r="M5002" s="27" t="n"/>
      <c r="N5002" s="27" t="n"/>
      <c r="O5002" s="27" t="n"/>
      <c r="P5002" s="27" t="n"/>
      <c r="Q5002" s="27" t="n"/>
      <c r="R5002" s="27" t="n"/>
      <c r="S5002" s="27" t="n"/>
      <c r="T5002" s="27" t="n"/>
    </row>
    <row r="5003" ht="13.8" customFormat="1" customHeight="1" s="70">
      <c r="M5003" s="27" t="n"/>
      <c r="N5003" s="27" t="n"/>
      <c r="O5003" s="27" t="n"/>
      <c r="P5003" s="27" t="n"/>
      <c r="Q5003" s="27" t="n"/>
      <c r="R5003" s="27" t="n"/>
      <c r="S5003" s="27" t="n"/>
      <c r="T5003" s="27" t="n"/>
    </row>
    <row r="5004" ht="13.8" customFormat="1" customHeight="1" s="70">
      <c r="M5004" s="27" t="n"/>
      <c r="N5004" s="27" t="n"/>
      <c r="O5004" s="27" t="n"/>
      <c r="P5004" s="27" t="n"/>
      <c r="Q5004" s="27" t="n"/>
      <c r="R5004" s="27" t="n"/>
      <c r="S5004" s="27" t="n"/>
      <c r="T5004" s="27" t="n"/>
    </row>
    <row r="5005" ht="13.8" customFormat="1" customHeight="1" s="70">
      <c r="M5005" s="27" t="n"/>
      <c r="N5005" s="27" t="n"/>
      <c r="O5005" s="27" t="n"/>
      <c r="P5005" s="27" t="n"/>
      <c r="Q5005" s="27" t="n"/>
      <c r="R5005" s="27" t="n"/>
      <c r="S5005" s="27" t="n"/>
      <c r="T5005" s="27" t="n"/>
    </row>
    <row r="5006" ht="13.8" customFormat="1" customHeight="1" s="70">
      <c r="M5006" s="27" t="n"/>
      <c r="N5006" s="27" t="n"/>
      <c r="O5006" s="27" t="n"/>
      <c r="P5006" s="27" t="n"/>
      <c r="Q5006" s="27" t="n"/>
      <c r="R5006" s="27" t="n"/>
      <c r="S5006" s="27" t="n"/>
      <c r="T5006" s="27" t="n"/>
    </row>
    <row r="5007" ht="13.8" customFormat="1" customHeight="1" s="70">
      <c r="M5007" s="27" t="n"/>
      <c r="N5007" s="27" t="n"/>
      <c r="O5007" s="27" t="n"/>
      <c r="P5007" s="27" t="n"/>
      <c r="Q5007" s="27" t="n"/>
      <c r="R5007" s="27" t="n"/>
      <c r="S5007" s="27" t="n"/>
      <c r="T5007" s="27" t="n"/>
    </row>
    <row r="5008" ht="13.8" customFormat="1" customHeight="1" s="70">
      <c r="M5008" s="27" t="n"/>
      <c r="N5008" s="27" t="n"/>
      <c r="O5008" s="27" t="n"/>
      <c r="P5008" s="27" t="n"/>
      <c r="Q5008" s="27" t="n"/>
      <c r="R5008" s="27" t="n"/>
      <c r="S5008" s="27" t="n"/>
      <c r="T5008" s="27" t="n"/>
    </row>
    <row r="5009" ht="13.8" customFormat="1" customHeight="1" s="70">
      <c r="M5009" s="27" t="n"/>
      <c r="N5009" s="27" t="n"/>
      <c r="O5009" s="27" t="n"/>
      <c r="P5009" s="27" t="n"/>
      <c r="Q5009" s="27" t="n"/>
      <c r="R5009" s="27" t="n"/>
      <c r="S5009" s="27" t="n"/>
      <c r="T5009" s="27" t="n"/>
    </row>
    <row r="5010" ht="13.8" customFormat="1" customHeight="1" s="70">
      <c r="M5010" s="27" t="n"/>
      <c r="N5010" s="27" t="n"/>
      <c r="O5010" s="27" t="n"/>
      <c r="P5010" s="27" t="n"/>
      <c r="Q5010" s="27" t="n"/>
      <c r="R5010" s="27" t="n"/>
      <c r="S5010" s="27" t="n"/>
      <c r="T5010" s="27" t="n"/>
    </row>
    <row r="5011" ht="13.8" customFormat="1" customHeight="1" s="70">
      <c r="M5011" s="27" t="n"/>
      <c r="N5011" s="27" t="n"/>
      <c r="O5011" s="27" t="n"/>
      <c r="P5011" s="27" t="n"/>
      <c r="Q5011" s="27" t="n"/>
      <c r="R5011" s="27" t="n"/>
      <c r="S5011" s="27" t="n"/>
      <c r="T5011" s="27" t="n"/>
    </row>
    <row r="5012" ht="13.8" customFormat="1" customHeight="1" s="70">
      <c r="M5012" s="27" t="n"/>
      <c r="N5012" s="27" t="n"/>
      <c r="O5012" s="27" t="n"/>
      <c r="P5012" s="27" t="n"/>
      <c r="Q5012" s="27" t="n"/>
      <c r="R5012" s="27" t="n"/>
      <c r="S5012" s="27" t="n"/>
      <c r="T5012" s="27" t="n"/>
    </row>
    <row r="5013" ht="13.8" customFormat="1" customHeight="1" s="70">
      <c r="M5013" s="27" t="n"/>
      <c r="N5013" s="27" t="n"/>
      <c r="O5013" s="27" t="n"/>
      <c r="P5013" s="27" t="n"/>
      <c r="Q5013" s="27" t="n"/>
      <c r="R5013" s="27" t="n"/>
      <c r="S5013" s="27" t="n"/>
      <c r="T5013" s="27" t="n"/>
    </row>
    <row r="5014" ht="13.8" customFormat="1" customHeight="1" s="70">
      <c r="M5014" s="27" t="n"/>
      <c r="N5014" s="27" t="n"/>
      <c r="O5014" s="27" t="n"/>
      <c r="P5014" s="27" t="n"/>
      <c r="Q5014" s="27" t="n"/>
      <c r="R5014" s="27" t="n"/>
      <c r="S5014" s="27" t="n"/>
      <c r="T5014" s="27" t="n"/>
    </row>
    <row r="5015" ht="13.8" customFormat="1" customHeight="1" s="70">
      <c r="M5015" s="27" t="n"/>
      <c r="N5015" s="27" t="n"/>
      <c r="O5015" s="27" t="n"/>
      <c r="P5015" s="27" t="n"/>
      <c r="Q5015" s="27" t="n"/>
      <c r="R5015" s="27" t="n"/>
      <c r="S5015" s="27" t="n"/>
      <c r="T5015" s="27" t="n"/>
    </row>
    <row r="5016" ht="13.8" customFormat="1" customHeight="1" s="70">
      <c r="M5016" s="27" t="n"/>
      <c r="N5016" s="27" t="n"/>
      <c r="O5016" s="27" t="n"/>
      <c r="P5016" s="27" t="n"/>
      <c r="Q5016" s="27" t="n"/>
      <c r="R5016" s="27" t="n"/>
      <c r="S5016" s="27" t="n"/>
      <c r="T5016" s="27" t="n"/>
    </row>
    <row r="5017" ht="13.8" customFormat="1" customHeight="1" s="70">
      <c r="M5017" s="27" t="n"/>
      <c r="N5017" s="27" t="n"/>
      <c r="O5017" s="27" t="n"/>
      <c r="P5017" s="27" t="n"/>
      <c r="Q5017" s="27" t="n"/>
      <c r="R5017" s="27" t="n"/>
      <c r="S5017" s="27" t="n"/>
      <c r="T5017" s="27" t="n"/>
    </row>
    <row r="5018" ht="13.8" customFormat="1" customHeight="1" s="70">
      <c r="M5018" s="27" t="n"/>
      <c r="N5018" s="27" t="n"/>
      <c r="O5018" s="27" t="n"/>
      <c r="P5018" s="27" t="n"/>
      <c r="Q5018" s="27" t="n"/>
      <c r="R5018" s="27" t="n"/>
      <c r="S5018" s="27" t="n"/>
      <c r="T5018" s="27" t="n"/>
    </row>
    <row r="5019" ht="13.8" customFormat="1" customHeight="1" s="70">
      <c r="M5019" s="27" t="n"/>
      <c r="N5019" s="27" t="n"/>
      <c r="O5019" s="27" t="n"/>
      <c r="P5019" s="27" t="n"/>
      <c r="Q5019" s="27" t="n"/>
      <c r="R5019" s="27" t="n"/>
      <c r="S5019" s="27" t="n"/>
      <c r="T5019" s="27" t="n"/>
    </row>
    <row r="5020" ht="13.8" customFormat="1" customHeight="1" s="70">
      <c r="M5020" s="27" t="n"/>
      <c r="N5020" s="27" t="n"/>
      <c r="O5020" s="27" t="n"/>
      <c r="P5020" s="27" t="n"/>
      <c r="Q5020" s="27" t="n"/>
      <c r="R5020" s="27" t="n"/>
      <c r="S5020" s="27" t="n"/>
      <c r="T5020" s="27" t="n"/>
    </row>
    <row r="5021" ht="13.8" customFormat="1" customHeight="1" s="70">
      <c r="M5021" s="27" t="n"/>
      <c r="N5021" s="27" t="n"/>
      <c r="O5021" s="27" t="n"/>
      <c r="P5021" s="27" t="n"/>
      <c r="Q5021" s="27" t="n"/>
      <c r="R5021" s="27" t="n"/>
      <c r="S5021" s="27" t="n"/>
      <c r="T5021" s="27" t="n"/>
    </row>
    <row r="5022" ht="13.8" customFormat="1" customHeight="1" s="70">
      <c r="M5022" s="27" t="n"/>
      <c r="N5022" s="27" t="n"/>
      <c r="O5022" s="27" t="n"/>
      <c r="P5022" s="27" t="n"/>
      <c r="Q5022" s="27" t="n"/>
      <c r="R5022" s="27" t="n"/>
      <c r="S5022" s="27" t="n"/>
      <c r="T5022" s="27" t="n"/>
    </row>
    <row r="5023" ht="13.8" customFormat="1" customHeight="1" s="70">
      <c r="M5023" s="27" t="n"/>
      <c r="N5023" s="27" t="n"/>
      <c r="O5023" s="27" t="n"/>
      <c r="P5023" s="27" t="n"/>
      <c r="Q5023" s="27" t="n"/>
      <c r="R5023" s="27" t="n"/>
      <c r="S5023" s="27" t="n"/>
      <c r="T5023" s="27" t="n"/>
    </row>
    <row r="5024" ht="13.8" customFormat="1" customHeight="1" s="70">
      <c r="M5024" s="27" t="n"/>
      <c r="N5024" s="27" t="n"/>
      <c r="O5024" s="27" t="n"/>
      <c r="P5024" s="27" t="n"/>
      <c r="Q5024" s="27" t="n"/>
      <c r="R5024" s="27" t="n"/>
      <c r="S5024" s="27" t="n"/>
      <c r="T5024" s="27" t="n"/>
    </row>
    <row r="5025" ht="13.8" customFormat="1" customHeight="1" s="70">
      <c r="M5025" s="27" t="n"/>
      <c r="N5025" s="27" t="n"/>
      <c r="O5025" s="27" t="n"/>
      <c r="P5025" s="27" t="n"/>
      <c r="Q5025" s="27" t="n"/>
      <c r="R5025" s="27" t="n"/>
      <c r="S5025" s="27" t="n"/>
      <c r="T5025" s="27" t="n"/>
    </row>
    <row r="5026" ht="13.8" customFormat="1" customHeight="1" s="70">
      <c r="M5026" s="27" t="n"/>
      <c r="N5026" s="27" t="n"/>
      <c r="O5026" s="27" t="n"/>
      <c r="P5026" s="27" t="n"/>
      <c r="Q5026" s="27" t="n"/>
      <c r="R5026" s="27" t="n"/>
      <c r="S5026" s="27" t="n"/>
      <c r="T5026" s="27" t="n"/>
    </row>
    <row r="5027" ht="13.8" customFormat="1" customHeight="1" s="70">
      <c r="M5027" s="27" t="n"/>
      <c r="N5027" s="27" t="n"/>
      <c r="O5027" s="27" t="n"/>
      <c r="P5027" s="27" t="n"/>
      <c r="Q5027" s="27" t="n"/>
      <c r="R5027" s="27" t="n"/>
      <c r="S5027" s="27" t="n"/>
      <c r="T5027" s="27" t="n"/>
    </row>
    <row r="5028" ht="13.8" customFormat="1" customHeight="1" s="70">
      <c r="M5028" s="27" t="n"/>
      <c r="N5028" s="27" t="n"/>
      <c r="O5028" s="27" t="n"/>
      <c r="P5028" s="27" t="n"/>
      <c r="Q5028" s="27" t="n"/>
      <c r="R5028" s="27" t="n"/>
      <c r="S5028" s="27" t="n"/>
      <c r="T5028" s="27" t="n"/>
    </row>
    <row r="5029" ht="13.8" customFormat="1" customHeight="1" s="70">
      <c r="M5029" s="27" t="n"/>
      <c r="N5029" s="27" t="n"/>
      <c r="O5029" s="27" t="n"/>
      <c r="P5029" s="27" t="n"/>
      <c r="Q5029" s="27" t="n"/>
      <c r="R5029" s="27" t="n"/>
      <c r="S5029" s="27" t="n"/>
      <c r="T5029" s="27" t="n"/>
    </row>
    <row r="5030" ht="13.8" customFormat="1" customHeight="1" s="70">
      <c r="M5030" s="27" t="n"/>
      <c r="N5030" s="27" t="n"/>
      <c r="O5030" s="27" t="n"/>
      <c r="P5030" s="27" t="n"/>
      <c r="Q5030" s="27" t="n"/>
      <c r="R5030" s="27" t="n"/>
      <c r="S5030" s="27" t="n"/>
      <c r="T5030" s="27" t="n"/>
    </row>
    <row r="5031" ht="13.8" customFormat="1" customHeight="1" s="70">
      <c r="M5031" s="27" t="n"/>
      <c r="N5031" s="27" t="n"/>
      <c r="O5031" s="27" t="n"/>
      <c r="P5031" s="27" t="n"/>
      <c r="Q5031" s="27" t="n"/>
      <c r="R5031" s="27" t="n"/>
      <c r="S5031" s="27" t="n"/>
      <c r="T5031" s="27" t="n"/>
    </row>
    <row r="5032" ht="13.8" customFormat="1" customHeight="1" s="70">
      <c r="M5032" s="27" t="n"/>
      <c r="N5032" s="27" t="n"/>
      <c r="O5032" s="27" t="n"/>
      <c r="P5032" s="27" t="n"/>
      <c r="Q5032" s="27" t="n"/>
      <c r="R5032" s="27" t="n"/>
      <c r="S5032" s="27" t="n"/>
      <c r="T5032" s="27" t="n"/>
    </row>
    <row r="5033" ht="13.8" customFormat="1" customHeight="1" s="70">
      <c r="M5033" s="27" t="n"/>
      <c r="N5033" s="27" t="n"/>
      <c r="O5033" s="27" t="n"/>
      <c r="P5033" s="27" t="n"/>
      <c r="Q5033" s="27" t="n"/>
      <c r="R5033" s="27" t="n"/>
      <c r="S5033" s="27" t="n"/>
      <c r="T5033" s="27" t="n"/>
    </row>
    <row r="5034" ht="13.8" customFormat="1" customHeight="1" s="70">
      <c r="M5034" s="27" t="n"/>
      <c r="N5034" s="27" t="n"/>
      <c r="O5034" s="27" t="n"/>
      <c r="P5034" s="27" t="n"/>
      <c r="Q5034" s="27" t="n"/>
      <c r="R5034" s="27" t="n"/>
      <c r="S5034" s="27" t="n"/>
      <c r="T5034" s="27" t="n"/>
    </row>
    <row r="5035" ht="13.8" customFormat="1" customHeight="1" s="70">
      <c r="M5035" s="27" t="n"/>
      <c r="N5035" s="27" t="n"/>
      <c r="O5035" s="27" t="n"/>
      <c r="P5035" s="27" t="n"/>
      <c r="Q5035" s="27" t="n"/>
      <c r="R5035" s="27" t="n"/>
      <c r="S5035" s="27" t="n"/>
      <c r="T5035" s="27" t="n"/>
    </row>
    <row r="5036" ht="13.8" customFormat="1" customHeight="1" s="70">
      <c r="M5036" s="27" t="n"/>
      <c r="N5036" s="27" t="n"/>
      <c r="O5036" s="27" t="n"/>
      <c r="P5036" s="27" t="n"/>
      <c r="Q5036" s="27" t="n"/>
      <c r="R5036" s="27" t="n"/>
      <c r="S5036" s="27" t="n"/>
      <c r="T5036" s="27" t="n"/>
    </row>
    <row r="5037" ht="13.8" customFormat="1" customHeight="1" s="70">
      <c r="M5037" s="27" t="n"/>
      <c r="N5037" s="27" t="n"/>
      <c r="O5037" s="27" t="n"/>
      <c r="P5037" s="27" t="n"/>
      <c r="Q5037" s="27" t="n"/>
      <c r="R5037" s="27" t="n"/>
      <c r="S5037" s="27" t="n"/>
      <c r="T5037" s="27" t="n"/>
    </row>
    <row r="5038" ht="13.8" customFormat="1" customHeight="1" s="70">
      <c r="M5038" s="27" t="n"/>
      <c r="N5038" s="27" t="n"/>
      <c r="O5038" s="27" t="n"/>
      <c r="P5038" s="27" t="n"/>
      <c r="Q5038" s="27" t="n"/>
      <c r="R5038" s="27" t="n"/>
      <c r="S5038" s="27" t="n"/>
      <c r="T5038" s="27" t="n"/>
    </row>
    <row r="5039" ht="13.8" customFormat="1" customHeight="1" s="70">
      <c r="M5039" s="27" t="n"/>
      <c r="N5039" s="27" t="n"/>
      <c r="O5039" s="27" t="n"/>
      <c r="P5039" s="27" t="n"/>
      <c r="Q5039" s="27" t="n"/>
      <c r="R5039" s="27" t="n"/>
      <c r="S5039" s="27" t="n"/>
      <c r="T5039" s="27" t="n"/>
    </row>
    <row r="5040" ht="13.8" customFormat="1" customHeight="1" s="70">
      <c r="M5040" s="27" t="n"/>
      <c r="N5040" s="27" t="n"/>
      <c r="O5040" s="27" t="n"/>
      <c r="P5040" s="27" t="n"/>
      <c r="Q5040" s="27" t="n"/>
      <c r="R5040" s="27" t="n"/>
      <c r="S5040" s="27" t="n"/>
      <c r="T5040" s="27" t="n"/>
    </row>
    <row r="5041" ht="13.8" customFormat="1" customHeight="1" s="70">
      <c r="M5041" s="27" t="n"/>
      <c r="N5041" s="27" t="n"/>
      <c r="O5041" s="27" t="n"/>
      <c r="P5041" s="27" t="n"/>
      <c r="Q5041" s="27" t="n"/>
      <c r="R5041" s="27" t="n"/>
      <c r="S5041" s="27" t="n"/>
      <c r="T5041" s="27" t="n"/>
    </row>
    <row r="5042" ht="13.8" customFormat="1" customHeight="1" s="70">
      <c r="M5042" s="27" t="n"/>
      <c r="N5042" s="27" t="n"/>
      <c r="O5042" s="27" t="n"/>
      <c r="P5042" s="27" t="n"/>
      <c r="Q5042" s="27" t="n"/>
      <c r="R5042" s="27" t="n"/>
      <c r="S5042" s="27" t="n"/>
      <c r="T5042" s="27" t="n"/>
    </row>
    <row r="5043" ht="13.8" customFormat="1" customHeight="1" s="70">
      <c r="M5043" s="27" t="n"/>
      <c r="N5043" s="27" t="n"/>
      <c r="O5043" s="27" t="n"/>
      <c r="P5043" s="27" t="n"/>
      <c r="Q5043" s="27" t="n"/>
      <c r="R5043" s="27" t="n"/>
      <c r="S5043" s="27" t="n"/>
      <c r="T5043" s="27" t="n"/>
    </row>
    <row r="5044" ht="13.8" customFormat="1" customHeight="1" s="70">
      <c r="M5044" s="27" t="n"/>
      <c r="N5044" s="27" t="n"/>
      <c r="O5044" s="27" t="n"/>
      <c r="P5044" s="27" t="n"/>
      <c r="Q5044" s="27" t="n"/>
      <c r="R5044" s="27" t="n"/>
      <c r="S5044" s="27" t="n"/>
      <c r="T5044" s="27" t="n"/>
    </row>
    <row r="5045" ht="13.8" customFormat="1" customHeight="1" s="70">
      <c r="M5045" s="27" t="n"/>
      <c r="N5045" s="27" t="n"/>
      <c r="O5045" s="27" t="n"/>
      <c r="P5045" s="27" t="n"/>
      <c r="Q5045" s="27" t="n"/>
      <c r="R5045" s="27" t="n"/>
      <c r="S5045" s="27" t="n"/>
      <c r="T5045" s="27" t="n"/>
    </row>
    <row r="5046" ht="13.8" customFormat="1" customHeight="1" s="70">
      <c r="M5046" s="27" t="n"/>
      <c r="N5046" s="27" t="n"/>
      <c r="O5046" s="27" t="n"/>
      <c r="P5046" s="27" t="n"/>
      <c r="Q5046" s="27" t="n"/>
      <c r="R5046" s="27" t="n"/>
      <c r="S5046" s="27" t="n"/>
      <c r="T5046" s="27" t="n"/>
    </row>
    <row r="5047" ht="13.8" customFormat="1" customHeight="1" s="70">
      <c r="M5047" s="27" t="n"/>
      <c r="N5047" s="27" t="n"/>
      <c r="O5047" s="27" t="n"/>
      <c r="P5047" s="27" t="n"/>
      <c r="Q5047" s="27" t="n"/>
      <c r="R5047" s="27" t="n"/>
      <c r="S5047" s="27" t="n"/>
      <c r="T5047" s="27" t="n"/>
    </row>
    <row r="5048" ht="13.8" customFormat="1" customHeight="1" s="70">
      <c r="M5048" s="27" t="n"/>
      <c r="N5048" s="27" t="n"/>
      <c r="O5048" s="27" t="n"/>
      <c r="P5048" s="27" t="n"/>
      <c r="Q5048" s="27" t="n"/>
      <c r="R5048" s="27" t="n"/>
      <c r="S5048" s="27" t="n"/>
      <c r="T5048" s="27" t="n"/>
    </row>
    <row r="5049" ht="13.8" customFormat="1" customHeight="1" s="70">
      <c r="M5049" s="27" t="n"/>
      <c r="N5049" s="27" t="n"/>
      <c r="O5049" s="27" t="n"/>
      <c r="P5049" s="27" t="n"/>
      <c r="Q5049" s="27" t="n"/>
      <c r="R5049" s="27" t="n"/>
      <c r="S5049" s="27" t="n"/>
      <c r="T5049" s="27" t="n"/>
    </row>
    <row r="5050" ht="13.8" customFormat="1" customHeight="1" s="70">
      <c r="M5050" s="27" t="n"/>
      <c r="N5050" s="27" t="n"/>
      <c r="O5050" s="27" t="n"/>
      <c r="P5050" s="27" t="n"/>
      <c r="Q5050" s="27" t="n"/>
      <c r="R5050" s="27" t="n"/>
      <c r="S5050" s="27" t="n"/>
      <c r="T5050" s="27" t="n"/>
    </row>
    <row r="5051" ht="13.8" customFormat="1" customHeight="1" s="70">
      <c r="M5051" s="27" t="n"/>
      <c r="N5051" s="27" t="n"/>
      <c r="O5051" s="27" t="n"/>
      <c r="P5051" s="27" t="n"/>
      <c r="Q5051" s="27" t="n"/>
      <c r="R5051" s="27" t="n"/>
      <c r="S5051" s="27" t="n"/>
      <c r="T5051" s="27" t="n"/>
    </row>
    <row r="5052" ht="13.8" customFormat="1" customHeight="1" s="70">
      <c r="M5052" s="27" t="n"/>
      <c r="N5052" s="27" t="n"/>
      <c r="O5052" s="27" t="n"/>
      <c r="P5052" s="27" t="n"/>
      <c r="Q5052" s="27" t="n"/>
      <c r="R5052" s="27" t="n"/>
      <c r="S5052" s="27" t="n"/>
      <c r="T5052" s="27" t="n"/>
    </row>
    <row r="5053" ht="13.8" customFormat="1" customHeight="1" s="70">
      <c r="M5053" s="27" t="n"/>
      <c r="N5053" s="27" t="n"/>
      <c r="O5053" s="27" t="n"/>
      <c r="P5053" s="27" t="n"/>
      <c r="Q5053" s="27" t="n"/>
      <c r="R5053" s="27" t="n"/>
      <c r="S5053" s="27" t="n"/>
      <c r="T5053" s="27" t="n"/>
    </row>
    <row r="5054" ht="13.8" customFormat="1" customHeight="1" s="70">
      <c r="M5054" s="27" t="n"/>
      <c r="N5054" s="27" t="n"/>
      <c r="O5054" s="27" t="n"/>
      <c r="P5054" s="27" t="n"/>
      <c r="Q5054" s="27" t="n"/>
      <c r="R5054" s="27" t="n"/>
      <c r="S5054" s="27" t="n"/>
      <c r="T5054" s="27" t="n"/>
    </row>
    <row r="5055" ht="13.8" customFormat="1" customHeight="1" s="70">
      <c r="M5055" s="27" t="n"/>
      <c r="N5055" s="27" t="n"/>
      <c r="O5055" s="27" t="n"/>
      <c r="P5055" s="27" t="n"/>
      <c r="Q5055" s="27" t="n"/>
      <c r="R5055" s="27" t="n"/>
      <c r="S5055" s="27" t="n"/>
      <c r="T5055" s="27" t="n"/>
    </row>
    <row r="5056" ht="13.8" customFormat="1" customHeight="1" s="70">
      <c r="M5056" s="27" t="n"/>
      <c r="N5056" s="27" t="n"/>
      <c r="O5056" s="27" t="n"/>
      <c r="P5056" s="27" t="n"/>
      <c r="Q5056" s="27" t="n"/>
      <c r="R5056" s="27" t="n"/>
      <c r="S5056" s="27" t="n"/>
      <c r="T5056" s="27" t="n"/>
    </row>
    <row r="5057" ht="13.8" customFormat="1" customHeight="1" s="70">
      <c r="M5057" s="27" t="n"/>
      <c r="N5057" s="27" t="n"/>
      <c r="O5057" s="27" t="n"/>
      <c r="P5057" s="27" t="n"/>
      <c r="Q5057" s="27" t="n"/>
      <c r="R5057" s="27" t="n"/>
      <c r="S5057" s="27" t="n"/>
      <c r="T5057" s="27" t="n"/>
    </row>
    <row r="5058" ht="13.8" customFormat="1" customHeight="1" s="70">
      <c r="M5058" s="27" t="n"/>
      <c r="N5058" s="27" t="n"/>
      <c r="O5058" s="27" t="n"/>
      <c r="P5058" s="27" t="n"/>
      <c r="Q5058" s="27" t="n"/>
      <c r="R5058" s="27" t="n"/>
      <c r="S5058" s="27" t="n"/>
      <c r="T5058" s="27" t="n"/>
    </row>
    <row r="5059" ht="13.8" customFormat="1" customHeight="1" s="70">
      <c r="M5059" s="27" t="n"/>
      <c r="N5059" s="27" t="n"/>
      <c r="O5059" s="27" t="n"/>
      <c r="P5059" s="27" t="n"/>
      <c r="Q5059" s="27" t="n"/>
      <c r="R5059" s="27" t="n"/>
      <c r="S5059" s="27" t="n"/>
      <c r="T5059" s="27" t="n"/>
    </row>
    <row r="5060" ht="13.8" customFormat="1" customHeight="1" s="70">
      <c r="M5060" s="27" t="n"/>
      <c r="N5060" s="27" t="n"/>
      <c r="O5060" s="27" t="n"/>
      <c r="P5060" s="27" t="n"/>
      <c r="Q5060" s="27" t="n"/>
      <c r="R5060" s="27" t="n"/>
      <c r="S5060" s="27" t="n"/>
      <c r="T5060" s="27" t="n"/>
    </row>
    <row r="5061" ht="13.8" customFormat="1" customHeight="1" s="70">
      <c r="M5061" s="27" t="n"/>
      <c r="N5061" s="27" t="n"/>
      <c r="O5061" s="27" t="n"/>
      <c r="P5061" s="27" t="n"/>
      <c r="Q5061" s="27" t="n"/>
      <c r="R5061" s="27" t="n"/>
      <c r="S5061" s="27" t="n"/>
      <c r="T5061" s="27" t="n"/>
    </row>
    <row r="5062" ht="13.8" customFormat="1" customHeight="1" s="70">
      <c r="M5062" s="27" t="n"/>
      <c r="N5062" s="27" t="n"/>
      <c r="O5062" s="27" t="n"/>
      <c r="P5062" s="27" t="n"/>
      <c r="Q5062" s="27" t="n"/>
      <c r="R5062" s="27" t="n"/>
      <c r="S5062" s="27" t="n"/>
      <c r="T5062" s="27" t="n"/>
    </row>
    <row r="5063" ht="13.8" customFormat="1" customHeight="1" s="70">
      <c r="M5063" s="27" t="n"/>
      <c r="N5063" s="27" t="n"/>
      <c r="O5063" s="27" t="n"/>
      <c r="P5063" s="27" t="n"/>
      <c r="Q5063" s="27" t="n"/>
      <c r="R5063" s="27" t="n"/>
      <c r="S5063" s="27" t="n"/>
      <c r="T5063" s="27" t="n"/>
    </row>
    <row r="5064" ht="13.8" customFormat="1" customHeight="1" s="70">
      <c r="M5064" s="27" t="n"/>
      <c r="N5064" s="27" t="n"/>
      <c r="O5064" s="27" t="n"/>
      <c r="P5064" s="27" t="n"/>
      <c r="Q5064" s="27" t="n"/>
      <c r="R5064" s="27" t="n"/>
      <c r="S5064" s="27" t="n"/>
      <c r="T5064" s="27" t="n"/>
    </row>
    <row r="5065" ht="13.8" customFormat="1" customHeight="1" s="70">
      <c r="M5065" s="27" t="n"/>
      <c r="N5065" s="27" t="n"/>
      <c r="O5065" s="27" t="n"/>
      <c r="P5065" s="27" t="n"/>
      <c r="Q5065" s="27" t="n"/>
      <c r="R5065" s="27" t="n"/>
      <c r="S5065" s="27" t="n"/>
      <c r="T5065" s="27" t="n"/>
    </row>
    <row r="5066" ht="13.8" customFormat="1" customHeight="1" s="70">
      <c r="M5066" s="27" t="n"/>
      <c r="N5066" s="27" t="n"/>
      <c r="O5066" s="27" t="n"/>
      <c r="P5066" s="27" t="n"/>
      <c r="Q5066" s="27" t="n"/>
      <c r="R5066" s="27" t="n"/>
      <c r="S5066" s="27" t="n"/>
      <c r="T5066" s="27" t="n"/>
    </row>
    <row r="5067" ht="13.8" customFormat="1" customHeight="1" s="70">
      <c r="M5067" s="27" t="n"/>
      <c r="N5067" s="27" t="n"/>
      <c r="O5067" s="27" t="n"/>
      <c r="P5067" s="27" t="n"/>
      <c r="Q5067" s="27" t="n"/>
      <c r="R5067" s="27" t="n"/>
      <c r="S5067" s="27" t="n"/>
      <c r="T5067" s="27" t="n"/>
    </row>
    <row r="5068" ht="13.8" customFormat="1" customHeight="1" s="70">
      <c r="M5068" s="27" t="n"/>
      <c r="N5068" s="27" t="n"/>
      <c r="O5068" s="27" t="n"/>
      <c r="P5068" s="27" t="n"/>
      <c r="Q5068" s="27" t="n"/>
      <c r="R5068" s="27" t="n"/>
      <c r="S5068" s="27" t="n"/>
      <c r="T5068" s="27" t="n"/>
    </row>
    <row r="5069" ht="13.8" customFormat="1" customHeight="1" s="70">
      <c r="M5069" s="27" t="n"/>
      <c r="N5069" s="27" t="n"/>
      <c r="O5069" s="27" t="n"/>
      <c r="P5069" s="27" t="n"/>
      <c r="Q5069" s="27" t="n"/>
      <c r="R5069" s="27" t="n"/>
      <c r="S5069" s="27" t="n"/>
      <c r="T5069" s="27" t="n"/>
    </row>
    <row r="5070" ht="13.8" customFormat="1" customHeight="1" s="70">
      <c r="M5070" s="27" t="n"/>
      <c r="N5070" s="27" t="n"/>
      <c r="O5070" s="27" t="n"/>
      <c r="P5070" s="27" t="n"/>
      <c r="Q5070" s="27" t="n"/>
      <c r="R5070" s="27" t="n"/>
      <c r="S5070" s="27" t="n"/>
      <c r="T5070" s="27" t="n"/>
    </row>
    <row r="5071" ht="13.8" customFormat="1" customHeight="1" s="70">
      <c r="M5071" s="27" t="n"/>
      <c r="N5071" s="27" t="n"/>
      <c r="O5071" s="27" t="n"/>
      <c r="P5071" s="27" t="n"/>
      <c r="Q5071" s="27" t="n"/>
      <c r="R5071" s="27" t="n"/>
      <c r="S5071" s="27" t="n"/>
      <c r="T5071" s="27" t="n"/>
    </row>
    <row r="5072" ht="13.8" customFormat="1" customHeight="1" s="70">
      <c r="M5072" s="27" t="n"/>
      <c r="N5072" s="27" t="n"/>
      <c r="O5072" s="27" t="n"/>
      <c r="P5072" s="27" t="n"/>
      <c r="Q5072" s="27" t="n"/>
      <c r="R5072" s="27" t="n"/>
      <c r="S5072" s="27" t="n"/>
      <c r="T5072" s="27" t="n"/>
    </row>
    <row r="5073" ht="13.8" customFormat="1" customHeight="1" s="70">
      <c r="M5073" s="27" t="n"/>
      <c r="N5073" s="27" t="n"/>
      <c r="O5073" s="27" t="n"/>
      <c r="P5073" s="27" t="n"/>
      <c r="Q5073" s="27" t="n"/>
      <c r="R5073" s="27" t="n"/>
      <c r="S5073" s="27" t="n"/>
      <c r="T5073" s="27" t="n"/>
    </row>
    <row r="5074" ht="13.8" customFormat="1" customHeight="1" s="70">
      <c r="M5074" s="27" t="n"/>
      <c r="N5074" s="27" t="n"/>
      <c r="O5074" s="27" t="n"/>
      <c r="P5074" s="27" t="n"/>
      <c r="Q5074" s="27" t="n"/>
      <c r="R5074" s="27" t="n"/>
      <c r="S5074" s="27" t="n"/>
      <c r="T5074" s="27" t="n"/>
    </row>
    <row r="5075" ht="13.8" customFormat="1" customHeight="1" s="70">
      <c r="M5075" s="27" t="n"/>
      <c r="N5075" s="27" t="n"/>
      <c r="O5075" s="27" t="n"/>
      <c r="P5075" s="27" t="n"/>
      <c r="Q5075" s="27" t="n"/>
      <c r="R5075" s="27" t="n"/>
      <c r="S5075" s="27" t="n"/>
      <c r="T5075" s="27" t="n"/>
    </row>
    <row r="5076" ht="13.8" customFormat="1" customHeight="1" s="70">
      <c r="M5076" s="27" t="n"/>
      <c r="N5076" s="27" t="n"/>
      <c r="O5076" s="27" t="n"/>
      <c r="P5076" s="27" t="n"/>
      <c r="Q5076" s="27" t="n"/>
      <c r="R5076" s="27" t="n"/>
      <c r="S5076" s="27" t="n"/>
      <c r="T5076" s="27" t="n"/>
    </row>
    <row r="5077" ht="13.8" customFormat="1" customHeight="1" s="70">
      <c r="M5077" s="27" t="n"/>
      <c r="N5077" s="27" t="n"/>
      <c r="O5077" s="27" t="n"/>
      <c r="P5077" s="27" t="n"/>
      <c r="Q5077" s="27" t="n"/>
      <c r="R5077" s="27" t="n"/>
      <c r="S5077" s="27" t="n"/>
      <c r="T5077" s="27" t="n"/>
    </row>
    <row r="5078" ht="13.8" customFormat="1" customHeight="1" s="70">
      <c r="M5078" s="27" t="n"/>
      <c r="N5078" s="27" t="n"/>
      <c r="O5078" s="27" t="n"/>
      <c r="P5078" s="27" t="n"/>
      <c r="Q5078" s="27" t="n"/>
      <c r="R5078" s="27" t="n"/>
      <c r="S5078" s="27" t="n"/>
      <c r="T5078" s="27" t="n"/>
    </row>
    <row r="5079" ht="13.8" customFormat="1" customHeight="1" s="70">
      <c r="M5079" s="27" t="n"/>
      <c r="N5079" s="27" t="n"/>
      <c r="O5079" s="27" t="n"/>
      <c r="P5079" s="27" t="n"/>
      <c r="Q5079" s="27" t="n"/>
      <c r="R5079" s="27" t="n"/>
      <c r="S5079" s="27" t="n"/>
      <c r="T5079" s="27" t="n"/>
    </row>
    <row r="5080" ht="13.8" customFormat="1" customHeight="1" s="70">
      <c r="M5080" s="27" t="n"/>
      <c r="N5080" s="27" t="n"/>
      <c r="O5080" s="27" t="n"/>
      <c r="P5080" s="27" t="n"/>
      <c r="Q5080" s="27" t="n"/>
      <c r="R5080" s="27" t="n"/>
      <c r="S5080" s="27" t="n"/>
      <c r="T5080" s="27" t="n"/>
    </row>
    <row r="5081" ht="13.8" customFormat="1" customHeight="1" s="70">
      <c r="M5081" s="27" t="n"/>
      <c r="N5081" s="27" t="n"/>
      <c r="O5081" s="27" t="n"/>
      <c r="P5081" s="27" t="n"/>
      <c r="Q5081" s="27" t="n"/>
      <c r="R5081" s="27" t="n"/>
      <c r="S5081" s="27" t="n"/>
      <c r="T5081" s="27" t="n"/>
    </row>
    <row r="5082" ht="13.8" customFormat="1" customHeight="1" s="70">
      <c r="M5082" s="27" t="n"/>
      <c r="N5082" s="27" t="n"/>
      <c r="O5082" s="27" t="n"/>
      <c r="P5082" s="27" t="n"/>
      <c r="Q5082" s="27" t="n"/>
      <c r="R5082" s="27" t="n"/>
      <c r="S5082" s="27" t="n"/>
      <c r="T5082" s="27" t="n"/>
    </row>
    <row r="5083" ht="13.8" customFormat="1" customHeight="1" s="70">
      <c r="M5083" s="27" t="n"/>
      <c r="N5083" s="27" t="n"/>
      <c r="O5083" s="27" t="n"/>
      <c r="P5083" s="27" t="n"/>
      <c r="Q5083" s="27" t="n"/>
      <c r="R5083" s="27" t="n"/>
      <c r="S5083" s="27" t="n"/>
      <c r="T5083" s="27" t="n"/>
    </row>
    <row r="5084" ht="13.8" customFormat="1" customHeight="1" s="70">
      <c r="M5084" s="27" t="n"/>
      <c r="N5084" s="27" t="n"/>
      <c r="O5084" s="27" t="n"/>
      <c r="P5084" s="27" t="n"/>
      <c r="Q5084" s="27" t="n"/>
      <c r="R5084" s="27" t="n"/>
      <c r="S5084" s="27" t="n"/>
      <c r="T5084" s="27" t="n"/>
    </row>
    <row r="5085" ht="13.8" customFormat="1" customHeight="1" s="70">
      <c r="M5085" s="27" t="n"/>
      <c r="N5085" s="27" t="n"/>
      <c r="O5085" s="27" t="n"/>
      <c r="P5085" s="27" t="n"/>
      <c r="Q5085" s="27" t="n"/>
      <c r="R5085" s="27" t="n"/>
      <c r="S5085" s="27" t="n"/>
      <c r="T5085" s="27" t="n"/>
    </row>
    <row r="5086" ht="13.8" customFormat="1" customHeight="1" s="70">
      <c r="M5086" s="27" t="n"/>
      <c r="N5086" s="27" t="n"/>
      <c r="O5086" s="27" t="n"/>
      <c r="P5086" s="27" t="n"/>
      <c r="Q5086" s="27" t="n"/>
      <c r="R5086" s="27" t="n"/>
      <c r="S5086" s="27" t="n"/>
      <c r="T5086" s="27" t="n"/>
    </row>
    <row r="5087" ht="13.8" customFormat="1" customHeight="1" s="70">
      <c r="M5087" s="27" t="n"/>
      <c r="N5087" s="27" t="n"/>
      <c r="O5087" s="27" t="n"/>
      <c r="P5087" s="27" t="n"/>
      <c r="Q5087" s="27" t="n"/>
      <c r="R5087" s="27" t="n"/>
      <c r="S5087" s="27" t="n"/>
      <c r="T5087" s="27" t="n"/>
    </row>
    <row r="5088" ht="13.8" customFormat="1" customHeight="1" s="70">
      <c r="M5088" s="27" t="n"/>
      <c r="N5088" s="27" t="n"/>
      <c r="O5088" s="27" t="n"/>
      <c r="P5088" s="27" t="n"/>
      <c r="Q5088" s="27" t="n"/>
      <c r="R5088" s="27" t="n"/>
      <c r="S5088" s="27" t="n"/>
      <c r="T5088" s="27" t="n"/>
    </row>
    <row r="5089" ht="13.8" customFormat="1" customHeight="1" s="70">
      <c r="M5089" s="27" t="n"/>
      <c r="N5089" s="27" t="n"/>
      <c r="O5089" s="27" t="n"/>
      <c r="P5089" s="27" t="n"/>
      <c r="Q5089" s="27" t="n"/>
      <c r="R5089" s="27" t="n"/>
      <c r="S5089" s="27" t="n"/>
      <c r="T5089" s="27" t="n"/>
    </row>
    <row r="5090" ht="13.8" customFormat="1" customHeight="1" s="70">
      <c r="M5090" s="27" t="n"/>
      <c r="N5090" s="27" t="n"/>
      <c r="O5090" s="27" t="n"/>
      <c r="P5090" s="27" t="n"/>
      <c r="Q5090" s="27" t="n"/>
      <c r="R5090" s="27" t="n"/>
      <c r="S5090" s="27" t="n"/>
      <c r="T5090" s="27" t="n"/>
    </row>
    <row r="5091" ht="13.8" customFormat="1" customHeight="1" s="70">
      <c r="M5091" s="27" t="n"/>
      <c r="N5091" s="27" t="n"/>
      <c r="O5091" s="27" t="n"/>
      <c r="P5091" s="27" t="n"/>
      <c r="Q5091" s="27" t="n"/>
      <c r="R5091" s="27" t="n"/>
      <c r="S5091" s="27" t="n"/>
      <c r="T5091" s="27" t="n"/>
    </row>
    <row r="5092" ht="13.8" customFormat="1" customHeight="1" s="70">
      <c r="M5092" s="27" t="n"/>
      <c r="N5092" s="27" t="n"/>
      <c r="O5092" s="27" t="n"/>
      <c r="P5092" s="27" t="n"/>
      <c r="Q5092" s="27" t="n"/>
      <c r="R5092" s="27" t="n"/>
      <c r="S5092" s="27" t="n"/>
      <c r="T5092" s="27" t="n"/>
    </row>
    <row r="5093" ht="13.8" customFormat="1" customHeight="1" s="70">
      <c r="M5093" s="27" t="n"/>
      <c r="N5093" s="27" t="n"/>
      <c r="O5093" s="27" t="n"/>
      <c r="P5093" s="27" t="n"/>
      <c r="Q5093" s="27" t="n"/>
      <c r="R5093" s="27" t="n"/>
      <c r="S5093" s="27" t="n"/>
      <c r="T5093" s="27" t="n"/>
    </row>
    <row r="5094" ht="13.8" customFormat="1" customHeight="1" s="70">
      <c r="M5094" s="27" t="n"/>
      <c r="N5094" s="27" t="n"/>
      <c r="O5094" s="27" t="n"/>
      <c r="P5094" s="27" t="n"/>
      <c r="Q5094" s="27" t="n"/>
      <c r="R5094" s="27" t="n"/>
      <c r="S5094" s="27" t="n"/>
      <c r="T5094" s="27" t="n"/>
    </row>
    <row r="5095" ht="13.8" customFormat="1" customHeight="1" s="70">
      <c r="M5095" s="27" t="n"/>
      <c r="N5095" s="27" t="n"/>
      <c r="O5095" s="27" t="n"/>
      <c r="P5095" s="27" t="n"/>
      <c r="Q5095" s="27" t="n"/>
      <c r="R5095" s="27" t="n"/>
      <c r="S5095" s="27" t="n"/>
      <c r="T5095" s="27" t="n"/>
    </row>
    <row r="5096" ht="13.8" customFormat="1" customHeight="1" s="70">
      <c r="M5096" s="27" t="n"/>
      <c r="N5096" s="27" t="n"/>
      <c r="O5096" s="27" t="n"/>
      <c r="P5096" s="27" t="n"/>
      <c r="Q5096" s="27" t="n"/>
      <c r="R5096" s="27" t="n"/>
      <c r="S5096" s="27" t="n"/>
      <c r="T5096" s="27" t="n"/>
    </row>
    <row r="5097" ht="13.8" customFormat="1" customHeight="1" s="70">
      <c r="M5097" s="27" t="n"/>
      <c r="N5097" s="27" t="n"/>
      <c r="O5097" s="27" t="n"/>
      <c r="P5097" s="27" t="n"/>
      <c r="Q5097" s="27" t="n"/>
      <c r="R5097" s="27" t="n"/>
      <c r="S5097" s="27" t="n"/>
      <c r="T5097" s="27" t="n"/>
    </row>
    <row r="5098" ht="13.8" customFormat="1" customHeight="1" s="70">
      <c r="M5098" s="27" t="n"/>
      <c r="N5098" s="27" t="n"/>
      <c r="O5098" s="27" t="n"/>
      <c r="P5098" s="27" t="n"/>
      <c r="Q5098" s="27" t="n"/>
      <c r="R5098" s="27" t="n"/>
      <c r="S5098" s="27" t="n"/>
      <c r="T5098" s="27" t="n"/>
    </row>
    <row r="5099" ht="13.8" customFormat="1" customHeight="1" s="70">
      <c r="M5099" s="27" t="n"/>
      <c r="N5099" s="27" t="n"/>
      <c r="O5099" s="27" t="n"/>
      <c r="P5099" s="27" t="n"/>
      <c r="Q5099" s="27" t="n"/>
      <c r="R5099" s="27" t="n"/>
      <c r="S5099" s="27" t="n"/>
      <c r="T5099" s="27" t="n"/>
    </row>
    <row r="5100" ht="13.8" customFormat="1" customHeight="1" s="70">
      <c r="M5100" s="27" t="n"/>
      <c r="N5100" s="27" t="n"/>
      <c r="O5100" s="27" t="n"/>
      <c r="P5100" s="27" t="n"/>
      <c r="Q5100" s="27" t="n"/>
      <c r="R5100" s="27" t="n"/>
      <c r="S5100" s="27" t="n"/>
      <c r="T5100" s="27" t="n"/>
    </row>
    <row r="5101" ht="13.8" customFormat="1" customHeight="1" s="70">
      <c r="M5101" s="27" t="n"/>
      <c r="N5101" s="27" t="n"/>
      <c r="O5101" s="27" t="n"/>
      <c r="P5101" s="27" t="n"/>
      <c r="Q5101" s="27" t="n"/>
      <c r="R5101" s="27" t="n"/>
      <c r="S5101" s="27" t="n"/>
      <c r="T5101" s="27" t="n"/>
    </row>
    <row r="5102" ht="13.8" customFormat="1" customHeight="1" s="70">
      <c r="M5102" s="27" t="n"/>
      <c r="N5102" s="27" t="n"/>
      <c r="O5102" s="27" t="n"/>
      <c r="P5102" s="27" t="n"/>
      <c r="Q5102" s="27" t="n"/>
      <c r="R5102" s="27" t="n"/>
      <c r="S5102" s="27" t="n"/>
      <c r="T5102" s="27" t="n"/>
    </row>
    <row r="5103" ht="13.8" customFormat="1" customHeight="1" s="70">
      <c r="M5103" s="27" t="n"/>
      <c r="N5103" s="27" t="n"/>
      <c r="O5103" s="27" t="n"/>
      <c r="P5103" s="27" t="n"/>
      <c r="Q5103" s="27" t="n"/>
      <c r="R5103" s="27" t="n"/>
      <c r="S5103" s="27" t="n"/>
      <c r="T5103" s="27" t="n"/>
    </row>
    <row r="5104" ht="13.8" customFormat="1" customHeight="1" s="70">
      <c r="M5104" s="27" t="n"/>
      <c r="N5104" s="27" t="n"/>
      <c r="O5104" s="27" t="n"/>
      <c r="P5104" s="27" t="n"/>
      <c r="Q5104" s="27" t="n"/>
      <c r="R5104" s="27" t="n"/>
      <c r="S5104" s="27" t="n"/>
      <c r="T5104" s="27" t="n"/>
    </row>
    <row r="5105" ht="13.8" customFormat="1" customHeight="1" s="70">
      <c r="M5105" s="27" t="n"/>
      <c r="N5105" s="27" t="n"/>
      <c r="O5105" s="27" t="n"/>
      <c r="P5105" s="27" t="n"/>
      <c r="Q5105" s="27" t="n"/>
      <c r="R5105" s="27" t="n"/>
      <c r="S5105" s="27" t="n"/>
      <c r="T5105" s="27" t="n"/>
    </row>
    <row r="5106" ht="13.8" customFormat="1" customHeight="1" s="70">
      <c r="M5106" s="27" t="n"/>
      <c r="N5106" s="27" t="n"/>
      <c r="O5106" s="27" t="n"/>
      <c r="P5106" s="27" t="n"/>
      <c r="Q5106" s="27" t="n"/>
      <c r="R5106" s="27" t="n"/>
      <c r="S5106" s="27" t="n"/>
      <c r="T5106" s="27" t="n"/>
    </row>
    <row r="5107" ht="13.8" customFormat="1" customHeight="1" s="70">
      <c r="M5107" s="27" t="n"/>
      <c r="N5107" s="27" t="n"/>
      <c r="O5107" s="27" t="n"/>
      <c r="P5107" s="27" t="n"/>
      <c r="Q5107" s="27" t="n"/>
      <c r="R5107" s="27" t="n"/>
      <c r="S5107" s="27" t="n"/>
      <c r="T5107" s="27" t="n"/>
    </row>
    <row r="5108" ht="13.8" customFormat="1" customHeight="1" s="70">
      <c r="M5108" s="27" t="n"/>
      <c r="N5108" s="27" t="n"/>
      <c r="O5108" s="27" t="n"/>
      <c r="P5108" s="27" t="n"/>
      <c r="Q5108" s="27" t="n"/>
      <c r="R5108" s="27" t="n"/>
      <c r="S5108" s="27" t="n"/>
      <c r="T5108" s="27" t="n"/>
    </row>
    <row r="5109" ht="13.8" customFormat="1" customHeight="1" s="70">
      <c r="M5109" s="27" t="n"/>
      <c r="N5109" s="27" t="n"/>
      <c r="O5109" s="27" t="n"/>
      <c r="P5109" s="27" t="n"/>
      <c r="Q5109" s="27" t="n"/>
      <c r="R5109" s="27" t="n"/>
      <c r="S5109" s="27" t="n"/>
      <c r="T5109" s="27" t="n"/>
    </row>
    <row r="5110" ht="13.8" customFormat="1" customHeight="1" s="70">
      <c r="M5110" s="27" t="n"/>
      <c r="N5110" s="27" t="n"/>
      <c r="O5110" s="27" t="n"/>
      <c r="P5110" s="27" t="n"/>
      <c r="Q5110" s="27" t="n"/>
      <c r="R5110" s="27" t="n"/>
      <c r="S5110" s="27" t="n"/>
      <c r="T5110" s="27" t="n"/>
    </row>
    <row r="5111" ht="13.8" customFormat="1" customHeight="1" s="70">
      <c r="M5111" s="27" t="n"/>
      <c r="N5111" s="27" t="n"/>
      <c r="O5111" s="27" t="n"/>
      <c r="P5111" s="27" t="n"/>
      <c r="Q5111" s="27" t="n"/>
      <c r="R5111" s="27" t="n"/>
      <c r="S5111" s="27" t="n"/>
      <c r="T5111" s="27" t="n"/>
    </row>
    <row r="5112" ht="13.8" customFormat="1" customHeight="1" s="70">
      <c r="M5112" s="27" t="n"/>
      <c r="N5112" s="27" t="n"/>
      <c r="O5112" s="27" t="n"/>
      <c r="P5112" s="27" t="n"/>
      <c r="Q5112" s="27" t="n"/>
      <c r="R5112" s="27" t="n"/>
      <c r="S5112" s="27" t="n"/>
      <c r="T5112" s="27" t="n"/>
    </row>
    <row r="5113" ht="13.8" customFormat="1" customHeight="1" s="70">
      <c r="M5113" s="27" t="n"/>
      <c r="N5113" s="27" t="n"/>
      <c r="O5113" s="27" t="n"/>
      <c r="P5113" s="27" t="n"/>
      <c r="Q5113" s="27" t="n"/>
      <c r="R5113" s="27" t="n"/>
      <c r="S5113" s="27" t="n"/>
      <c r="T5113" s="27" t="n"/>
    </row>
    <row r="5114" ht="13.8" customFormat="1" customHeight="1" s="70">
      <c r="M5114" s="27" t="n"/>
      <c r="N5114" s="27" t="n"/>
      <c r="O5114" s="27" t="n"/>
      <c r="P5114" s="27" t="n"/>
      <c r="Q5114" s="27" t="n"/>
      <c r="R5114" s="27" t="n"/>
      <c r="S5114" s="27" t="n"/>
      <c r="T5114" s="27" t="n"/>
    </row>
    <row r="5115" ht="13.8" customFormat="1" customHeight="1" s="70">
      <c r="M5115" s="27" t="n"/>
      <c r="N5115" s="27" t="n"/>
      <c r="O5115" s="27" t="n"/>
      <c r="P5115" s="27" t="n"/>
      <c r="Q5115" s="27" t="n"/>
      <c r="R5115" s="27" t="n"/>
      <c r="S5115" s="27" t="n"/>
      <c r="T5115" s="27" t="n"/>
    </row>
    <row r="5116" ht="13.8" customFormat="1" customHeight="1" s="70">
      <c r="M5116" s="27" t="n"/>
      <c r="N5116" s="27" t="n"/>
      <c r="O5116" s="27" t="n"/>
      <c r="P5116" s="27" t="n"/>
      <c r="Q5116" s="27" t="n"/>
      <c r="R5116" s="27" t="n"/>
      <c r="S5116" s="27" t="n"/>
      <c r="T5116" s="27" t="n"/>
    </row>
    <row r="5117" ht="13.8" customFormat="1" customHeight="1" s="70">
      <c r="M5117" s="27" t="n"/>
      <c r="N5117" s="27" t="n"/>
      <c r="O5117" s="27" t="n"/>
      <c r="P5117" s="27" t="n"/>
      <c r="Q5117" s="27" t="n"/>
      <c r="R5117" s="27" t="n"/>
      <c r="S5117" s="27" t="n"/>
      <c r="T5117" s="27" t="n"/>
    </row>
    <row r="5118" ht="13.8" customFormat="1" customHeight="1" s="70">
      <c r="M5118" s="27" t="n"/>
      <c r="N5118" s="27" t="n"/>
      <c r="O5118" s="27" t="n"/>
      <c r="P5118" s="27" t="n"/>
      <c r="Q5118" s="27" t="n"/>
      <c r="R5118" s="27" t="n"/>
      <c r="S5118" s="27" t="n"/>
      <c r="T5118" s="27" t="n"/>
    </row>
    <row r="5119" ht="13.8" customFormat="1" customHeight="1" s="70">
      <c r="M5119" s="27" t="n"/>
      <c r="N5119" s="27" t="n"/>
      <c r="O5119" s="27" t="n"/>
      <c r="P5119" s="27" t="n"/>
      <c r="Q5119" s="27" t="n"/>
      <c r="R5119" s="27" t="n"/>
      <c r="S5119" s="27" t="n"/>
      <c r="T5119" s="27" t="n"/>
    </row>
    <row r="5120" ht="13.8" customFormat="1" customHeight="1" s="70">
      <c r="M5120" s="27" t="n"/>
      <c r="N5120" s="27" t="n"/>
      <c r="O5120" s="27" t="n"/>
      <c r="P5120" s="27" t="n"/>
      <c r="Q5120" s="27" t="n"/>
      <c r="R5120" s="27" t="n"/>
      <c r="S5120" s="27" t="n"/>
      <c r="T5120" s="27" t="n"/>
    </row>
    <row r="5121" ht="13.8" customFormat="1" customHeight="1" s="70">
      <c r="M5121" s="27" t="n"/>
      <c r="N5121" s="27" t="n"/>
      <c r="O5121" s="27" t="n"/>
      <c r="P5121" s="27" t="n"/>
      <c r="Q5121" s="27" t="n"/>
      <c r="R5121" s="27" t="n"/>
      <c r="S5121" s="27" t="n"/>
      <c r="T5121" s="27" t="n"/>
    </row>
    <row r="5122" ht="13.8" customFormat="1" customHeight="1" s="70">
      <c r="M5122" s="27" t="n"/>
      <c r="N5122" s="27" t="n"/>
      <c r="O5122" s="27" t="n"/>
      <c r="P5122" s="27" t="n"/>
      <c r="Q5122" s="27" t="n"/>
      <c r="R5122" s="27" t="n"/>
      <c r="S5122" s="27" t="n"/>
      <c r="T5122" s="27" t="n"/>
    </row>
    <row r="5123" ht="13.8" customFormat="1" customHeight="1" s="70">
      <c r="M5123" s="27" t="n"/>
      <c r="N5123" s="27" t="n"/>
      <c r="O5123" s="27" t="n"/>
      <c r="P5123" s="27" t="n"/>
      <c r="Q5123" s="27" t="n"/>
      <c r="R5123" s="27" t="n"/>
      <c r="S5123" s="27" t="n"/>
      <c r="T5123" s="27" t="n"/>
    </row>
    <row r="5124" ht="13.8" customFormat="1" customHeight="1" s="70">
      <c r="M5124" s="27" t="n"/>
      <c r="N5124" s="27" t="n"/>
      <c r="O5124" s="27" t="n"/>
      <c r="P5124" s="27" t="n"/>
      <c r="Q5124" s="27" t="n"/>
      <c r="R5124" s="27" t="n"/>
      <c r="S5124" s="27" t="n"/>
      <c r="T5124" s="27" t="n"/>
    </row>
    <row r="5125" ht="13.8" customFormat="1" customHeight="1" s="70">
      <c r="M5125" s="27" t="n"/>
      <c r="N5125" s="27" t="n"/>
      <c r="O5125" s="27" t="n"/>
      <c r="P5125" s="27" t="n"/>
      <c r="Q5125" s="27" t="n"/>
      <c r="R5125" s="27" t="n"/>
      <c r="S5125" s="27" t="n"/>
      <c r="T5125" s="27" t="n"/>
    </row>
    <row r="5126" ht="13.8" customFormat="1" customHeight="1" s="70">
      <c r="M5126" s="27" t="n"/>
      <c r="N5126" s="27" t="n"/>
      <c r="O5126" s="27" t="n"/>
      <c r="P5126" s="27" t="n"/>
      <c r="Q5126" s="27" t="n"/>
      <c r="R5126" s="27" t="n"/>
      <c r="S5126" s="27" t="n"/>
      <c r="T5126" s="27" t="n"/>
    </row>
    <row r="5127" ht="13.8" customFormat="1" customHeight="1" s="70">
      <c r="M5127" s="27" t="n"/>
      <c r="N5127" s="27" t="n"/>
      <c r="O5127" s="27" t="n"/>
      <c r="P5127" s="27" t="n"/>
      <c r="Q5127" s="27" t="n"/>
      <c r="R5127" s="27" t="n"/>
      <c r="S5127" s="27" t="n"/>
      <c r="T5127" s="27" t="n"/>
    </row>
    <row r="5128" ht="13.8" customFormat="1" customHeight="1" s="70">
      <c r="M5128" s="27" t="n"/>
      <c r="N5128" s="27" t="n"/>
      <c r="O5128" s="27" t="n"/>
      <c r="P5128" s="27" t="n"/>
      <c r="Q5128" s="27" t="n"/>
      <c r="R5128" s="27" t="n"/>
      <c r="S5128" s="27" t="n"/>
      <c r="T5128" s="27" t="n"/>
    </row>
    <row r="5129" ht="13.8" customFormat="1" customHeight="1" s="70">
      <c r="M5129" s="27" t="n"/>
      <c r="N5129" s="27" t="n"/>
      <c r="O5129" s="27" t="n"/>
      <c r="P5129" s="27" t="n"/>
      <c r="Q5129" s="27" t="n"/>
      <c r="R5129" s="27" t="n"/>
      <c r="S5129" s="27" t="n"/>
      <c r="T5129" s="27" t="n"/>
    </row>
    <row r="5130" ht="13.8" customFormat="1" customHeight="1" s="70">
      <c r="M5130" s="27" t="n"/>
      <c r="N5130" s="27" t="n"/>
      <c r="O5130" s="27" t="n"/>
      <c r="P5130" s="27" t="n"/>
      <c r="Q5130" s="27" t="n"/>
      <c r="R5130" s="27" t="n"/>
      <c r="S5130" s="27" t="n"/>
      <c r="T5130" s="27" t="n"/>
    </row>
    <row r="5131" ht="13.8" customFormat="1" customHeight="1" s="70">
      <c r="M5131" s="27" t="n"/>
      <c r="N5131" s="27" t="n"/>
      <c r="O5131" s="27" t="n"/>
      <c r="P5131" s="27" t="n"/>
      <c r="Q5131" s="27" t="n"/>
      <c r="R5131" s="27" t="n"/>
      <c r="S5131" s="27" t="n"/>
      <c r="T5131" s="27" t="n"/>
    </row>
    <row r="5132" ht="13.8" customFormat="1" customHeight="1" s="70">
      <c r="M5132" s="27" t="n"/>
      <c r="N5132" s="27" t="n"/>
      <c r="O5132" s="27" t="n"/>
      <c r="P5132" s="27" t="n"/>
      <c r="Q5132" s="27" t="n"/>
      <c r="R5132" s="27" t="n"/>
      <c r="S5132" s="27" t="n"/>
      <c r="T5132" s="27" t="n"/>
    </row>
    <row r="5133" ht="13.8" customFormat="1" customHeight="1" s="70">
      <c r="M5133" s="27" t="n"/>
      <c r="N5133" s="27" t="n"/>
      <c r="O5133" s="27" t="n"/>
      <c r="P5133" s="27" t="n"/>
      <c r="Q5133" s="27" t="n"/>
      <c r="R5133" s="27" t="n"/>
      <c r="S5133" s="27" t="n"/>
      <c r="T5133" s="27" t="n"/>
    </row>
    <row r="5134" ht="13.8" customFormat="1" customHeight="1" s="70">
      <c r="M5134" s="27" t="n"/>
      <c r="N5134" s="27" t="n"/>
      <c r="O5134" s="27" t="n"/>
      <c r="P5134" s="27" t="n"/>
      <c r="Q5134" s="27" t="n"/>
      <c r="R5134" s="27" t="n"/>
      <c r="S5134" s="27" t="n"/>
      <c r="T5134" s="27" t="n"/>
    </row>
    <row r="5135" ht="13.8" customFormat="1" customHeight="1" s="70">
      <c r="M5135" s="27" t="n"/>
      <c r="N5135" s="27" t="n"/>
      <c r="O5135" s="27" t="n"/>
      <c r="P5135" s="27" t="n"/>
      <c r="Q5135" s="27" t="n"/>
      <c r="R5135" s="27" t="n"/>
      <c r="S5135" s="27" t="n"/>
      <c r="T5135" s="27" t="n"/>
    </row>
    <row r="5136" ht="13.8" customFormat="1" customHeight="1" s="70">
      <c r="M5136" s="27" t="n"/>
      <c r="N5136" s="27" t="n"/>
      <c r="O5136" s="27" t="n"/>
      <c r="P5136" s="27" t="n"/>
      <c r="Q5136" s="27" t="n"/>
      <c r="R5136" s="27" t="n"/>
      <c r="S5136" s="27" t="n"/>
      <c r="T5136" s="27" t="n"/>
    </row>
    <row r="5137" ht="13.8" customFormat="1" customHeight="1" s="70">
      <c r="M5137" s="27" t="n"/>
      <c r="N5137" s="27" t="n"/>
      <c r="O5137" s="27" t="n"/>
      <c r="P5137" s="27" t="n"/>
      <c r="Q5137" s="27" t="n"/>
      <c r="R5137" s="27" t="n"/>
      <c r="S5137" s="27" t="n"/>
      <c r="T5137" s="27" t="n"/>
    </row>
    <row r="5138" ht="13.8" customFormat="1" customHeight="1" s="70">
      <c r="M5138" s="27" t="n"/>
      <c r="N5138" s="27" t="n"/>
      <c r="O5138" s="27" t="n"/>
      <c r="P5138" s="27" t="n"/>
      <c r="Q5138" s="27" t="n"/>
      <c r="R5138" s="27" t="n"/>
      <c r="S5138" s="27" t="n"/>
      <c r="T5138" s="27" t="n"/>
    </row>
    <row r="5139" ht="13.8" customFormat="1" customHeight="1" s="70">
      <c r="M5139" s="27" t="n"/>
      <c r="N5139" s="27" t="n"/>
      <c r="O5139" s="27" t="n"/>
      <c r="P5139" s="27" t="n"/>
      <c r="Q5139" s="27" t="n"/>
      <c r="R5139" s="27" t="n"/>
      <c r="S5139" s="27" t="n"/>
      <c r="T5139" s="27" t="n"/>
    </row>
    <row r="5140" ht="13.8" customFormat="1" customHeight="1" s="70">
      <c r="M5140" s="27" t="n"/>
      <c r="N5140" s="27" t="n"/>
      <c r="O5140" s="27" t="n"/>
      <c r="P5140" s="27" t="n"/>
      <c r="Q5140" s="27" t="n"/>
      <c r="R5140" s="27" t="n"/>
      <c r="S5140" s="27" t="n"/>
      <c r="T5140" s="27" t="n"/>
    </row>
    <row r="5141" ht="13.8" customFormat="1" customHeight="1" s="70">
      <c r="M5141" s="27" t="n"/>
      <c r="N5141" s="27" t="n"/>
      <c r="O5141" s="27" t="n"/>
      <c r="P5141" s="27" t="n"/>
      <c r="Q5141" s="27" t="n"/>
      <c r="R5141" s="27" t="n"/>
      <c r="S5141" s="27" t="n"/>
      <c r="T5141" s="27" t="n"/>
    </row>
    <row r="5142" ht="13.8" customFormat="1" customHeight="1" s="70">
      <c r="M5142" s="27" t="n"/>
      <c r="N5142" s="27" t="n"/>
      <c r="O5142" s="27" t="n"/>
      <c r="P5142" s="27" t="n"/>
      <c r="Q5142" s="27" t="n"/>
      <c r="R5142" s="27" t="n"/>
      <c r="S5142" s="27" t="n"/>
      <c r="T5142" s="27" t="n"/>
    </row>
    <row r="5143" ht="13.8" customFormat="1" customHeight="1" s="70">
      <c r="M5143" s="27" t="n"/>
      <c r="N5143" s="27" t="n"/>
      <c r="O5143" s="27" t="n"/>
      <c r="P5143" s="27" t="n"/>
      <c r="Q5143" s="27" t="n"/>
      <c r="R5143" s="27" t="n"/>
      <c r="S5143" s="27" t="n"/>
      <c r="T5143" s="27" t="n"/>
    </row>
    <row r="5144" ht="13.8" customFormat="1" customHeight="1" s="70">
      <c r="M5144" s="27" t="n"/>
      <c r="N5144" s="27" t="n"/>
      <c r="O5144" s="27" t="n"/>
      <c r="P5144" s="27" t="n"/>
      <c r="Q5144" s="27" t="n"/>
      <c r="R5144" s="27" t="n"/>
      <c r="S5144" s="27" t="n"/>
      <c r="T5144" s="27" t="n"/>
    </row>
    <row r="5145" ht="13.8" customFormat="1" customHeight="1" s="70">
      <c r="M5145" s="27" t="n"/>
      <c r="N5145" s="27" t="n"/>
      <c r="O5145" s="27" t="n"/>
      <c r="P5145" s="27" t="n"/>
      <c r="Q5145" s="27" t="n"/>
      <c r="R5145" s="27" t="n"/>
      <c r="S5145" s="27" t="n"/>
      <c r="T5145" s="27" t="n"/>
    </row>
    <row r="5146" ht="13.8" customFormat="1" customHeight="1" s="70">
      <c r="M5146" s="27" t="n"/>
      <c r="N5146" s="27" t="n"/>
      <c r="O5146" s="27" t="n"/>
      <c r="P5146" s="27" t="n"/>
      <c r="Q5146" s="27" t="n"/>
      <c r="R5146" s="27" t="n"/>
      <c r="S5146" s="27" t="n"/>
      <c r="T5146" s="27" t="n"/>
    </row>
    <row r="5147" ht="13.8" customFormat="1" customHeight="1" s="70">
      <c r="M5147" s="27" t="n"/>
      <c r="N5147" s="27" t="n"/>
      <c r="O5147" s="27" t="n"/>
      <c r="P5147" s="27" t="n"/>
      <c r="Q5147" s="27" t="n"/>
      <c r="R5147" s="27" t="n"/>
      <c r="S5147" s="27" t="n"/>
      <c r="T5147" s="27" t="n"/>
    </row>
    <row r="5148" ht="13.8" customFormat="1" customHeight="1" s="70">
      <c r="M5148" s="27" t="n"/>
      <c r="N5148" s="27" t="n"/>
      <c r="O5148" s="27" t="n"/>
      <c r="P5148" s="27" t="n"/>
      <c r="Q5148" s="27" t="n"/>
      <c r="R5148" s="27" t="n"/>
      <c r="S5148" s="27" t="n"/>
      <c r="T5148" s="27" t="n"/>
    </row>
    <row r="5149" ht="13.8" customFormat="1" customHeight="1" s="70">
      <c r="M5149" s="27" t="n"/>
      <c r="N5149" s="27" t="n"/>
      <c r="O5149" s="27" t="n"/>
      <c r="P5149" s="27" t="n"/>
      <c r="Q5149" s="27" t="n"/>
      <c r="R5149" s="27" t="n"/>
      <c r="S5149" s="27" t="n"/>
      <c r="T5149" s="27" t="n"/>
    </row>
    <row r="5150" ht="13.8" customFormat="1" customHeight="1" s="70">
      <c r="M5150" s="27" t="n"/>
      <c r="N5150" s="27" t="n"/>
      <c r="O5150" s="27" t="n"/>
      <c r="P5150" s="27" t="n"/>
      <c r="Q5150" s="27" t="n"/>
      <c r="R5150" s="27" t="n"/>
      <c r="S5150" s="27" t="n"/>
      <c r="T5150" s="27" t="n"/>
    </row>
    <row r="5151" ht="13.8" customFormat="1" customHeight="1" s="70">
      <c r="M5151" s="27" t="n"/>
      <c r="N5151" s="27" t="n"/>
      <c r="O5151" s="27" t="n"/>
      <c r="P5151" s="27" t="n"/>
      <c r="Q5151" s="27" t="n"/>
      <c r="R5151" s="27" t="n"/>
      <c r="S5151" s="27" t="n"/>
      <c r="T5151" s="27" t="n"/>
    </row>
    <row r="5152" ht="13.8" customFormat="1" customHeight="1" s="70">
      <c r="M5152" s="27" t="n"/>
      <c r="N5152" s="27" t="n"/>
      <c r="O5152" s="27" t="n"/>
      <c r="P5152" s="27" t="n"/>
      <c r="Q5152" s="27" t="n"/>
      <c r="R5152" s="27" t="n"/>
      <c r="S5152" s="27" t="n"/>
      <c r="T5152" s="27" t="n"/>
    </row>
    <row r="5153" ht="13.8" customFormat="1" customHeight="1" s="70">
      <c r="M5153" s="27" t="n"/>
      <c r="N5153" s="27" t="n"/>
      <c r="O5153" s="27" t="n"/>
      <c r="P5153" s="27" t="n"/>
      <c r="Q5153" s="27" t="n"/>
      <c r="R5153" s="27" t="n"/>
      <c r="S5153" s="27" t="n"/>
      <c r="T5153" s="27" t="n"/>
    </row>
    <row r="5154" ht="13.8" customFormat="1" customHeight="1" s="70">
      <c r="M5154" s="27" t="n"/>
      <c r="N5154" s="27" t="n"/>
      <c r="O5154" s="27" t="n"/>
      <c r="P5154" s="27" t="n"/>
      <c r="Q5154" s="27" t="n"/>
      <c r="R5154" s="27" t="n"/>
      <c r="S5154" s="27" t="n"/>
      <c r="T5154" s="27" t="n"/>
    </row>
    <row r="5155" ht="13.8" customFormat="1" customHeight="1" s="70">
      <c r="M5155" s="27" t="n"/>
      <c r="N5155" s="27" t="n"/>
      <c r="O5155" s="27" t="n"/>
      <c r="P5155" s="27" t="n"/>
      <c r="Q5155" s="27" t="n"/>
      <c r="R5155" s="27" t="n"/>
      <c r="S5155" s="27" t="n"/>
      <c r="T5155" s="27" t="n"/>
    </row>
    <row r="5156" ht="13.8" customFormat="1" customHeight="1" s="70">
      <c r="M5156" s="27" t="n"/>
      <c r="N5156" s="27" t="n"/>
      <c r="O5156" s="27" t="n"/>
      <c r="P5156" s="27" t="n"/>
      <c r="Q5156" s="27" t="n"/>
      <c r="R5156" s="27" t="n"/>
      <c r="S5156" s="27" t="n"/>
      <c r="T5156" s="27" t="n"/>
    </row>
    <row r="5157" ht="13.8" customFormat="1" customHeight="1" s="70">
      <c r="M5157" s="27" t="n"/>
      <c r="N5157" s="27" t="n"/>
      <c r="O5157" s="27" t="n"/>
      <c r="P5157" s="27" t="n"/>
      <c r="Q5157" s="27" t="n"/>
      <c r="R5157" s="27" t="n"/>
      <c r="S5157" s="27" t="n"/>
      <c r="T5157" s="27" t="n"/>
    </row>
    <row r="5158" ht="13.8" customFormat="1" customHeight="1" s="70">
      <c r="M5158" s="27" t="n"/>
      <c r="N5158" s="27" t="n"/>
      <c r="O5158" s="27" t="n"/>
      <c r="P5158" s="27" t="n"/>
      <c r="Q5158" s="27" t="n"/>
      <c r="R5158" s="27" t="n"/>
      <c r="S5158" s="27" t="n"/>
      <c r="T5158" s="27" t="n"/>
    </row>
    <row r="5159" ht="13.8" customFormat="1" customHeight="1" s="70">
      <c r="M5159" s="27" t="n"/>
      <c r="N5159" s="27" t="n"/>
      <c r="O5159" s="27" t="n"/>
      <c r="P5159" s="27" t="n"/>
      <c r="Q5159" s="27" t="n"/>
      <c r="R5159" s="27" t="n"/>
      <c r="S5159" s="27" t="n"/>
      <c r="T5159" s="27" t="n"/>
    </row>
    <row r="5160" ht="13.8" customFormat="1" customHeight="1" s="70">
      <c r="M5160" s="27" t="n"/>
      <c r="N5160" s="27" t="n"/>
      <c r="O5160" s="27" t="n"/>
      <c r="P5160" s="27" t="n"/>
      <c r="Q5160" s="27" t="n"/>
      <c r="R5160" s="27" t="n"/>
      <c r="S5160" s="27" t="n"/>
      <c r="T5160" s="27" t="n"/>
    </row>
    <row r="5161" ht="13.8" customFormat="1" customHeight="1" s="70">
      <c r="M5161" s="27" t="n"/>
      <c r="N5161" s="27" t="n"/>
      <c r="O5161" s="27" t="n"/>
      <c r="P5161" s="27" t="n"/>
      <c r="Q5161" s="27" t="n"/>
      <c r="R5161" s="27" t="n"/>
      <c r="S5161" s="27" t="n"/>
      <c r="T5161" s="27" t="n"/>
    </row>
    <row r="5162" ht="13.8" customFormat="1" customHeight="1" s="70">
      <c r="M5162" s="27" t="n"/>
      <c r="N5162" s="27" t="n"/>
      <c r="O5162" s="27" t="n"/>
      <c r="P5162" s="27" t="n"/>
      <c r="Q5162" s="27" t="n"/>
      <c r="R5162" s="27" t="n"/>
      <c r="S5162" s="27" t="n"/>
      <c r="T5162" s="27" t="n"/>
    </row>
    <row r="5163" ht="13.8" customFormat="1" customHeight="1" s="70">
      <c r="M5163" s="27" t="n"/>
      <c r="N5163" s="27" t="n"/>
      <c r="O5163" s="27" t="n"/>
      <c r="P5163" s="27" t="n"/>
      <c r="Q5163" s="27" t="n"/>
      <c r="R5163" s="27" t="n"/>
      <c r="S5163" s="27" t="n"/>
      <c r="T5163" s="27" t="n"/>
    </row>
    <row r="5164" ht="13.8" customFormat="1" customHeight="1" s="70">
      <c r="M5164" s="27" t="n"/>
      <c r="N5164" s="27" t="n"/>
      <c r="O5164" s="27" t="n"/>
      <c r="P5164" s="27" t="n"/>
      <c r="Q5164" s="27" t="n"/>
      <c r="R5164" s="27" t="n"/>
      <c r="S5164" s="27" t="n"/>
      <c r="T5164" s="27" t="n"/>
    </row>
    <row r="5165" ht="13.8" customFormat="1" customHeight="1" s="70">
      <c r="M5165" s="27" t="n"/>
      <c r="N5165" s="27" t="n"/>
      <c r="O5165" s="27" t="n"/>
      <c r="P5165" s="27" t="n"/>
      <c r="Q5165" s="27" t="n"/>
      <c r="R5165" s="27" t="n"/>
      <c r="S5165" s="27" t="n"/>
      <c r="T5165" s="27" t="n"/>
    </row>
    <row r="5166" ht="13.8" customFormat="1" customHeight="1" s="70">
      <c r="M5166" s="27" t="n"/>
      <c r="N5166" s="27" t="n"/>
      <c r="O5166" s="27" t="n"/>
      <c r="P5166" s="27" t="n"/>
      <c r="Q5166" s="27" t="n"/>
      <c r="R5166" s="27" t="n"/>
      <c r="S5166" s="27" t="n"/>
      <c r="T5166" s="27" t="n"/>
    </row>
    <row r="5167" ht="13.8" customFormat="1" customHeight="1" s="70">
      <c r="M5167" s="27" t="n"/>
      <c r="N5167" s="27" t="n"/>
      <c r="O5167" s="27" t="n"/>
      <c r="P5167" s="27" t="n"/>
      <c r="Q5167" s="27" t="n"/>
      <c r="R5167" s="27" t="n"/>
      <c r="S5167" s="27" t="n"/>
      <c r="T5167" s="27" t="n"/>
    </row>
    <row r="5168" ht="13.8" customFormat="1" customHeight="1" s="70">
      <c r="M5168" s="27" t="n"/>
      <c r="N5168" s="27" t="n"/>
      <c r="O5168" s="27" t="n"/>
      <c r="P5168" s="27" t="n"/>
      <c r="Q5168" s="27" t="n"/>
      <c r="R5168" s="27" t="n"/>
      <c r="S5168" s="27" t="n"/>
      <c r="T5168" s="27" t="n"/>
    </row>
    <row r="5169" ht="13.8" customFormat="1" customHeight="1" s="70">
      <c r="M5169" s="27" t="n"/>
      <c r="N5169" s="27" t="n"/>
      <c r="O5169" s="27" t="n"/>
      <c r="P5169" s="27" t="n"/>
      <c r="Q5169" s="27" t="n"/>
      <c r="R5169" s="27" t="n"/>
      <c r="S5169" s="27" t="n"/>
      <c r="T5169" s="27" t="n"/>
    </row>
    <row r="5170" ht="13.8" customFormat="1" customHeight="1" s="70">
      <c r="M5170" s="27" t="n"/>
      <c r="N5170" s="27" t="n"/>
      <c r="O5170" s="27" t="n"/>
      <c r="P5170" s="27" t="n"/>
      <c r="Q5170" s="27" t="n"/>
      <c r="R5170" s="27" t="n"/>
      <c r="S5170" s="27" t="n"/>
      <c r="T5170" s="27" t="n"/>
    </row>
    <row r="5171" ht="13.8" customFormat="1" customHeight="1" s="70">
      <c r="M5171" s="27" t="n"/>
      <c r="N5171" s="27" t="n"/>
      <c r="O5171" s="27" t="n"/>
      <c r="P5171" s="27" t="n"/>
      <c r="Q5171" s="27" t="n"/>
      <c r="R5171" s="27" t="n"/>
      <c r="S5171" s="27" t="n"/>
      <c r="T5171" s="27" t="n"/>
    </row>
    <row r="5172" ht="13.8" customFormat="1" customHeight="1" s="70">
      <c r="M5172" s="27" t="n"/>
      <c r="N5172" s="27" t="n"/>
      <c r="O5172" s="27" t="n"/>
      <c r="P5172" s="27" t="n"/>
      <c r="Q5172" s="27" t="n"/>
      <c r="R5172" s="27" t="n"/>
      <c r="S5172" s="27" t="n"/>
      <c r="T5172" s="27" t="n"/>
    </row>
    <row r="5173" ht="13.8" customFormat="1" customHeight="1" s="70">
      <c r="M5173" s="27" t="n"/>
      <c r="N5173" s="27" t="n"/>
      <c r="O5173" s="27" t="n"/>
      <c r="P5173" s="27" t="n"/>
      <c r="Q5173" s="27" t="n"/>
      <c r="R5173" s="27" t="n"/>
      <c r="S5173" s="27" t="n"/>
      <c r="T5173" s="27" t="n"/>
    </row>
    <row r="5174" ht="13.8" customFormat="1" customHeight="1" s="70">
      <c r="M5174" s="27" t="n"/>
      <c r="N5174" s="27" t="n"/>
      <c r="O5174" s="27" t="n"/>
      <c r="P5174" s="27" t="n"/>
      <c r="Q5174" s="27" t="n"/>
      <c r="R5174" s="27" t="n"/>
      <c r="S5174" s="27" t="n"/>
      <c r="T5174" s="27" t="n"/>
    </row>
    <row r="5175" ht="13.8" customFormat="1" customHeight="1" s="70">
      <c r="M5175" s="27" t="n"/>
      <c r="N5175" s="27" t="n"/>
      <c r="O5175" s="27" t="n"/>
      <c r="P5175" s="27" t="n"/>
      <c r="Q5175" s="27" t="n"/>
      <c r="R5175" s="27" t="n"/>
      <c r="S5175" s="27" t="n"/>
      <c r="T5175" s="27" t="n"/>
    </row>
    <row r="5176" ht="13.8" customFormat="1" customHeight="1" s="70">
      <c r="M5176" s="27" t="n"/>
      <c r="N5176" s="27" t="n"/>
      <c r="O5176" s="27" t="n"/>
      <c r="P5176" s="27" t="n"/>
      <c r="Q5176" s="27" t="n"/>
      <c r="R5176" s="27" t="n"/>
      <c r="S5176" s="27" t="n"/>
      <c r="T5176" s="27" t="n"/>
    </row>
    <row r="5177" ht="13.8" customFormat="1" customHeight="1" s="70">
      <c r="M5177" s="27" t="n"/>
      <c r="N5177" s="27" t="n"/>
      <c r="O5177" s="27" t="n"/>
      <c r="P5177" s="27" t="n"/>
      <c r="Q5177" s="27" t="n"/>
      <c r="R5177" s="27" t="n"/>
      <c r="S5177" s="27" t="n"/>
      <c r="T5177" s="27" t="n"/>
    </row>
    <row r="5178" ht="13.8" customFormat="1" customHeight="1" s="70">
      <c r="M5178" s="27" t="n"/>
      <c r="N5178" s="27" t="n"/>
      <c r="O5178" s="27" t="n"/>
      <c r="P5178" s="27" t="n"/>
      <c r="Q5178" s="27" t="n"/>
      <c r="R5178" s="27" t="n"/>
      <c r="S5178" s="27" t="n"/>
      <c r="T5178" s="27" t="n"/>
    </row>
    <row r="5179" ht="13.8" customFormat="1" customHeight="1" s="70">
      <c r="M5179" s="27" t="n"/>
      <c r="N5179" s="27" t="n"/>
      <c r="O5179" s="27" t="n"/>
      <c r="P5179" s="27" t="n"/>
      <c r="Q5179" s="27" t="n"/>
      <c r="R5179" s="27" t="n"/>
      <c r="S5179" s="27" t="n"/>
      <c r="T5179" s="27" t="n"/>
    </row>
    <row r="5180" ht="13.8" customFormat="1" customHeight="1" s="70">
      <c r="M5180" s="27" t="n"/>
      <c r="N5180" s="27" t="n"/>
      <c r="O5180" s="27" t="n"/>
      <c r="P5180" s="27" t="n"/>
      <c r="Q5180" s="27" t="n"/>
      <c r="R5180" s="27" t="n"/>
      <c r="S5180" s="27" t="n"/>
      <c r="T5180" s="27" t="n"/>
    </row>
    <row r="5181" ht="13.8" customFormat="1" customHeight="1" s="70">
      <c r="M5181" s="27" t="n"/>
      <c r="N5181" s="27" t="n"/>
      <c r="O5181" s="27" t="n"/>
      <c r="P5181" s="27" t="n"/>
      <c r="Q5181" s="27" t="n"/>
      <c r="R5181" s="27" t="n"/>
      <c r="S5181" s="27" t="n"/>
      <c r="T5181" s="27" t="n"/>
    </row>
    <row r="5182" ht="13.8" customFormat="1" customHeight="1" s="70">
      <c r="M5182" s="27" t="n"/>
      <c r="N5182" s="27" t="n"/>
      <c r="O5182" s="27" t="n"/>
      <c r="P5182" s="27" t="n"/>
      <c r="Q5182" s="27" t="n"/>
      <c r="R5182" s="27" t="n"/>
      <c r="S5182" s="27" t="n"/>
      <c r="T5182" s="27" t="n"/>
    </row>
    <row r="5183" ht="13.8" customFormat="1" customHeight="1" s="70">
      <c r="M5183" s="27" t="n"/>
      <c r="N5183" s="27" t="n"/>
      <c r="O5183" s="27" t="n"/>
      <c r="P5183" s="27" t="n"/>
      <c r="Q5183" s="27" t="n"/>
      <c r="R5183" s="27" t="n"/>
      <c r="S5183" s="27" t="n"/>
      <c r="T5183" s="27" t="n"/>
    </row>
    <row r="5184" ht="13.8" customFormat="1" customHeight="1" s="70">
      <c r="M5184" s="27" t="n"/>
      <c r="N5184" s="27" t="n"/>
      <c r="O5184" s="27" t="n"/>
      <c r="P5184" s="27" t="n"/>
      <c r="Q5184" s="27" t="n"/>
      <c r="R5184" s="27" t="n"/>
      <c r="S5184" s="27" t="n"/>
      <c r="T5184" s="27" t="n"/>
    </row>
    <row r="5185" ht="13.8" customFormat="1" customHeight="1" s="70">
      <c r="M5185" s="27" t="n"/>
      <c r="N5185" s="27" t="n"/>
      <c r="O5185" s="27" t="n"/>
      <c r="P5185" s="27" t="n"/>
      <c r="Q5185" s="27" t="n"/>
      <c r="R5185" s="27" t="n"/>
      <c r="S5185" s="27" t="n"/>
      <c r="T5185" s="27" t="n"/>
    </row>
    <row r="5186" ht="13.8" customFormat="1" customHeight="1" s="70">
      <c r="M5186" s="27" t="n"/>
      <c r="N5186" s="27" t="n"/>
      <c r="O5186" s="27" t="n"/>
      <c r="P5186" s="27" t="n"/>
      <c r="Q5186" s="27" t="n"/>
      <c r="R5186" s="27" t="n"/>
      <c r="S5186" s="27" t="n"/>
      <c r="T5186" s="27" t="n"/>
    </row>
    <row r="5187" ht="13.8" customFormat="1" customHeight="1" s="70">
      <c r="M5187" s="27" t="n"/>
      <c r="N5187" s="27" t="n"/>
      <c r="O5187" s="27" t="n"/>
      <c r="P5187" s="27" t="n"/>
      <c r="Q5187" s="27" t="n"/>
      <c r="R5187" s="27" t="n"/>
      <c r="S5187" s="27" t="n"/>
      <c r="T5187" s="27" t="n"/>
    </row>
    <row r="5188" ht="13.8" customFormat="1" customHeight="1" s="70">
      <c r="M5188" s="27" t="n"/>
      <c r="N5188" s="27" t="n"/>
      <c r="O5188" s="27" t="n"/>
      <c r="P5188" s="27" t="n"/>
      <c r="Q5188" s="27" t="n"/>
      <c r="R5188" s="27" t="n"/>
      <c r="S5188" s="27" t="n"/>
      <c r="T5188" s="27" t="n"/>
    </row>
    <row r="5189" ht="13.8" customFormat="1" customHeight="1" s="70">
      <c r="M5189" s="27" t="n"/>
      <c r="N5189" s="27" t="n"/>
      <c r="O5189" s="27" t="n"/>
      <c r="P5189" s="27" t="n"/>
      <c r="Q5189" s="27" t="n"/>
      <c r="R5189" s="27" t="n"/>
      <c r="S5189" s="27" t="n"/>
      <c r="T5189" s="27" t="n"/>
    </row>
    <row r="5190" ht="13.8" customFormat="1" customHeight="1" s="70">
      <c r="M5190" s="27" t="n"/>
      <c r="N5190" s="27" t="n"/>
      <c r="O5190" s="27" t="n"/>
      <c r="P5190" s="27" t="n"/>
      <c r="Q5190" s="27" t="n"/>
      <c r="R5190" s="27" t="n"/>
      <c r="S5190" s="27" t="n"/>
      <c r="T5190" s="27" t="n"/>
    </row>
    <row r="5191" ht="13.8" customFormat="1" customHeight="1" s="70">
      <c r="M5191" s="27" t="n"/>
      <c r="N5191" s="27" t="n"/>
      <c r="O5191" s="27" t="n"/>
      <c r="P5191" s="27" t="n"/>
      <c r="Q5191" s="27" t="n"/>
      <c r="R5191" s="27" t="n"/>
      <c r="S5191" s="27" t="n"/>
      <c r="T5191" s="27" t="n"/>
    </row>
    <row r="5192" ht="13.8" customFormat="1" customHeight="1" s="70">
      <c r="M5192" s="27" t="n"/>
      <c r="N5192" s="27" t="n"/>
      <c r="O5192" s="27" t="n"/>
      <c r="P5192" s="27" t="n"/>
      <c r="Q5192" s="27" t="n"/>
      <c r="R5192" s="27" t="n"/>
      <c r="S5192" s="27" t="n"/>
      <c r="T5192" s="27" t="n"/>
    </row>
    <row r="5193" ht="13.8" customFormat="1" customHeight="1" s="70">
      <c r="M5193" s="27" t="n"/>
      <c r="N5193" s="27" t="n"/>
      <c r="O5193" s="27" t="n"/>
      <c r="P5193" s="27" t="n"/>
      <c r="Q5193" s="27" t="n"/>
      <c r="R5193" s="27" t="n"/>
      <c r="S5193" s="27" t="n"/>
      <c r="T5193" s="27" t="n"/>
    </row>
    <row r="5194" ht="13.8" customFormat="1" customHeight="1" s="70">
      <c r="M5194" s="27" t="n"/>
      <c r="N5194" s="27" t="n"/>
      <c r="O5194" s="27" t="n"/>
      <c r="P5194" s="27" t="n"/>
      <c r="Q5194" s="27" t="n"/>
      <c r="R5194" s="27" t="n"/>
      <c r="S5194" s="27" t="n"/>
      <c r="T5194" s="27" t="n"/>
    </row>
    <row r="5195" ht="13.8" customFormat="1" customHeight="1" s="70">
      <c r="M5195" s="27" t="n"/>
      <c r="N5195" s="27" t="n"/>
      <c r="O5195" s="27" t="n"/>
      <c r="P5195" s="27" t="n"/>
      <c r="Q5195" s="27" t="n"/>
      <c r="R5195" s="27" t="n"/>
      <c r="S5195" s="27" t="n"/>
      <c r="T5195" s="27" t="n"/>
    </row>
    <row r="5196" ht="13.8" customFormat="1" customHeight="1" s="70">
      <c r="M5196" s="27" t="n"/>
      <c r="N5196" s="27" t="n"/>
      <c r="O5196" s="27" t="n"/>
      <c r="P5196" s="27" t="n"/>
      <c r="Q5196" s="27" t="n"/>
      <c r="R5196" s="27" t="n"/>
      <c r="S5196" s="27" t="n"/>
      <c r="T5196" s="27" t="n"/>
    </row>
    <row r="5197" ht="13.8" customFormat="1" customHeight="1" s="70">
      <c r="M5197" s="27" t="n"/>
      <c r="N5197" s="27" t="n"/>
      <c r="O5197" s="27" t="n"/>
      <c r="P5197" s="27" t="n"/>
      <c r="Q5197" s="27" t="n"/>
      <c r="R5197" s="27" t="n"/>
      <c r="S5197" s="27" t="n"/>
      <c r="T5197" s="27" t="n"/>
    </row>
    <row r="5198" ht="13.8" customFormat="1" customHeight="1" s="70">
      <c r="M5198" s="27" t="n"/>
      <c r="N5198" s="27" t="n"/>
      <c r="O5198" s="27" t="n"/>
      <c r="P5198" s="27" t="n"/>
      <c r="Q5198" s="27" t="n"/>
      <c r="R5198" s="27" t="n"/>
      <c r="S5198" s="27" t="n"/>
      <c r="T5198" s="27" t="n"/>
    </row>
    <row r="5199" ht="13.8" customFormat="1" customHeight="1" s="70">
      <c r="M5199" s="27" t="n"/>
      <c r="N5199" s="27" t="n"/>
      <c r="O5199" s="27" t="n"/>
      <c r="P5199" s="27" t="n"/>
      <c r="Q5199" s="27" t="n"/>
      <c r="R5199" s="27" t="n"/>
      <c r="S5199" s="27" t="n"/>
      <c r="T5199" s="27" t="n"/>
    </row>
    <row r="5200" ht="13.8" customFormat="1" customHeight="1" s="70">
      <c r="M5200" s="27" t="n"/>
      <c r="N5200" s="27" t="n"/>
      <c r="O5200" s="27" t="n"/>
      <c r="P5200" s="27" t="n"/>
      <c r="Q5200" s="27" t="n"/>
      <c r="R5200" s="27" t="n"/>
      <c r="S5200" s="27" t="n"/>
      <c r="T5200" s="27" t="n"/>
    </row>
    <row r="5201" ht="13.8" customFormat="1" customHeight="1" s="70">
      <c r="M5201" s="27" t="n"/>
      <c r="N5201" s="27" t="n"/>
      <c r="O5201" s="27" t="n"/>
      <c r="P5201" s="27" t="n"/>
      <c r="Q5201" s="27" t="n"/>
      <c r="R5201" s="27" t="n"/>
      <c r="S5201" s="27" t="n"/>
      <c r="T5201" s="27" t="n"/>
    </row>
    <row r="5202" ht="13.8" customFormat="1" customHeight="1" s="70">
      <c r="M5202" s="27" t="n"/>
      <c r="N5202" s="27" t="n"/>
      <c r="O5202" s="27" t="n"/>
      <c r="P5202" s="27" t="n"/>
      <c r="Q5202" s="27" t="n"/>
      <c r="R5202" s="27" t="n"/>
      <c r="S5202" s="27" t="n"/>
      <c r="T5202" s="27" t="n"/>
    </row>
    <row r="5203" ht="13.8" customFormat="1" customHeight="1" s="70">
      <c r="M5203" s="27" t="n"/>
      <c r="N5203" s="27" t="n"/>
      <c r="O5203" s="27" t="n"/>
      <c r="P5203" s="27" t="n"/>
      <c r="Q5203" s="27" t="n"/>
      <c r="R5203" s="27" t="n"/>
      <c r="S5203" s="27" t="n"/>
      <c r="T5203" s="27" t="n"/>
    </row>
    <row r="5204" ht="13.8" customFormat="1" customHeight="1" s="70">
      <c r="M5204" s="27" t="n"/>
      <c r="N5204" s="27" t="n"/>
      <c r="O5204" s="27" t="n"/>
      <c r="P5204" s="27" t="n"/>
      <c r="Q5204" s="27" t="n"/>
      <c r="R5204" s="27" t="n"/>
      <c r="S5204" s="27" t="n"/>
      <c r="T5204" s="27" t="n"/>
    </row>
    <row r="5205" ht="13.8" customFormat="1" customHeight="1" s="70">
      <c r="M5205" s="27" t="n"/>
      <c r="N5205" s="27" t="n"/>
      <c r="O5205" s="27" t="n"/>
      <c r="P5205" s="27" t="n"/>
      <c r="Q5205" s="27" t="n"/>
      <c r="R5205" s="27" t="n"/>
      <c r="S5205" s="27" t="n"/>
      <c r="T5205" s="27" t="n"/>
    </row>
    <row r="5206" ht="13.8" customFormat="1" customHeight="1" s="70">
      <c r="M5206" s="27" t="n"/>
      <c r="N5206" s="27" t="n"/>
      <c r="O5206" s="27" t="n"/>
      <c r="P5206" s="27" t="n"/>
      <c r="Q5206" s="27" t="n"/>
      <c r="R5206" s="27" t="n"/>
      <c r="S5206" s="27" t="n"/>
      <c r="T5206" s="27" t="n"/>
    </row>
    <row r="5207" ht="13.8" customFormat="1" customHeight="1" s="70">
      <c r="M5207" s="27" t="n"/>
      <c r="N5207" s="27" t="n"/>
      <c r="O5207" s="27" t="n"/>
      <c r="P5207" s="27" t="n"/>
      <c r="Q5207" s="27" t="n"/>
      <c r="R5207" s="27" t="n"/>
      <c r="S5207" s="27" t="n"/>
      <c r="T5207" s="27" t="n"/>
    </row>
    <row r="5208" ht="13.8" customFormat="1" customHeight="1" s="70">
      <c r="M5208" s="27" t="n"/>
      <c r="N5208" s="27" t="n"/>
      <c r="O5208" s="27" t="n"/>
      <c r="P5208" s="27" t="n"/>
      <c r="Q5208" s="27" t="n"/>
      <c r="R5208" s="27" t="n"/>
      <c r="S5208" s="27" t="n"/>
      <c r="T5208" s="27" t="n"/>
    </row>
    <row r="5209" ht="13.8" customFormat="1" customHeight="1" s="70">
      <c r="M5209" s="27" t="n"/>
      <c r="N5209" s="27" t="n"/>
      <c r="O5209" s="27" t="n"/>
      <c r="P5209" s="27" t="n"/>
      <c r="Q5209" s="27" t="n"/>
      <c r="R5209" s="27" t="n"/>
      <c r="S5209" s="27" t="n"/>
      <c r="T5209" s="27" t="n"/>
    </row>
    <row r="5210" ht="13.8" customFormat="1" customHeight="1" s="70">
      <c r="M5210" s="27" t="n"/>
      <c r="N5210" s="27" t="n"/>
      <c r="O5210" s="27" t="n"/>
      <c r="P5210" s="27" t="n"/>
      <c r="Q5210" s="27" t="n"/>
      <c r="R5210" s="27" t="n"/>
      <c r="S5210" s="27" t="n"/>
      <c r="T5210" s="27" t="n"/>
    </row>
    <row r="5211" ht="13.8" customFormat="1" customHeight="1" s="70">
      <c r="M5211" s="27" t="n"/>
      <c r="N5211" s="27" t="n"/>
      <c r="O5211" s="27" t="n"/>
      <c r="P5211" s="27" t="n"/>
      <c r="Q5211" s="27" t="n"/>
      <c r="R5211" s="27" t="n"/>
      <c r="S5211" s="27" t="n"/>
      <c r="T5211" s="27" t="n"/>
    </row>
    <row r="5212" ht="13.8" customFormat="1" customHeight="1" s="70">
      <c r="M5212" s="27" t="n"/>
      <c r="N5212" s="27" t="n"/>
      <c r="O5212" s="27" t="n"/>
      <c r="P5212" s="27" t="n"/>
      <c r="Q5212" s="27" t="n"/>
      <c r="R5212" s="27" t="n"/>
      <c r="S5212" s="27" t="n"/>
      <c r="T5212" s="27" t="n"/>
    </row>
    <row r="5213" ht="13.8" customFormat="1" customHeight="1" s="70">
      <c r="M5213" s="27" t="n"/>
      <c r="N5213" s="27" t="n"/>
      <c r="O5213" s="27" t="n"/>
      <c r="P5213" s="27" t="n"/>
      <c r="Q5213" s="27" t="n"/>
      <c r="R5213" s="27" t="n"/>
      <c r="S5213" s="27" t="n"/>
      <c r="T5213" s="27" t="n"/>
    </row>
    <row r="5214" ht="13.8" customFormat="1" customHeight="1" s="70">
      <c r="M5214" s="27" t="n"/>
      <c r="N5214" s="27" t="n"/>
      <c r="O5214" s="27" t="n"/>
      <c r="P5214" s="27" t="n"/>
      <c r="Q5214" s="27" t="n"/>
      <c r="R5214" s="27" t="n"/>
      <c r="S5214" s="27" t="n"/>
      <c r="T5214" s="27" t="n"/>
    </row>
    <row r="5215" ht="13.8" customFormat="1" customHeight="1" s="70">
      <c r="M5215" s="27" t="n"/>
      <c r="N5215" s="27" t="n"/>
      <c r="O5215" s="27" t="n"/>
      <c r="P5215" s="27" t="n"/>
      <c r="Q5215" s="27" t="n"/>
      <c r="R5215" s="27" t="n"/>
      <c r="S5215" s="27" t="n"/>
      <c r="T5215" s="27" t="n"/>
    </row>
    <row r="5216" ht="13.8" customFormat="1" customHeight="1" s="70">
      <c r="M5216" s="27" t="n"/>
      <c r="N5216" s="27" t="n"/>
      <c r="O5216" s="27" t="n"/>
      <c r="P5216" s="27" t="n"/>
      <c r="Q5216" s="27" t="n"/>
      <c r="R5216" s="27" t="n"/>
      <c r="S5216" s="27" t="n"/>
      <c r="T5216" s="27" t="n"/>
    </row>
    <row r="5217" ht="13.8" customFormat="1" customHeight="1" s="70">
      <c r="M5217" s="27" t="n"/>
      <c r="N5217" s="27" t="n"/>
      <c r="O5217" s="27" t="n"/>
      <c r="P5217" s="27" t="n"/>
      <c r="Q5217" s="27" t="n"/>
      <c r="R5217" s="27" t="n"/>
      <c r="S5217" s="27" t="n"/>
      <c r="T5217" s="27" t="n"/>
    </row>
    <row r="5218" ht="13.8" customFormat="1" customHeight="1" s="70">
      <c r="M5218" s="27" t="n"/>
      <c r="N5218" s="27" t="n"/>
      <c r="O5218" s="27" t="n"/>
      <c r="P5218" s="27" t="n"/>
      <c r="Q5218" s="27" t="n"/>
      <c r="R5218" s="27" t="n"/>
      <c r="S5218" s="27" t="n"/>
      <c r="T5218" s="27" t="n"/>
    </row>
    <row r="5219" ht="13.8" customFormat="1" customHeight="1" s="70">
      <c r="M5219" s="27" t="n"/>
      <c r="N5219" s="27" t="n"/>
      <c r="O5219" s="27" t="n"/>
      <c r="P5219" s="27" t="n"/>
      <c r="Q5219" s="27" t="n"/>
      <c r="R5219" s="27" t="n"/>
      <c r="S5219" s="27" t="n"/>
      <c r="T5219" s="27" t="n"/>
    </row>
    <row r="5220" ht="13.8" customFormat="1" customHeight="1" s="70">
      <c r="M5220" s="27" t="n"/>
      <c r="N5220" s="27" t="n"/>
      <c r="O5220" s="27" t="n"/>
      <c r="P5220" s="27" t="n"/>
      <c r="Q5220" s="27" t="n"/>
      <c r="R5220" s="27" t="n"/>
      <c r="S5220" s="27" t="n"/>
      <c r="T5220" s="27" t="n"/>
    </row>
    <row r="5221" ht="13.8" customFormat="1" customHeight="1" s="70">
      <c r="M5221" s="27" t="n"/>
      <c r="N5221" s="27" t="n"/>
      <c r="O5221" s="27" t="n"/>
      <c r="P5221" s="27" t="n"/>
      <c r="Q5221" s="27" t="n"/>
      <c r="R5221" s="27" t="n"/>
      <c r="S5221" s="27" t="n"/>
      <c r="T5221" s="27" t="n"/>
    </row>
    <row r="5222" ht="13.8" customFormat="1" customHeight="1" s="70">
      <c r="M5222" s="27" t="n"/>
      <c r="N5222" s="27" t="n"/>
      <c r="O5222" s="27" t="n"/>
      <c r="P5222" s="27" t="n"/>
      <c r="Q5222" s="27" t="n"/>
      <c r="R5222" s="27" t="n"/>
      <c r="S5222" s="27" t="n"/>
      <c r="T5222" s="27" t="n"/>
    </row>
    <row r="5223" ht="13.8" customFormat="1" customHeight="1" s="70">
      <c r="M5223" s="27" t="n"/>
      <c r="N5223" s="27" t="n"/>
      <c r="O5223" s="27" t="n"/>
      <c r="P5223" s="27" t="n"/>
      <c r="Q5223" s="27" t="n"/>
      <c r="R5223" s="27" t="n"/>
      <c r="S5223" s="27" t="n"/>
      <c r="T5223" s="27" t="n"/>
    </row>
    <row r="5224" ht="13.8" customFormat="1" customHeight="1" s="70">
      <c r="M5224" s="27" t="n"/>
      <c r="N5224" s="27" t="n"/>
      <c r="O5224" s="27" t="n"/>
      <c r="P5224" s="27" t="n"/>
      <c r="Q5224" s="27" t="n"/>
      <c r="R5224" s="27" t="n"/>
      <c r="S5224" s="27" t="n"/>
      <c r="T5224" s="27" t="n"/>
    </row>
    <row r="5225" ht="13.8" customFormat="1" customHeight="1" s="70">
      <c r="M5225" s="27" t="n"/>
      <c r="N5225" s="27" t="n"/>
      <c r="O5225" s="27" t="n"/>
      <c r="P5225" s="27" t="n"/>
      <c r="Q5225" s="27" t="n"/>
      <c r="R5225" s="27" t="n"/>
      <c r="S5225" s="27" t="n"/>
      <c r="T5225" s="27" t="n"/>
    </row>
    <row r="5226" ht="13.8" customFormat="1" customHeight="1" s="70">
      <c r="M5226" s="27" t="n"/>
      <c r="N5226" s="27" t="n"/>
      <c r="O5226" s="27" t="n"/>
      <c r="P5226" s="27" t="n"/>
      <c r="Q5226" s="27" t="n"/>
      <c r="R5226" s="27" t="n"/>
      <c r="S5226" s="27" t="n"/>
      <c r="T5226" s="27" t="n"/>
    </row>
    <row r="5227" ht="13.8" customFormat="1" customHeight="1" s="70">
      <c r="M5227" s="27" t="n"/>
      <c r="N5227" s="27" t="n"/>
      <c r="O5227" s="27" t="n"/>
      <c r="P5227" s="27" t="n"/>
      <c r="Q5227" s="27" t="n"/>
      <c r="R5227" s="27" t="n"/>
      <c r="S5227" s="27" t="n"/>
      <c r="T5227" s="27" t="n"/>
    </row>
    <row r="5228" ht="13.8" customFormat="1" customHeight="1" s="70">
      <c r="M5228" s="27" t="n"/>
      <c r="N5228" s="27" t="n"/>
      <c r="O5228" s="27" t="n"/>
      <c r="P5228" s="27" t="n"/>
      <c r="Q5228" s="27" t="n"/>
      <c r="R5228" s="27" t="n"/>
      <c r="S5228" s="27" t="n"/>
      <c r="T5228" s="27" t="n"/>
    </row>
    <row r="5229" ht="13.8" customFormat="1" customHeight="1" s="70">
      <c r="M5229" s="27" t="n"/>
      <c r="N5229" s="27" t="n"/>
      <c r="O5229" s="27" t="n"/>
      <c r="P5229" s="27" t="n"/>
      <c r="Q5229" s="27" t="n"/>
      <c r="R5229" s="27" t="n"/>
      <c r="S5229" s="27" t="n"/>
      <c r="T5229" s="27" t="n"/>
    </row>
    <row r="5230" ht="13.8" customFormat="1" customHeight="1" s="70">
      <c r="M5230" s="27" t="n"/>
      <c r="N5230" s="27" t="n"/>
      <c r="O5230" s="27" t="n"/>
      <c r="P5230" s="27" t="n"/>
      <c r="Q5230" s="27" t="n"/>
      <c r="R5230" s="27" t="n"/>
      <c r="S5230" s="27" t="n"/>
      <c r="T5230" s="27" t="n"/>
    </row>
    <row r="5231" ht="13.8" customFormat="1" customHeight="1" s="70">
      <c r="M5231" s="27" t="n"/>
      <c r="N5231" s="27" t="n"/>
      <c r="O5231" s="27" t="n"/>
      <c r="P5231" s="27" t="n"/>
      <c r="Q5231" s="27" t="n"/>
      <c r="R5231" s="27" t="n"/>
      <c r="S5231" s="27" t="n"/>
      <c r="T5231" s="27" t="n"/>
    </row>
    <row r="5232" ht="13.8" customFormat="1" customHeight="1" s="70">
      <c r="M5232" s="27" t="n"/>
      <c r="N5232" s="27" t="n"/>
      <c r="O5232" s="27" t="n"/>
      <c r="P5232" s="27" t="n"/>
      <c r="Q5232" s="27" t="n"/>
      <c r="R5232" s="27" t="n"/>
      <c r="S5232" s="27" t="n"/>
      <c r="T5232" s="27" t="n"/>
    </row>
    <row r="5233" ht="13.8" customFormat="1" customHeight="1" s="70">
      <c r="M5233" s="27" t="n"/>
      <c r="N5233" s="27" t="n"/>
      <c r="O5233" s="27" t="n"/>
      <c r="P5233" s="27" t="n"/>
      <c r="Q5233" s="27" t="n"/>
      <c r="R5233" s="27" t="n"/>
      <c r="S5233" s="27" t="n"/>
      <c r="T5233" s="27" t="n"/>
    </row>
    <row r="5234" ht="13.8" customFormat="1" customHeight="1" s="70">
      <c r="M5234" s="27" t="n"/>
      <c r="N5234" s="27" t="n"/>
      <c r="O5234" s="27" t="n"/>
      <c r="P5234" s="27" t="n"/>
      <c r="Q5234" s="27" t="n"/>
      <c r="R5234" s="27" t="n"/>
      <c r="S5234" s="27" t="n"/>
      <c r="T5234" s="27" t="n"/>
    </row>
    <row r="5235" ht="13.8" customFormat="1" customHeight="1" s="70">
      <c r="M5235" s="27" t="n"/>
      <c r="N5235" s="27" t="n"/>
      <c r="O5235" s="27" t="n"/>
      <c r="P5235" s="27" t="n"/>
      <c r="Q5235" s="27" t="n"/>
      <c r="R5235" s="27" t="n"/>
      <c r="S5235" s="27" t="n"/>
      <c r="T5235" s="27" t="n"/>
    </row>
    <row r="5236" ht="13.8" customFormat="1" customHeight="1" s="70">
      <c r="M5236" s="27" t="n"/>
      <c r="N5236" s="27" t="n"/>
      <c r="O5236" s="27" t="n"/>
      <c r="P5236" s="27" t="n"/>
      <c r="Q5236" s="27" t="n"/>
      <c r="R5236" s="27" t="n"/>
      <c r="S5236" s="27" t="n"/>
      <c r="T5236" s="27" t="n"/>
    </row>
    <row r="5237" ht="13.8" customFormat="1" customHeight="1" s="70">
      <c r="M5237" s="27" t="n"/>
      <c r="N5237" s="27" t="n"/>
      <c r="O5237" s="27" t="n"/>
      <c r="P5237" s="27" t="n"/>
      <c r="Q5237" s="27" t="n"/>
      <c r="R5237" s="27" t="n"/>
      <c r="S5237" s="27" t="n"/>
      <c r="T5237" s="27" t="n"/>
    </row>
    <row r="5238" ht="13.8" customFormat="1" customHeight="1" s="70">
      <c r="M5238" s="27" t="n"/>
      <c r="N5238" s="27" t="n"/>
      <c r="O5238" s="27" t="n"/>
      <c r="P5238" s="27" t="n"/>
      <c r="Q5238" s="27" t="n"/>
      <c r="R5238" s="27" t="n"/>
      <c r="S5238" s="27" t="n"/>
      <c r="T5238" s="27" t="n"/>
    </row>
    <row r="5239" ht="13.8" customFormat="1" customHeight="1" s="70">
      <c r="M5239" s="27" t="n"/>
      <c r="N5239" s="27" t="n"/>
      <c r="O5239" s="27" t="n"/>
      <c r="P5239" s="27" t="n"/>
      <c r="Q5239" s="27" t="n"/>
      <c r="R5239" s="27" t="n"/>
      <c r="S5239" s="27" t="n"/>
      <c r="T5239" s="27" t="n"/>
    </row>
    <row r="5240" ht="13.8" customFormat="1" customHeight="1" s="70">
      <c r="M5240" s="27" t="n"/>
      <c r="N5240" s="27" t="n"/>
      <c r="O5240" s="27" t="n"/>
      <c r="P5240" s="27" t="n"/>
      <c r="Q5240" s="27" t="n"/>
      <c r="R5240" s="27" t="n"/>
      <c r="S5240" s="27" t="n"/>
      <c r="T5240" s="27" t="n"/>
    </row>
    <row r="5241" ht="13.8" customFormat="1" customHeight="1" s="70">
      <c r="M5241" s="27" t="n"/>
      <c r="N5241" s="27" t="n"/>
      <c r="O5241" s="27" t="n"/>
      <c r="P5241" s="27" t="n"/>
      <c r="Q5241" s="27" t="n"/>
      <c r="R5241" s="27" t="n"/>
      <c r="S5241" s="27" t="n"/>
      <c r="T5241" s="27" t="n"/>
    </row>
    <row r="5242" ht="13.8" customFormat="1" customHeight="1" s="70">
      <c r="M5242" s="27" t="n"/>
      <c r="N5242" s="27" t="n"/>
      <c r="O5242" s="27" t="n"/>
      <c r="P5242" s="27" t="n"/>
      <c r="Q5242" s="27" t="n"/>
      <c r="R5242" s="27" t="n"/>
      <c r="S5242" s="27" t="n"/>
      <c r="T5242" s="27" t="n"/>
    </row>
    <row r="5243" ht="13.8" customFormat="1" customHeight="1" s="70">
      <c r="M5243" s="27" t="n"/>
      <c r="N5243" s="27" t="n"/>
      <c r="O5243" s="27" t="n"/>
      <c r="P5243" s="27" t="n"/>
      <c r="Q5243" s="27" t="n"/>
      <c r="R5243" s="27" t="n"/>
      <c r="S5243" s="27" t="n"/>
      <c r="T5243" s="27" t="n"/>
    </row>
    <row r="5244" ht="13.8" customFormat="1" customHeight="1" s="70">
      <c r="M5244" s="27" t="n"/>
      <c r="N5244" s="27" t="n"/>
      <c r="O5244" s="27" t="n"/>
      <c r="P5244" s="27" t="n"/>
      <c r="Q5244" s="27" t="n"/>
      <c r="R5244" s="27" t="n"/>
      <c r="S5244" s="27" t="n"/>
      <c r="T5244" s="27" t="n"/>
    </row>
    <row r="5245" ht="13.8" customFormat="1" customHeight="1" s="70">
      <c r="M5245" s="27" t="n"/>
      <c r="N5245" s="27" t="n"/>
      <c r="O5245" s="27" t="n"/>
      <c r="P5245" s="27" t="n"/>
      <c r="Q5245" s="27" t="n"/>
      <c r="R5245" s="27" t="n"/>
      <c r="S5245" s="27" t="n"/>
      <c r="T5245" s="27" t="n"/>
    </row>
    <row r="5246" ht="13.8" customFormat="1" customHeight="1" s="70">
      <c r="M5246" s="27" t="n"/>
      <c r="N5246" s="27" t="n"/>
      <c r="O5246" s="27" t="n"/>
      <c r="P5246" s="27" t="n"/>
      <c r="Q5246" s="27" t="n"/>
      <c r="R5246" s="27" t="n"/>
      <c r="S5246" s="27" t="n"/>
      <c r="T5246" s="27" t="n"/>
    </row>
    <row r="5247" ht="13.8" customFormat="1" customHeight="1" s="70">
      <c r="M5247" s="27" t="n"/>
      <c r="N5247" s="27" t="n"/>
      <c r="O5247" s="27" t="n"/>
      <c r="P5247" s="27" t="n"/>
      <c r="Q5247" s="27" t="n"/>
      <c r="R5247" s="27" t="n"/>
      <c r="S5247" s="27" t="n"/>
      <c r="T5247" s="27" t="n"/>
    </row>
    <row r="5248" ht="13.8" customFormat="1" customHeight="1" s="70">
      <c r="M5248" s="27" t="n"/>
      <c r="N5248" s="27" t="n"/>
      <c r="O5248" s="27" t="n"/>
      <c r="P5248" s="27" t="n"/>
      <c r="Q5248" s="27" t="n"/>
      <c r="R5248" s="27" t="n"/>
      <c r="S5248" s="27" t="n"/>
      <c r="T5248" s="27" t="n"/>
    </row>
    <row r="5249" ht="13.8" customFormat="1" customHeight="1" s="70">
      <c r="M5249" s="27" t="n"/>
      <c r="N5249" s="27" t="n"/>
      <c r="O5249" s="27" t="n"/>
      <c r="P5249" s="27" t="n"/>
      <c r="Q5249" s="27" t="n"/>
      <c r="R5249" s="27" t="n"/>
      <c r="S5249" s="27" t="n"/>
      <c r="T5249" s="27" t="n"/>
    </row>
    <row r="5250" ht="13.8" customFormat="1" customHeight="1" s="70">
      <c r="M5250" s="27" t="n"/>
      <c r="N5250" s="27" t="n"/>
      <c r="O5250" s="27" t="n"/>
      <c r="P5250" s="27" t="n"/>
      <c r="Q5250" s="27" t="n"/>
      <c r="R5250" s="27" t="n"/>
      <c r="S5250" s="27" t="n"/>
      <c r="T5250" s="27" t="n"/>
    </row>
    <row r="5251" ht="13.8" customFormat="1" customHeight="1" s="70">
      <c r="M5251" s="27" t="n"/>
      <c r="N5251" s="27" t="n"/>
      <c r="O5251" s="27" t="n"/>
      <c r="P5251" s="27" t="n"/>
      <c r="Q5251" s="27" t="n"/>
      <c r="R5251" s="27" t="n"/>
      <c r="S5251" s="27" t="n"/>
      <c r="T5251" s="27" t="n"/>
    </row>
    <row r="5252" ht="13.8" customFormat="1" customHeight="1" s="70">
      <c r="M5252" s="27" t="n"/>
      <c r="N5252" s="27" t="n"/>
      <c r="O5252" s="27" t="n"/>
      <c r="P5252" s="27" t="n"/>
      <c r="Q5252" s="27" t="n"/>
      <c r="R5252" s="27" t="n"/>
      <c r="S5252" s="27" t="n"/>
      <c r="T5252" s="27" t="n"/>
    </row>
    <row r="5253" ht="13.8" customFormat="1" customHeight="1" s="70">
      <c r="M5253" s="27" t="n"/>
      <c r="N5253" s="27" t="n"/>
      <c r="O5253" s="27" t="n"/>
      <c r="P5253" s="27" t="n"/>
      <c r="Q5253" s="27" t="n"/>
      <c r="R5253" s="27" t="n"/>
      <c r="S5253" s="27" t="n"/>
      <c r="T5253" s="27" t="n"/>
    </row>
    <row r="5254" ht="13.8" customFormat="1" customHeight="1" s="70">
      <c r="M5254" s="27" t="n"/>
      <c r="N5254" s="27" t="n"/>
      <c r="O5254" s="27" t="n"/>
      <c r="P5254" s="27" t="n"/>
      <c r="Q5254" s="27" t="n"/>
      <c r="R5254" s="27" t="n"/>
      <c r="S5254" s="27" t="n"/>
      <c r="T5254" s="27" t="n"/>
    </row>
    <row r="5255" ht="13.8" customFormat="1" customHeight="1" s="70">
      <c r="M5255" s="27" t="n"/>
      <c r="N5255" s="27" t="n"/>
      <c r="O5255" s="27" t="n"/>
      <c r="P5255" s="27" t="n"/>
      <c r="Q5255" s="27" t="n"/>
      <c r="R5255" s="27" t="n"/>
      <c r="S5255" s="27" t="n"/>
      <c r="T5255" s="27" t="n"/>
    </row>
    <row r="5256" ht="13.8" customFormat="1" customHeight="1" s="70">
      <c r="M5256" s="27" t="n"/>
      <c r="N5256" s="27" t="n"/>
      <c r="O5256" s="27" t="n"/>
      <c r="P5256" s="27" t="n"/>
      <c r="Q5256" s="27" t="n"/>
      <c r="R5256" s="27" t="n"/>
      <c r="S5256" s="27" t="n"/>
      <c r="T5256" s="27" t="n"/>
    </row>
    <row r="5257" ht="13.8" customFormat="1" customHeight="1" s="70">
      <c r="M5257" s="27" t="n"/>
      <c r="N5257" s="27" t="n"/>
      <c r="O5257" s="27" t="n"/>
      <c r="P5257" s="27" t="n"/>
      <c r="Q5257" s="27" t="n"/>
      <c r="R5257" s="27" t="n"/>
      <c r="S5257" s="27" t="n"/>
      <c r="T5257" s="27" t="n"/>
    </row>
    <row r="5258" ht="13.8" customFormat="1" customHeight="1" s="70">
      <c r="M5258" s="27" t="n"/>
      <c r="N5258" s="27" t="n"/>
      <c r="O5258" s="27" t="n"/>
      <c r="P5258" s="27" t="n"/>
      <c r="Q5258" s="27" t="n"/>
      <c r="R5258" s="27" t="n"/>
      <c r="S5258" s="27" t="n"/>
      <c r="T5258" s="27" t="n"/>
    </row>
    <row r="5259" ht="13.8" customFormat="1" customHeight="1" s="70">
      <c r="M5259" s="27" t="n"/>
      <c r="N5259" s="27" t="n"/>
      <c r="O5259" s="27" t="n"/>
      <c r="P5259" s="27" t="n"/>
      <c r="Q5259" s="27" t="n"/>
      <c r="R5259" s="27" t="n"/>
      <c r="S5259" s="27" t="n"/>
      <c r="T5259" s="27" t="n"/>
    </row>
    <row r="5260" ht="13.8" customFormat="1" customHeight="1" s="70">
      <c r="M5260" s="27" t="n"/>
      <c r="N5260" s="27" t="n"/>
      <c r="O5260" s="27" t="n"/>
      <c r="P5260" s="27" t="n"/>
      <c r="Q5260" s="27" t="n"/>
      <c r="R5260" s="27" t="n"/>
      <c r="S5260" s="27" t="n"/>
      <c r="T5260" s="27" t="n"/>
    </row>
    <row r="5261" ht="13.8" customFormat="1" customHeight="1" s="70">
      <c r="M5261" s="27" t="n"/>
      <c r="N5261" s="27" t="n"/>
      <c r="O5261" s="27" t="n"/>
      <c r="P5261" s="27" t="n"/>
      <c r="Q5261" s="27" t="n"/>
      <c r="R5261" s="27" t="n"/>
      <c r="S5261" s="27" t="n"/>
      <c r="T5261" s="27" t="n"/>
    </row>
    <row r="5262" ht="13.8" customFormat="1" customHeight="1" s="70">
      <c r="M5262" s="27" t="n"/>
      <c r="N5262" s="27" t="n"/>
      <c r="O5262" s="27" t="n"/>
      <c r="P5262" s="27" t="n"/>
      <c r="Q5262" s="27" t="n"/>
      <c r="R5262" s="27" t="n"/>
      <c r="S5262" s="27" t="n"/>
      <c r="T5262" s="27" t="n"/>
    </row>
    <row r="5263" ht="13.8" customFormat="1" customHeight="1" s="70">
      <c r="M5263" s="27" t="n"/>
      <c r="N5263" s="27" t="n"/>
      <c r="O5263" s="27" t="n"/>
      <c r="P5263" s="27" t="n"/>
      <c r="Q5263" s="27" t="n"/>
      <c r="R5263" s="27" t="n"/>
      <c r="S5263" s="27" t="n"/>
      <c r="T5263" s="27" t="n"/>
    </row>
    <row r="5264" ht="13.8" customFormat="1" customHeight="1" s="70">
      <c r="M5264" s="27" t="n"/>
      <c r="N5264" s="27" t="n"/>
      <c r="O5264" s="27" t="n"/>
      <c r="P5264" s="27" t="n"/>
      <c r="Q5264" s="27" t="n"/>
      <c r="R5264" s="27" t="n"/>
      <c r="S5264" s="27" t="n"/>
      <c r="T5264" s="27" t="n"/>
    </row>
    <row r="5265" ht="13.8" customFormat="1" customHeight="1" s="70">
      <c r="M5265" s="27" t="n"/>
      <c r="N5265" s="27" t="n"/>
      <c r="O5265" s="27" t="n"/>
      <c r="P5265" s="27" t="n"/>
      <c r="Q5265" s="27" t="n"/>
      <c r="R5265" s="27" t="n"/>
      <c r="S5265" s="27" t="n"/>
      <c r="T5265" s="27" t="n"/>
    </row>
    <row r="5266" ht="13.8" customFormat="1" customHeight="1" s="70">
      <c r="M5266" s="27" t="n"/>
      <c r="N5266" s="27" t="n"/>
      <c r="O5266" s="27" t="n"/>
      <c r="P5266" s="27" t="n"/>
      <c r="Q5266" s="27" t="n"/>
      <c r="R5266" s="27" t="n"/>
      <c r="S5266" s="27" t="n"/>
      <c r="T5266" s="27" t="n"/>
    </row>
    <row r="5267" ht="13.8" customFormat="1" customHeight="1" s="70">
      <c r="M5267" s="27" t="n"/>
      <c r="N5267" s="27" t="n"/>
      <c r="O5267" s="27" t="n"/>
      <c r="P5267" s="27" t="n"/>
      <c r="Q5267" s="27" t="n"/>
      <c r="R5267" s="27" t="n"/>
      <c r="S5267" s="27" t="n"/>
      <c r="T5267" s="27" t="n"/>
    </row>
    <row r="5268" ht="13.8" customFormat="1" customHeight="1" s="70">
      <c r="M5268" s="27" t="n"/>
      <c r="N5268" s="27" t="n"/>
      <c r="O5268" s="27" t="n"/>
      <c r="P5268" s="27" t="n"/>
      <c r="Q5268" s="27" t="n"/>
      <c r="R5268" s="27" t="n"/>
      <c r="S5268" s="27" t="n"/>
      <c r="T5268" s="27" t="n"/>
    </row>
    <row r="5269" ht="13.8" customFormat="1" customHeight="1" s="70">
      <c r="M5269" s="27" t="n"/>
      <c r="N5269" s="27" t="n"/>
      <c r="O5269" s="27" t="n"/>
      <c r="P5269" s="27" t="n"/>
      <c r="Q5269" s="27" t="n"/>
      <c r="R5269" s="27" t="n"/>
      <c r="S5269" s="27" t="n"/>
      <c r="T5269" s="27" t="n"/>
    </row>
    <row r="5270" ht="13.8" customFormat="1" customHeight="1" s="70">
      <c r="M5270" s="27" t="n"/>
      <c r="N5270" s="27" t="n"/>
      <c r="O5270" s="27" t="n"/>
      <c r="P5270" s="27" t="n"/>
      <c r="Q5270" s="27" t="n"/>
      <c r="R5270" s="27" t="n"/>
      <c r="S5270" s="27" t="n"/>
      <c r="T5270" s="27" t="n"/>
    </row>
    <row r="5271" ht="13.8" customFormat="1" customHeight="1" s="70">
      <c r="M5271" s="27" t="n"/>
      <c r="N5271" s="27" t="n"/>
      <c r="O5271" s="27" t="n"/>
      <c r="P5271" s="27" t="n"/>
      <c r="Q5271" s="27" t="n"/>
      <c r="R5271" s="27" t="n"/>
      <c r="S5271" s="27" t="n"/>
      <c r="T5271" s="27" t="n"/>
    </row>
    <row r="5272" ht="13.8" customFormat="1" customHeight="1" s="70">
      <c r="M5272" s="27" t="n"/>
      <c r="N5272" s="27" t="n"/>
      <c r="O5272" s="27" t="n"/>
      <c r="P5272" s="27" t="n"/>
      <c r="Q5272" s="27" t="n"/>
      <c r="R5272" s="27" t="n"/>
      <c r="S5272" s="27" t="n"/>
      <c r="T5272" s="27" t="n"/>
    </row>
    <row r="5273" ht="13.8" customFormat="1" customHeight="1" s="70">
      <c r="M5273" s="27" t="n"/>
      <c r="N5273" s="27" t="n"/>
      <c r="O5273" s="27" t="n"/>
      <c r="P5273" s="27" t="n"/>
      <c r="Q5273" s="27" t="n"/>
      <c r="R5273" s="27" t="n"/>
      <c r="S5273" s="27" t="n"/>
      <c r="T5273" s="27" t="n"/>
    </row>
    <row r="5274" ht="13.8" customFormat="1" customHeight="1" s="70">
      <c r="M5274" s="27" t="n"/>
      <c r="N5274" s="27" t="n"/>
      <c r="O5274" s="27" t="n"/>
      <c r="P5274" s="27" t="n"/>
      <c r="Q5274" s="27" t="n"/>
      <c r="R5274" s="27" t="n"/>
      <c r="S5274" s="27" t="n"/>
      <c r="T5274" s="27" t="n"/>
    </row>
    <row r="5275" ht="13.8" customFormat="1" customHeight="1" s="70">
      <c r="M5275" s="27" t="n"/>
      <c r="N5275" s="27" t="n"/>
      <c r="O5275" s="27" t="n"/>
      <c r="P5275" s="27" t="n"/>
      <c r="Q5275" s="27" t="n"/>
      <c r="R5275" s="27" t="n"/>
      <c r="S5275" s="27" t="n"/>
      <c r="T5275" s="27" t="n"/>
    </row>
    <row r="5276" ht="13.8" customFormat="1" customHeight="1" s="70">
      <c r="M5276" s="27" t="n"/>
      <c r="N5276" s="27" t="n"/>
      <c r="O5276" s="27" t="n"/>
      <c r="P5276" s="27" t="n"/>
      <c r="Q5276" s="27" t="n"/>
      <c r="R5276" s="27" t="n"/>
      <c r="S5276" s="27" t="n"/>
      <c r="T5276" s="27" t="n"/>
    </row>
    <row r="5277" ht="13.8" customFormat="1" customHeight="1" s="70">
      <c r="M5277" s="27" t="n"/>
      <c r="N5277" s="27" t="n"/>
      <c r="O5277" s="27" t="n"/>
      <c r="P5277" s="27" t="n"/>
      <c r="Q5277" s="27" t="n"/>
      <c r="R5277" s="27" t="n"/>
      <c r="S5277" s="27" t="n"/>
      <c r="T5277" s="27" t="n"/>
    </row>
    <row r="5278" ht="13.8" customFormat="1" customHeight="1" s="70">
      <c r="M5278" s="27" t="n"/>
      <c r="N5278" s="27" t="n"/>
      <c r="O5278" s="27" t="n"/>
      <c r="P5278" s="27" t="n"/>
      <c r="Q5278" s="27" t="n"/>
      <c r="R5278" s="27" t="n"/>
      <c r="S5278" s="27" t="n"/>
      <c r="T5278" s="27" t="n"/>
    </row>
    <row r="5279" ht="13.8" customFormat="1" customHeight="1" s="70">
      <c r="M5279" s="27" t="n"/>
      <c r="N5279" s="27" t="n"/>
      <c r="O5279" s="27" t="n"/>
      <c r="P5279" s="27" t="n"/>
      <c r="Q5279" s="27" t="n"/>
      <c r="R5279" s="27" t="n"/>
      <c r="S5279" s="27" t="n"/>
      <c r="T5279" s="27" t="n"/>
    </row>
    <row r="5280" ht="13.8" customFormat="1" customHeight="1" s="70">
      <c r="M5280" s="27" t="n"/>
      <c r="N5280" s="27" t="n"/>
      <c r="O5280" s="27" t="n"/>
      <c r="P5280" s="27" t="n"/>
      <c r="Q5280" s="27" t="n"/>
      <c r="R5280" s="27" t="n"/>
      <c r="S5280" s="27" t="n"/>
      <c r="T5280" s="27" t="n"/>
    </row>
    <row r="5281" ht="13.8" customFormat="1" customHeight="1" s="70">
      <c r="M5281" s="27" t="n"/>
      <c r="N5281" s="27" t="n"/>
      <c r="O5281" s="27" t="n"/>
      <c r="P5281" s="27" t="n"/>
      <c r="Q5281" s="27" t="n"/>
      <c r="R5281" s="27" t="n"/>
      <c r="S5281" s="27" t="n"/>
      <c r="T5281" s="27" t="n"/>
    </row>
    <row r="5282" ht="13.8" customFormat="1" customHeight="1" s="70">
      <c r="M5282" s="27" t="n"/>
      <c r="N5282" s="27" t="n"/>
      <c r="O5282" s="27" t="n"/>
      <c r="P5282" s="27" t="n"/>
      <c r="Q5282" s="27" t="n"/>
      <c r="R5282" s="27" t="n"/>
      <c r="S5282" s="27" t="n"/>
      <c r="T5282" s="27" t="n"/>
    </row>
    <row r="5283" ht="13.8" customFormat="1" customHeight="1" s="70">
      <c r="M5283" s="27" t="n"/>
      <c r="N5283" s="27" t="n"/>
      <c r="O5283" s="27" t="n"/>
      <c r="P5283" s="27" t="n"/>
      <c r="Q5283" s="27" t="n"/>
      <c r="R5283" s="27" t="n"/>
      <c r="S5283" s="27" t="n"/>
      <c r="T5283" s="27" t="n"/>
    </row>
    <row r="5284" ht="13.8" customFormat="1" customHeight="1" s="70">
      <c r="M5284" s="27" t="n"/>
      <c r="N5284" s="27" t="n"/>
      <c r="O5284" s="27" t="n"/>
      <c r="P5284" s="27" t="n"/>
      <c r="Q5284" s="27" t="n"/>
      <c r="R5284" s="27" t="n"/>
      <c r="S5284" s="27" t="n"/>
      <c r="T5284" s="27" t="n"/>
    </row>
    <row r="5285" ht="13.8" customFormat="1" customHeight="1" s="70">
      <c r="M5285" s="27" t="n"/>
      <c r="N5285" s="27" t="n"/>
      <c r="O5285" s="27" t="n"/>
      <c r="P5285" s="27" t="n"/>
      <c r="Q5285" s="27" t="n"/>
      <c r="R5285" s="27" t="n"/>
      <c r="S5285" s="27" t="n"/>
      <c r="T5285" s="27" t="n"/>
    </row>
    <row r="5286" ht="13.8" customFormat="1" customHeight="1" s="70">
      <c r="M5286" s="27" t="n"/>
      <c r="N5286" s="27" t="n"/>
      <c r="O5286" s="27" t="n"/>
      <c r="P5286" s="27" t="n"/>
      <c r="Q5286" s="27" t="n"/>
      <c r="R5286" s="27" t="n"/>
      <c r="S5286" s="27" t="n"/>
      <c r="T5286" s="27" t="n"/>
    </row>
    <row r="5287" ht="13.8" customFormat="1" customHeight="1" s="70">
      <c r="M5287" s="27" t="n"/>
      <c r="N5287" s="27" t="n"/>
      <c r="O5287" s="27" t="n"/>
      <c r="P5287" s="27" t="n"/>
      <c r="Q5287" s="27" t="n"/>
      <c r="R5287" s="27" t="n"/>
      <c r="S5287" s="27" t="n"/>
      <c r="T5287" s="27" t="n"/>
    </row>
    <row r="5288" ht="13.8" customFormat="1" customHeight="1" s="70">
      <c r="M5288" s="27" t="n"/>
      <c r="N5288" s="27" t="n"/>
      <c r="O5288" s="27" t="n"/>
      <c r="P5288" s="27" t="n"/>
      <c r="Q5288" s="27" t="n"/>
      <c r="R5288" s="27" t="n"/>
      <c r="S5288" s="27" t="n"/>
      <c r="T5288" s="27" t="n"/>
    </row>
    <row r="5289" ht="13.8" customFormat="1" customHeight="1" s="70">
      <c r="M5289" s="27" t="n"/>
      <c r="N5289" s="27" t="n"/>
      <c r="O5289" s="27" t="n"/>
      <c r="P5289" s="27" t="n"/>
      <c r="Q5289" s="27" t="n"/>
      <c r="R5289" s="27" t="n"/>
      <c r="S5289" s="27" t="n"/>
      <c r="T5289" s="27" t="n"/>
    </row>
    <row r="5290" ht="13.8" customFormat="1" customHeight="1" s="70">
      <c r="M5290" s="27" t="n"/>
      <c r="N5290" s="27" t="n"/>
      <c r="O5290" s="27" t="n"/>
      <c r="P5290" s="27" t="n"/>
      <c r="Q5290" s="27" t="n"/>
      <c r="R5290" s="27" t="n"/>
      <c r="S5290" s="27" t="n"/>
      <c r="T5290" s="27" t="n"/>
    </row>
    <row r="5291" ht="13.8" customFormat="1" customHeight="1" s="70">
      <c r="M5291" s="27" t="n"/>
      <c r="N5291" s="27" t="n"/>
      <c r="O5291" s="27" t="n"/>
      <c r="P5291" s="27" t="n"/>
      <c r="Q5291" s="27" t="n"/>
      <c r="R5291" s="27" t="n"/>
      <c r="S5291" s="27" t="n"/>
      <c r="T5291" s="27" t="n"/>
    </row>
    <row r="5292" ht="13.8" customFormat="1" customHeight="1" s="70">
      <c r="M5292" s="27" t="n"/>
      <c r="N5292" s="27" t="n"/>
      <c r="O5292" s="27" t="n"/>
      <c r="P5292" s="27" t="n"/>
      <c r="Q5292" s="27" t="n"/>
      <c r="R5292" s="27" t="n"/>
      <c r="S5292" s="27" t="n"/>
      <c r="T5292" s="27" t="n"/>
    </row>
    <row r="5293" ht="13.8" customFormat="1" customHeight="1" s="70">
      <c r="M5293" s="27" t="n"/>
      <c r="N5293" s="27" t="n"/>
      <c r="O5293" s="27" t="n"/>
      <c r="P5293" s="27" t="n"/>
      <c r="Q5293" s="27" t="n"/>
      <c r="R5293" s="27" t="n"/>
      <c r="S5293" s="27" t="n"/>
      <c r="T5293" s="27" t="n"/>
    </row>
    <row r="5294" ht="13.8" customFormat="1" customHeight="1" s="70">
      <c r="M5294" s="27" t="n"/>
      <c r="N5294" s="27" t="n"/>
      <c r="O5294" s="27" t="n"/>
      <c r="P5294" s="27" t="n"/>
      <c r="Q5294" s="27" t="n"/>
      <c r="R5294" s="27" t="n"/>
      <c r="S5294" s="27" t="n"/>
      <c r="T5294" s="27" t="n"/>
    </row>
    <row r="5295" ht="13.8" customFormat="1" customHeight="1" s="70">
      <c r="M5295" s="27" t="n"/>
      <c r="N5295" s="27" t="n"/>
      <c r="O5295" s="27" t="n"/>
      <c r="P5295" s="27" t="n"/>
      <c r="Q5295" s="27" t="n"/>
      <c r="R5295" s="27" t="n"/>
      <c r="S5295" s="27" t="n"/>
      <c r="T5295" s="27" t="n"/>
    </row>
    <row r="5296" ht="13.8" customFormat="1" customHeight="1" s="70">
      <c r="M5296" s="27" t="n"/>
      <c r="N5296" s="27" t="n"/>
      <c r="O5296" s="27" t="n"/>
      <c r="P5296" s="27" t="n"/>
      <c r="Q5296" s="27" t="n"/>
      <c r="R5296" s="27" t="n"/>
      <c r="S5296" s="27" t="n"/>
      <c r="T5296" s="27" t="n"/>
    </row>
    <row r="5297" ht="13.8" customFormat="1" customHeight="1" s="70">
      <c r="M5297" s="27" t="n"/>
      <c r="N5297" s="27" t="n"/>
      <c r="O5297" s="27" t="n"/>
      <c r="P5297" s="27" t="n"/>
      <c r="Q5297" s="27" t="n"/>
      <c r="R5297" s="27" t="n"/>
      <c r="S5297" s="27" t="n"/>
      <c r="T5297" s="27" t="n"/>
    </row>
    <row r="5298" ht="13.8" customFormat="1" customHeight="1" s="70">
      <c r="M5298" s="27" t="n"/>
      <c r="N5298" s="27" t="n"/>
      <c r="O5298" s="27" t="n"/>
      <c r="P5298" s="27" t="n"/>
      <c r="Q5298" s="27" t="n"/>
      <c r="R5298" s="27" t="n"/>
      <c r="S5298" s="27" t="n"/>
      <c r="T5298" s="27" t="n"/>
    </row>
    <row r="5299" ht="13.8" customFormat="1" customHeight="1" s="70">
      <c r="M5299" s="27" t="n"/>
      <c r="N5299" s="27" t="n"/>
      <c r="O5299" s="27" t="n"/>
      <c r="P5299" s="27" t="n"/>
      <c r="Q5299" s="27" t="n"/>
      <c r="R5299" s="27" t="n"/>
      <c r="S5299" s="27" t="n"/>
      <c r="T5299" s="27" t="n"/>
    </row>
    <row r="5300" ht="13.8" customFormat="1" customHeight="1" s="70">
      <c r="M5300" s="27" t="n"/>
      <c r="N5300" s="27" t="n"/>
      <c r="O5300" s="27" t="n"/>
      <c r="P5300" s="27" t="n"/>
      <c r="Q5300" s="27" t="n"/>
      <c r="R5300" s="27" t="n"/>
      <c r="S5300" s="27" t="n"/>
      <c r="T5300" s="27" t="n"/>
    </row>
    <row r="5301" ht="13.8" customFormat="1" customHeight="1" s="70">
      <c r="M5301" s="27" t="n"/>
      <c r="N5301" s="27" t="n"/>
      <c r="O5301" s="27" t="n"/>
      <c r="P5301" s="27" t="n"/>
      <c r="Q5301" s="27" t="n"/>
      <c r="R5301" s="27" t="n"/>
      <c r="S5301" s="27" t="n"/>
      <c r="T5301" s="27" t="n"/>
    </row>
    <row r="5302" ht="13.8" customFormat="1" customHeight="1" s="70">
      <c r="M5302" s="27" t="n"/>
      <c r="N5302" s="27" t="n"/>
      <c r="O5302" s="27" t="n"/>
      <c r="P5302" s="27" t="n"/>
      <c r="Q5302" s="27" t="n"/>
      <c r="R5302" s="27" t="n"/>
      <c r="S5302" s="27" t="n"/>
      <c r="T5302" s="27" t="n"/>
    </row>
    <row r="5303" ht="13.8" customFormat="1" customHeight="1" s="70">
      <c r="M5303" s="27" t="n"/>
      <c r="N5303" s="27" t="n"/>
      <c r="O5303" s="27" t="n"/>
      <c r="P5303" s="27" t="n"/>
      <c r="Q5303" s="27" t="n"/>
      <c r="R5303" s="27" t="n"/>
      <c r="S5303" s="27" t="n"/>
      <c r="T5303" s="27" t="n"/>
    </row>
    <row r="5304" ht="13.8" customFormat="1" customHeight="1" s="70">
      <c r="M5304" s="27" t="n"/>
      <c r="N5304" s="27" t="n"/>
      <c r="O5304" s="27" t="n"/>
      <c r="P5304" s="27" t="n"/>
      <c r="Q5304" s="27" t="n"/>
      <c r="R5304" s="27" t="n"/>
      <c r="S5304" s="27" t="n"/>
      <c r="T5304" s="27" t="n"/>
    </row>
    <row r="5305" ht="13.8" customFormat="1" customHeight="1" s="70">
      <c r="M5305" s="27" t="n"/>
      <c r="N5305" s="27" t="n"/>
      <c r="O5305" s="27" t="n"/>
      <c r="P5305" s="27" t="n"/>
      <c r="Q5305" s="27" t="n"/>
      <c r="R5305" s="27" t="n"/>
      <c r="S5305" s="27" t="n"/>
      <c r="T5305" s="27" t="n"/>
    </row>
    <row r="5306" ht="13.8" customFormat="1" customHeight="1" s="70">
      <c r="M5306" s="27" t="n"/>
      <c r="N5306" s="27" t="n"/>
      <c r="O5306" s="27" t="n"/>
      <c r="P5306" s="27" t="n"/>
      <c r="Q5306" s="27" t="n"/>
      <c r="R5306" s="27" t="n"/>
      <c r="S5306" s="27" t="n"/>
      <c r="T5306" s="27" t="n"/>
    </row>
    <row r="5307" ht="13.8" customFormat="1" customHeight="1" s="70">
      <c r="M5307" s="27" t="n"/>
      <c r="N5307" s="27" t="n"/>
      <c r="O5307" s="27" t="n"/>
      <c r="P5307" s="27" t="n"/>
      <c r="Q5307" s="27" t="n"/>
      <c r="R5307" s="27" t="n"/>
      <c r="S5307" s="27" t="n"/>
      <c r="T5307" s="27" t="n"/>
    </row>
    <row r="5308" ht="13.8" customFormat="1" customHeight="1" s="70">
      <c r="M5308" s="27" t="n"/>
      <c r="N5308" s="27" t="n"/>
      <c r="O5308" s="27" t="n"/>
      <c r="P5308" s="27" t="n"/>
      <c r="Q5308" s="27" t="n"/>
      <c r="R5308" s="27" t="n"/>
      <c r="S5308" s="27" t="n"/>
      <c r="T5308" s="27" t="n"/>
    </row>
    <row r="5309" ht="13.8" customFormat="1" customHeight="1" s="70">
      <c r="M5309" s="27" t="n"/>
      <c r="N5309" s="27" t="n"/>
      <c r="O5309" s="27" t="n"/>
      <c r="P5309" s="27" t="n"/>
      <c r="Q5309" s="27" t="n"/>
      <c r="R5309" s="27" t="n"/>
      <c r="S5309" s="27" t="n"/>
      <c r="T5309" s="27" t="n"/>
    </row>
    <row r="5310" ht="13.8" customFormat="1" customHeight="1" s="70">
      <c r="M5310" s="27" t="n"/>
      <c r="N5310" s="27" t="n"/>
      <c r="O5310" s="27" t="n"/>
      <c r="P5310" s="27" t="n"/>
      <c r="Q5310" s="27" t="n"/>
      <c r="R5310" s="27" t="n"/>
      <c r="S5310" s="27" t="n"/>
      <c r="T5310" s="27" t="n"/>
    </row>
    <row r="5311" ht="13.8" customFormat="1" customHeight="1" s="70">
      <c r="M5311" s="27" t="n"/>
      <c r="N5311" s="27" t="n"/>
      <c r="O5311" s="27" t="n"/>
      <c r="P5311" s="27" t="n"/>
      <c r="Q5311" s="27" t="n"/>
      <c r="R5311" s="27" t="n"/>
      <c r="S5311" s="27" t="n"/>
      <c r="T5311" s="27" t="n"/>
    </row>
    <row r="5312" ht="13.8" customFormat="1" customHeight="1" s="70">
      <c r="M5312" s="27" t="n"/>
      <c r="N5312" s="27" t="n"/>
      <c r="O5312" s="27" t="n"/>
      <c r="P5312" s="27" t="n"/>
      <c r="Q5312" s="27" t="n"/>
      <c r="R5312" s="27" t="n"/>
      <c r="S5312" s="27" t="n"/>
      <c r="T5312" s="27" t="n"/>
    </row>
    <row r="5313" ht="13.8" customFormat="1" customHeight="1" s="70">
      <c r="M5313" s="27" t="n"/>
      <c r="N5313" s="27" t="n"/>
      <c r="O5313" s="27" t="n"/>
      <c r="P5313" s="27" t="n"/>
      <c r="Q5313" s="27" t="n"/>
      <c r="R5313" s="27" t="n"/>
      <c r="S5313" s="27" t="n"/>
      <c r="T5313" s="27" t="n"/>
    </row>
    <row r="5314" ht="13.8" customFormat="1" customHeight="1" s="70">
      <c r="M5314" s="27" t="n"/>
      <c r="N5314" s="27" t="n"/>
      <c r="O5314" s="27" t="n"/>
      <c r="P5314" s="27" t="n"/>
      <c r="Q5314" s="27" t="n"/>
      <c r="R5314" s="27" t="n"/>
      <c r="S5314" s="27" t="n"/>
      <c r="T5314" s="27" t="n"/>
    </row>
    <row r="5315" ht="13.8" customFormat="1" customHeight="1" s="70">
      <c r="M5315" s="27" t="n"/>
      <c r="N5315" s="27" t="n"/>
      <c r="O5315" s="27" t="n"/>
      <c r="P5315" s="27" t="n"/>
      <c r="Q5315" s="27" t="n"/>
      <c r="R5315" s="27" t="n"/>
      <c r="S5315" s="27" t="n"/>
      <c r="T5315" s="27" t="n"/>
    </row>
    <row r="5316" ht="13.8" customFormat="1" customHeight="1" s="70">
      <c r="M5316" s="27" t="n"/>
      <c r="N5316" s="27" t="n"/>
      <c r="O5316" s="27" t="n"/>
      <c r="P5316" s="27" t="n"/>
      <c r="Q5316" s="27" t="n"/>
      <c r="R5316" s="27" t="n"/>
      <c r="S5316" s="27" t="n"/>
      <c r="T5316" s="27" t="n"/>
    </row>
    <row r="5317" ht="13.8" customFormat="1" customHeight="1" s="70">
      <c r="M5317" s="27" t="n"/>
      <c r="N5317" s="27" t="n"/>
      <c r="O5317" s="27" t="n"/>
      <c r="P5317" s="27" t="n"/>
      <c r="Q5317" s="27" t="n"/>
      <c r="R5317" s="27" t="n"/>
      <c r="S5317" s="27" t="n"/>
      <c r="T5317" s="27" t="n"/>
    </row>
    <row r="5318" ht="13.8" customFormat="1" customHeight="1" s="70">
      <c r="M5318" s="27" t="n"/>
      <c r="N5318" s="27" t="n"/>
      <c r="O5318" s="27" t="n"/>
      <c r="P5318" s="27" t="n"/>
      <c r="Q5318" s="27" t="n"/>
      <c r="R5318" s="27" t="n"/>
      <c r="S5318" s="27" t="n"/>
      <c r="T5318" s="27" t="n"/>
    </row>
    <row r="5319" ht="13.8" customFormat="1" customHeight="1" s="70">
      <c r="M5319" s="27" t="n"/>
      <c r="N5319" s="27" t="n"/>
      <c r="O5319" s="27" t="n"/>
      <c r="P5319" s="27" t="n"/>
      <c r="Q5319" s="27" t="n"/>
      <c r="R5319" s="27" t="n"/>
      <c r="S5319" s="27" t="n"/>
      <c r="T5319" s="27" t="n"/>
    </row>
    <row r="5320" ht="13.8" customFormat="1" customHeight="1" s="70">
      <c r="M5320" s="27" t="n"/>
      <c r="N5320" s="27" t="n"/>
      <c r="O5320" s="27" t="n"/>
      <c r="P5320" s="27" t="n"/>
      <c r="Q5320" s="27" t="n"/>
      <c r="R5320" s="27" t="n"/>
      <c r="S5320" s="27" t="n"/>
      <c r="T5320" s="27" t="n"/>
    </row>
    <row r="5321" ht="13.8" customFormat="1" customHeight="1" s="70">
      <c r="M5321" s="27" t="n"/>
      <c r="N5321" s="27" t="n"/>
      <c r="O5321" s="27" t="n"/>
      <c r="P5321" s="27" t="n"/>
      <c r="Q5321" s="27" t="n"/>
      <c r="R5321" s="27" t="n"/>
      <c r="S5321" s="27" t="n"/>
      <c r="T5321" s="27" t="n"/>
    </row>
    <row r="5322" ht="13.8" customFormat="1" customHeight="1" s="70">
      <c r="M5322" s="27" t="n"/>
      <c r="N5322" s="27" t="n"/>
      <c r="O5322" s="27" t="n"/>
      <c r="P5322" s="27" t="n"/>
      <c r="Q5322" s="27" t="n"/>
      <c r="R5322" s="27" t="n"/>
      <c r="S5322" s="27" t="n"/>
      <c r="T5322" s="27" t="n"/>
    </row>
    <row r="5323" ht="13.8" customFormat="1" customHeight="1" s="70">
      <c r="M5323" s="27" t="n"/>
      <c r="N5323" s="27" t="n"/>
      <c r="O5323" s="27" t="n"/>
      <c r="P5323" s="27" t="n"/>
      <c r="Q5323" s="27" t="n"/>
      <c r="R5323" s="27" t="n"/>
      <c r="S5323" s="27" t="n"/>
      <c r="T5323" s="27" t="n"/>
    </row>
    <row r="5324" ht="13.8" customFormat="1" customHeight="1" s="70">
      <c r="M5324" s="27" t="n"/>
      <c r="N5324" s="27" t="n"/>
      <c r="O5324" s="27" t="n"/>
      <c r="P5324" s="27" t="n"/>
      <c r="Q5324" s="27" t="n"/>
      <c r="R5324" s="27" t="n"/>
      <c r="S5324" s="27" t="n"/>
      <c r="T5324" s="27" t="n"/>
    </row>
    <row r="5325" ht="13.8" customFormat="1" customHeight="1" s="70">
      <c r="M5325" s="27" t="n"/>
      <c r="N5325" s="27" t="n"/>
      <c r="O5325" s="27" t="n"/>
      <c r="P5325" s="27" t="n"/>
      <c r="Q5325" s="27" t="n"/>
      <c r="R5325" s="27" t="n"/>
      <c r="S5325" s="27" t="n"/>
      <c r="T5325" s="27" t="n"/>
    </row>
    <row r="5326" ht="13.8" customFormat="1" customHeight="1" s="70">
      <c r="M5326" s="27" t="n"/>
      <c r="N5326" s="27" t="n"/>
      <c r="O5326" s="27" t="n"/>
      <c r="P5326" s="27" t="n"/>
      <c r="Q5326" s="27" t="n"/>
      <c r="R5326" s="27" t="n"/>
      <c r="S5326" s="27" t="n"/>
      <c r="T5326" s="27" t="n"/>
    </row>
    <row r="5327" ht="13.8" customFormat="1" customHeight="1" s="70">
      <c r="M5327" s="27" t="n"/>
      <c r="N5327" s="27" t="n"/>
      <c r="O5327" s="27" t="n"/>
      <c r="P5327" s="27" t="n"/>
      <c r="Q5327" s="27" t="n"/>
      <c r="R5327" s="27" t="n"/>
      <c r="S5327" s="27" t="n"/>
      <c r="T5327" s="27" t="n"/>
    </row>
    <row r="5328" ht="13.8" customFormat="1" customHeight="1" s="70">
      <c r="M5328" s="27" t="n"/>
      <c r="N5328" s="27" t="n"/>
      <c r="O5328" s="27" t="n"/>
      <c r="P5328" s="27" t="n"/>
      <c r="Q5328" s="27" t="n"/>
      <c r="R5328" s="27" t="n"/>
      <c r="S5328" s="27" t="n"/>
      <c r="T5328" s="27" t="n"/>
    </row>
    <row r="5329" ht="13.8" customFormat="1" customHeight="1" s="70">
      <c r="M5329" s="27" t="n"/>
      <c r="N5329" s="27" t="n"/>
      <c r="O5329" s="27" t="n"/>
      <c r="P5329" s="27" t="n"/>
      <c r="Q5329" s="27" t="n"/>
      <c r="R5329" s="27" t="n"/>
      <c r="S5329" s="27" t="n"/>
      <c r="T5329" s="27" t="n"/>
    </row>
    <row r="5330" ht="13.8" customFormat="1" customHeight="1" s="70">
      <c r="M5330" s="27" t="n"/>
      <c r="N5330" s="27" t="n"/>
      <c r="O5330" s="27" t="n"/>
      <c r="P5330" s="27" t="n"/>
      <c r="Q5330" s="27" t="n"/>
      <c r="R5330" s="27" t="n"/>
      <c r="S5330" s="27" t="n"/>
      <c r="T5330" s="27" t="n"/>
    </row>
    <row r="5331" ht="13.8" customFormat="1" customHeight="1" s="70">
      <c r="M5331" s="27" t="n"/>
      <c r="N5331" s="27" t="n"/>
      <c r="O5331" s="27" t="n"/>
      <c r="P5331" s="27" t="n"/>
      <c r="Q5331" s="27" t="n"/>
      <c r="R5331" s="27" t="n"/>
      <c r="S5331" s="27" t="n"/>
      <c r="T5331" s="27" t="n"/>
    </row>
    <row r="5332" ht="13.8" customFormat="1" customHeight="1" s="70">
      <c r="M5332" s="27" t="n"/>
      <c r="N5332" s="27" t="n"/>
      <c r="O5332" s="27" t="n"/>
      <c r="P5332" s="27" t="n"/>
      <c r="Q5332" s="27" t="n"/>
      <c r="R5332" s="27" t="n"/>
      <c r="S5332" s="27" t="n"/>
      <c r="T5332" s="27" t="n"/>
    </row>
    <row r="5333" ht="13.8" customFormat="1" customHeight="1" s="70">
      <c r="M5333" s="27" t="n"/>
      <c r="N5333" s="27" t="n"/>
      <c r="O5333" s="27" t="n"/>
      <c r="P5333" s="27" t="n"/>
      <c r="Q5333" s="27" t="n"/>
      <c r="R5333" s="27" t="n"/>
      <c r="S5333" s="27" t="n"/>
      <c r="T5333" s="27" t="n"/>
    </row>
    <row r="5334" ht="13.8" customFormat="1" customHeight="1" s="70">
      <c r="M5334" s="27" t="n"/>
      <c r="N5334" s="27" t="n"/>
      <c r="O5334" s="27" t="n"/>
      <c r="P5334" s="27" t="n"/>
      <c r="Q5334" s="27" t="n"/>
      <c r="R5334" s="27" t="n"/>
      <c r="S5334" s="27" t="n"/>
      <c r="T5334" s="27" t="n"/>
    </row>
    <row r="5335" ht="13.8" customFormat="1" customHeight="1" s="70">
      <c r="M5335" s="27" t="n"/>
      <c r="N5335" s="27" t="n"/>
      <c r="O5335" s="27" t="n"/>
      <c r="P5335" s="27" t="n"/>
      <c r="Q5335" s="27" t="n"/>
      <c r="R5335" s="27" t="n"/>
      <c r="S5335" s="27" t="n"/>
      <c r="T5335" s="27" t="n"/>
    </row>
    <row r="5336" ht="13.8" customFormat="1" customHeight="1" s="70">
      <c r="M5336" s="27" t="n"/>
      <c r="N5336" s="27" t="n"/>
      <c r="O5336" s="27" t="n"/>
      <c r="P5336" s="27" t="n"/>
      <c r="Q5336" s="27" t="n"/>
      <c r="R5336" s="27" t="n"/>
      <c r="S5336" s="27" t="n"/>
      <c r="T5336" s="27" t="n"/>
    </row>
    <row r="5337" ht="13.8" customFormat="1" customHeight="1" s="70">
      <c r="M5337" s="27" t="n"/>
      <c r="N5337" s="27" t="n"/>
      <c r="O5337" s="27" t="n"/>
      <c r="P5337" s="27" t="n"/>
      <c r="Q5337" s="27" t="n"/>
      <c r="R5337" s="27" t="n"/>
      <c r="S5337" s="27" t="n"/>
      <c r="T5337" s="27" t="n"/>
    </row>
    <row r="5338" ht="13.8" customFormat="1" customHeight="1" s="70">
      <c r="M5338" s="27" t="n"/>
      <c r="N5338" s="27" t="n"/>
      <c r="O5338" s="27" t="n"/>
      <c r="P5338" s="27" t="n"/>
      <c r="Q5338" s="27" t="n"/>
      <c r="R5338" s="27" t="n"/>
      <c r="S5338" s="27" t="n"/>
      <c r="T5338" s="27" t="n"/>
    </row>
    <row r="5339" ht="13.8" customFormat="1" customHeight="1" s="70">
      <c r="M5339" s="27" t="n"/>
      <c r="N5339" s="27" t="n"/>
      <c r="O5339" s="27" t="n"/>
      <c r="P5339" s="27" t="n"/>
      <c r="Q5339" s="27" t="n"/>
      <c r="R5339" s="27" t="n"/>
      <c r="S5339" s="27" t="n"/>
      <c r="T5339" s="27" t="n"/>
    </row>
    <row r="5340" ht="13.8" customFormat="1" customHeight="1" s="70">
      <c r="M5340" s="27" t="n"/>
      <c r="N5340" s="27" t="n"/>
      <c r="O5340" s="27" t="n"/>
      <c r="P5340" s="27" t="n"/>
      <c r="Q5340" s="27" t="n"/>
      <c r="R5340" s="27" t="n"/>
      <c r="S5340" s="27" t="n"/>
      <c r="T5340" s="27" t="n"/>
    </row>
    <row r="5341" ht="13.8" customFormat="1" customHeight="1" s="70">
      <c r="M5341" s="27" t="n"/>
      <c r="N5341" s="27" t="n"/>
      <c r="O5341" s="27" t="n"/>
      <c r="P5341" s="27" t="n"/>
      <c r="Q5341" s="27" t="n"/>
      <c r="R5341" s="27" t="n"/>
      <c r="S5341" s="27" t="n"/>
      <c r="T5341" s="27" t="n"/>
    </row>
    <row r="5342" ht="13.8" customFormat="1" customHeight="1" s="70">
      <c r="M5342" s="27" t="n"/>
      <c r="N5342" s="27" t="n"/>
      <c r="O5342" s="27" t="n"/>
      <c r="P5342" s="27" t="n"/>
      <c r="Q5342" s="27" t="n"/>
      <c r="R5342" s="27" t="n"/>
      <c r="S5342" s="27" t="n"/>
      <c r="T5342" s="27" t="n"/>
    </row>
    <row r="5343" ht="13.8" customFormat="1" customHeight="1" s="70">
      <c r="M5343" s="27" t="n"/>
      <c r="N5343" s="27" t="n"/>
      <c r="O5343" s="27" t="n"/>
      <c r="P5343" s="27" t="n"/>
      <c r="Q5343" s="27" t="n"/>
      <c r="R5343" s="27" t="n"/>
      <c r="S5343" s="27" t="n"/>
      <c r="T5343" s="27" t="n"/>
    </row>
    <row r="5344" ht="13.8" customFormat="1" customHeight="1" s="70">
      <c r="M5344" s="27" t="n"/>
      <c r="N5344" s="27" t="n"/>
      <c r="O5344" s="27" t="n"/>
      <c r="P5344" s="27" t="n"/>
      <c r="Q5344" s="27" t="n"/>
      <c r="R5344" s="27" t="n"/>
      <c r="S5344" s="27" t="n"/>
      <c r="T5344" s="27" t="n"/>
    </row>
    <row r="5345" ht="13.8" customFormat="1" customHeight="1" s="70">
      <c r="M5345" s="27" t="n"/>
      <c r="N5345" s="27" t="n"/>
      <c r="O5345" s="27" t="n"/>
      <c r="P5345" s="27" t="n"/>
      <c r="Q5345" s="27" t="n"/>
      <c r="R5345" s="27" t="n"/>
      <c r="S5345" s="27" t="n"/>
      <c r="T5345" s="27" t="n"/>
    </row>
    <row r="5346" ht="13.8" customFormat="1" customHeight="1" s="70">
      <c r="M5346" s="27" t="n"/>
      <c r="N5346" s="27" t="n"/>
      <c r="O5346" s="27" t="n"/>
      <c r="P5346" s="27" t="n"/>
      <c r="Q5346" s="27" t="n"/>
      <c r="R5346" s="27" t="n"/>
      <c r="S5346" s="27" t="n"/>
      <c r="T5346" s="27" t="n"/>
    </row>
    <row r="5347" ht="13.8" customFormat="1" customHeight="1" s="70">
      <c r="M5347" s="27" t="n"/>
      <c r="N5347" s="27" t="n"/>
      <c r="O5347" s="27" t="n"/>
      <c r="P5347" s="27" t="n"/>
      <c r="Q5347" s="27" t="n"/>
      <c r="R5347" s="27" t="n"/>
      <c r="S5347" s="27" t="n"/>
      <c r="T5347" s="27" t="n"/>
    </row>
    <row r="5348" ht="13.8" customFormat="1" customHeight="1" s="70">
      <c r="M5348" s="27" t="n"/>
      <c r="N5348" s="27" t="n"/>
      <c r="O5348" s="27" t="n"/>
      <c r="P5348" s="27" t="n"/>
      <c r="Q5348" s="27" t="n"/>
      <c r="R5348" s="27" t="n"/>
      <c r="S5348" s="27" t="n"/>
      <c r="T5348" s="27" t="n"/>
    </row>
    <row r="5349" ht="13.8" customFormat="1" customHeight="1" s="70">
      <c r="M5349" s="27" t="n"/>
      <c r="N5349" s="27" t="n"/>
      <c r="O5349" s="27" t="n"/>
      <c r="P5349" s="27" t="n"/>
      <c r="Q5349" s="27" t="n"/>
      <c r="R5349" s="27" t="n"/>
      <c r="S5349" s="27" t="n"/>
      <c r="T5349" s="27" t="n"/>
    </row>
    <row r="5350" ht="13.8" customFormat="1" customHeight="1" s="70">
      <c r="M5350" s="27" t="n"/>
      <c r="N5350" s="27" t="n"/>
      <c r="O5350" s="27" t="n"/>
      <c r="P5350" s="27" t="n"/>
      <c r="Q5350" s="27" t="n"/>
      <c r="R5350" s="27" t="n"/>
      <c r="S5350" s="27" t="n"/>
      <c r="T5350" s="27" t="n"/>
    </row>
    <row r="5351" ht="13.8" customFormat="1" customHeight="1" s="70">
      <c r="M5351" s="27" t="n"/>
      <c r="N5351" s="27" t="n"/>
      <c r="O5351" s="27" t="n"/>
      <c r="P5351" s="27" t="n"/>
      <c r="Q5351" s="27" t="n"/>
      <c r="R5351" s="27" t="n"/>
      <c r="S5351" s="27" t="n"/>
      <c r="T5351" s="27" t="n"/>
    </row>
    <row r="5352" ht="13.8" customFormat="1" customHeight="1" s="70">
      <c r="M5352" s="27" t="n"/>
      <c r="N5352" s="27" t="n"/>
      <c r="O5352" s="27" t="n"/>
      <c r="P5352" s="27" t="n"/>
      <c r="Q5352" s="27" t="n"/>
      <c r="R5352" s="27" t="n"/>
      <c r="S5352" s="27" t="n"/>
      <c r="T5352" s="27" t="n"/>
    </row>
    <row r="5353" ht="13.8" customFormat="1" customHeight="1" s="70">
      <c r="M5353" s="27" t="n"/>
      <c r="N5353" s="27" t="n"/>
      <c r="O5353" s="27" t="n"/>
      <c r="P5353" s="27" t="n"/>
      <c r="Q5353" s="27" t="n"/>
      <c r="R5353" s="27" t="n"/>
      <c r="S5353" s="27" t="n"/>
      <c r="T5353" s="27" t="n"/>
    </row>
    <row r="5354" ht="13.8" customFormat="1" customHeight="1" s="70">
      <c r="M5354" s="27" t="n"/>
      <c r="N5354" s="27" t="n"/>
      <c r="O5354" s="27" t="n"/>
      <c r="P5354" s="27" t="n"/>
      <c r="Q5354" s="27" t="n"/>
      <c r="R5354" s="27" t="n"/>
      <c r="S5354" s="27" t="n"/>
      <c r="T5354" s="27" t="n"/>
    </row>
    <row r="5355" ht="13.8" customFormat="1" customHeight="1" s="70">
      <c r="M5355" s="27" t="n"/>
      <c r="N5355" s="27" t="n"/>
      <c r="O5355" s="27" t="n"/>
      <c r="P5355" s="27" t="n"/>
      <c r="Q5355" s="27" t="n"/>
      <c r="R5355" s="27" t="n"/>
      <c r="S5355" s="27" t="n"/>
      <c r="T5355" s="27" t="n"/>
    </row>
    <row r="5356" ht="13.8" customFormat="1" customHeight="1" s="70">
      <c r="M5356" s="27" t="n"/>
      <c r="N5356" s="27" t="n"/>
      <c r="O5356" s="27" t="n"/>
      <c r="P5356" s="27" t="n"/>
      <c r="Q5356" s="27" t="n"/>
      <c r="R5356" s="27" t="n"/>
      <c r="S5356" s="27" t="n"/>
      <c r="T5356" s="27" t="n"/>
    </row>
    <row r="5357" ht="13.8" customFormat="1" customHeight="1" s="70">
      <c r="M5357" s="27" t="n"/>
      <c r="N5357" s="27" t="n"/>
      <c r="O5357" s="27" t="n"/>
      <c r="P5357" s="27" t="n"/>
      <c r="Q5357" s="27" t="n"/>
      <c r="R5357" s="27" t="n"/>
      <c r="S5357" s="27" t="n"/>
      <c r="T5357" s="27" t="n"/>
    </row>
    <row r="5358" ht="13.8" customFormat="1" customHeight="1" s="70">
      <c r="M5358" s="27" t="n"/>
      <c r="N5358" s="27" t="n"/>
      <c r="O5358" s="27" t="n"/>
      <c r="P5358" s="27" t="n"/>
      <c r="Q5358" s="27" t="n"/>
      <c r="R5358" s="27" t="n"/>
      <c r="S5358" s="27" t="n"/>
      <c r="T5358" s="27" t="n"/>
    </row>
    <row r="5359" ht="13.8" customFormat="1" customHeight="1" s="70">
      <c r="M5359" s="27" t="n"/>
      <c r="N5359" s="27" t="n"/>
      <c r="O5359" s="27" t="n"/>
      <c r="P5359" s="27" t="n"/>
      <c r="Q5359" s="27" t="n"/>
      <c r="R5359" s="27" t="n"/>
      <c r="S5359" s="27" t="n"/>
      <c r="T5359" s="27" t="n"/>
    </row>
    <row r="5360" ht="13.8" customFormat="1" customHeight="1" s="70">
      <c r="M5360" s="27" t="n"/>
      <c r="N5360" s="27" t="n"/>
      <c r="O5360" s="27" t="n"/>
      <c r="P5360" s="27" t="n"/>
      <c r="Q5360" s="27" t="n"/>
      <c r="R5360" s="27" t="n"/>
      <c r="S5360" s="27" t="n"/>
      <c r="T5360" s="27" t="n"/>
    </row>
    <row r="5361" ht="13.8" customFormat="1" customHeight="1" s="70">
      <c r="M5361" s="27" t="n"/>
      <c r="N5361" s="27" t="n"/>
      <c r="O5361" s="27" t="n"/>
      <c r="P5361" s="27" t="n"/>
      <c r="Q5361" s="27" t="n"/>
      <c r="R5361" s="27" t="n"/>
      <c r="S5361" s="27" t="n"/>
      <c r="T5361" s="27" t="n"/>
    </row>
    <row r="5362" ht="13.8" customFormat="1" customHeight="1" s="70">
      <c r="M5362" s="27" t="n"/>
      <c r="N5362" s="27" t="n"/>
      <c r="O5362" s="27" t="n"/>
      <c r="P5362" s="27" t="n"/>
      <c r="Q5362" s="27" t="n"/>
      <c r="R5362" s="27" t="n"/>
      <c r="S5362" s="27" t="n"/>
      <c r="T5362" s="27" t="n"/>
    </row>
    <row r="5363" ht="13.8" customFormat="1" customHeight="1" s="70">
      <c r="M5363" s="27" t="n"/>
      <c r="N5363" s="27" t="n"/>
      <c r="O5363" s="27" t="n"/>
      <c r="P5363" s="27" t="n"/>
      <c r="Q5363" s="27" t="n"/>
      <c r="R5363" s="27" t="n"/>
      <c r="S5363" s="27" t="n"/>
      <c r="T5363" s="27" t="n"/>
    </row>
    <row r="5364" ht="13.8" customFormat="1" customHeight="1" s="70">
      <c r="M5364" s="27" t="n"/>
      <c r="N5364" s="27" t="n"/>
      <c r="O5364" s="27" t="n"/>
      <c r="P5364" s="27" t="n"/>
      <c r="Q5364" s="27" t="n"/>
      <c r="R5364" s="27" t="n"/>
      <c r="S5364" s="27" t="n"/>
      <c r="T5364" s="27" t="n"/>
    </row>
    <row r="5365" ht="13.8" customFormat="1" customHeight="1" s="70">
      <c r="M5365" s="27" t="n"/>
      <c r="N5365" s="27" t="n"/>
      <c r="O5365" s="27" t="n"/>
      <c r="P5365" s="27" t="n"/>
      <c r="Q5365" s="27" t="n"/>
      <c r="R5365" s="27" t="n"/>
      <c r="S5365" s="27" t="n"/>
      <c r="T5365" s="27" t="n"/>
    </row>
    <row r="5366" ht="13.8" customFormat="1" customHeight="1" s="70">
      <c r="M5366" s="27" t="n"/>
      <c r="N5366" s="27" t="n"/>
      <c r="O5366" s="27" t="n"/>
      <c r="P5366" s="27" t="n"/>
      <c r="Q5366" s="27" t="n"/>
      <c r="R5366" s="27" t="n"/>
      <c r="S5366" s="27" t="n"/>
      <c r="T5366" s="27" t="n"/>
    </row>
    <row r="5367" ht="13.8" customFormat="1" customHeight="1" s="70">
      <c r="M5367" s="27" t="n"/>
      <c r="N5367" s="27" t="n"/>
      <c r="O5367" s="27" t="n"/>
      <c r="P5367" s="27" t="n"/>
      <c r="Q5367" s="27" t="n"/>
      <c r="R5367" s="27" t="n"/>
      <c r="S5367" s="27" t="n"/>
      <c r="T5367" s="27" t="n"/>
    </row>
    <row r="5368" ht="13.8" customFormat="1" customHeight="1" s="70">
      <c r="M5368" s="27" t="n"/>
      <c r="N5368" s="27" t="n"/>
      <c r="O5368" s="27" t="n"/>
      <c r="P5368" s="27" t="n"/>
      <c r="Q5368" s="27" t="n"/>
      <c r="R5368" s="27" t="n"/>
      <c r="S5368" s="27" t="n"/>
      <c r="T5368" s="27" t="n"/>
    </row>
    <row r="5369" ht="13.8" customFormat="1" customHeight="1" s="70">
      <c r="M5369" s="27" t="n"/>
      <c r="N5369" s="27" t="n"/>
      <c r="O5369" s="27" t="n"/>
      <c r="P5369" s="27" t="n"/>
      <c r="Q5369" s="27" t="n"/>
      <c r="R5369" s="27" t="n"/>
      <c r="S5369" s="27" t="n"/>
      <c r="T5369" s="27" t="n"/>
    </row>
    <row r="5370" ht="13.8" customFormat="1" customHeight="1" s="70">
      <c r="M5370" s="27" t="n"/>
      <c r="N5370" s="27" t="n"/>
      <c r="O5370" s="27" t="n"/>
      <c r="P5370" s="27" t="n"/>
      <c r="Q5370" s="27" t="n"/>
      <c r="R5370" s="27" t="n"/>
      <c r="S5370" s="27" t="n"/>
      <c r="T5370" s="27" t="n"/>
    </row>
    <row r="5371" ht="13.8" customFormat="1" customHeight="1" s="70">
      <c r="M5371" s="27" t="n"/>
      <c r="N5371" s="27" t="n"/>
      <c r="O5371" s="27" t="n"/>
      <c r="P5371" s="27" t="n"/>
      <c r="Q5371" s="27" t="n"/>
      <c r="R5371" s="27" t="n"/>
      <c r="S5371" s="27" t="n"/>
      <c r="T5371" s="27" t="n"/>
    </row>
    <row r="5372" ht="13.8" customFormat="1" customHeight="1" s="70">
      <c r="M5372" s="27" t="n"/>
      <c r="N5372" s="27" t="n"/>
      <c r="O5372" s="27" t="n"/>
      <c r="P5372" s="27" t="n"/>
      <c r="Q5372" s="27" t="n"/>
      <c r="R5372" s="27" t="n"/>
      <c r="S5372" s="27" t="n"/>
      <c r="T5372" s="27" t="n"/>
    </row>
    <row r="5373" ht="13.8" customFormat="1" customHeight="1" s="70">
      <c r="M5373" s="27" t="n"/>
      <c r="N5373" s="27" t="n"/>
      <c r="O5373" s="27" t="n"/>
      <c r="P5373" s="27" t="n"/>
      <c r="Q5373" s="27" t="n"/>
      <c r="R5373" s="27" t="n"/>
      <c r="S5373" s="27" t="n"/>
      <c r="T5373" s="27" t="n"/>
    </row>
    <row r="5374" ht="13.8" customFormat="1" customHeight="1" s="70">
      <c r="M5374" s="27" t="n"/>
      <c r="N5374" s="27" t="n"/>
      <c r="O5374" s="27" t="n"/>
      <c r="P5374" s="27" t="n"/>
      <c r="Q5374" s="27" t="n"/>
      <c r="R5374" s="27" t="n"/>
      <c r="S5374" s="27" t="n"/>
      <c r="T5374" s="27" t="n"/>
    </row>
    <row r="5375" ht="13.8" customFormat="1" customHeight="1" s="70">
      <c r="M5375" s="27" t="n"/>
      <c r="N5375" s="27" t="n"/>
      <c r="O5375" s="27" t="n"/>
      <c r="P5375" s="27" t="n"/>
      <c r="Q5375" s="27" t="n"/>
      <c r="R5375" s="27" t="n"/>
      <c r="S5375" s="27" t="n"/>
      <c r="T5375" s="27" t="n"/>
    </row>
    <row r="5376" ht="13.8" customFormat="1" customHeight="1" s="70">
      <c r="M5376" s="27" t="n"/>
      <c r="N5376" s="27" t="n"/>
      <c r="O5376" s="27" t="n"/>
      <c r="P5376" s="27" t="n"/>
      <c r="Q5376" s="27" t="n"/>
      <c r="R5376" s="27" t="n"/>
      <c r="S5376" s="27" t="n"/>
      <c r="T5376" s="27" t="n"/>
    </row>
    <row r="5377" ht="13.8" customFormat="1" customHeight="1" s="70">
      <c r="M5377" s="27" t="n"/>
      <c r="N5377" s="27" t="n"/>
      <c r="O5377" s="27" t="n"/>
      <c r="P5377" s="27" t="n"/>
      <c r="Q5377" s="27" t="n"/>
      <c r="R5377" s="27" t="n"/>
      <c r="S5377" s="27" t="n"/>
      <c r="T5377" s="27" t="n"/>
    </row>
    <row r="5378" ht="13.8" customFormat="1" customHeight="1" s="70">
      <c r="M5378" s="27" t="n"/>
      <c r="N5378" s="27" t="n"/>
      <c r="O5378" s="27" t="n"/>
      <c r="P5378" s="27" t="n"/>
      <c r="Q5378" s="27" t="n"/>
      <c r="R5378" s="27" t="n"/>
      <c r="S5378" s="27" t="n"/>
      <c r="T5378" s="27" t="n"/>
    </row>
    <row r="5379" ht="13.8" customFormat="1" customHeight="1" s="70">
      <c r="M5379" s="27" t="n"/>
      <c r="N5379" s="27" t="n"/>
      <c r="O5379" s="27" t="n"/>
      <c r="P5379" s="27" t="n"/>
      <c r="Q5379" s="27" t="n"/>
      <c r="R5379" s="27" t="n"/>
      <c r="S5379" s="27" t="n"/>
      <c r="T5379" s="27" t="n"/>
    </row>
    <row r="5380" ht="13.8" customFormat="1" customHeight="1" s="70">
      <c r="M5380" s="27" t="n"/>
      <c r="N5380" s="27" t="n"/>
      <c r="O5380" s="27" t="n"/>
      <c r="P5380" s="27" t="n"/>
      <c r="Q5380" s="27" t="n"/>
      <c r="R5380" s="27" t="n"/>
      <c r="S5380" s="27" t="n"/>
      <c r="T5380" s="27" t="n"/>
    </row>
    <row r="5381" ht="13.8" customFormat="1" customHeight="1" s="70">
      <c r="M5381" s="27" t="n"/>
      <c r="N5381" s="27" t="n"/>
      <c r="O5381" s="27" t="n"/>
      <c r="P5381" s="27" t="n"/>
      <c r="Q5381" s="27" t="n"/>
      <c r="R5381" s="27" t="n"/>
      <c r="S5381" s="27" t="n"/>
      <c r="T5381" s="27" t="n"/>
    </row>
    <row r="5382" ht="13.8" customFormat="1" customHeight="1" s="70">
      <c r="M5382" s="27" t="n"/>
      <c r="N5382" s="27" t="n"/>
      <c r="O5382" s="27" t="n"/>
      <c r="P5382" s="27" t="n"/>
      <c r="Q5382" s="27" t="n"/>
      <c r="R5382" s="27" t="n"/>
      <c r="S5382" s="27" t="n"/>
      <c r="T5382" s="27" t="n"/>
    </row>
    <row r="5383" ht="13.8" customFormat="1" customHeight="1" s="70">
      <c r="M5383" s="27" t="n"/>
      <c r="N5383" s="27" t="n"/>
      <c r="O5383" s="27" t="n"/>
      <c r="P5383" s="27" t="n"/>
      <c r="Q5383" s="27" t="n"/>
      <c r="R5383" s="27" t="n"/>
      <c r="S5383" s="27" t="n"/>
      <c r="T5383" s="27" t="n"/>
    </row>
    <row r="5384" ht="13.8" customFormat="1" customHeight="1" s="70">
      <c r="M5384" s="27" t="n"/>
      <c r="N5384" s="27" t="n"/>
      <c r="O5384" s="27" t="n"/>
      <c r="P5384" s="27" t="n"/>
      <c r="Q5384" s="27" t="n"/>
      <c r="R5384" s="27" t="n"/>
      <c r="S5384" s="27" t="n"/>
      <c r="T5384" s="27" t="n"/>
    </row>
    <row r="5385" ht="13.8" customFormat="1" customHeight="1" s="70">
      <c r="M5385" s="27" t="n"/>
      <c r="N5385" s="27" t="n"/>
      <c r="O5385" s="27" t="n"/>
      <c r="P5385" s="27" t="n"/>
      <c r="Q5385" s="27" t="n"/>
      <c r="R5385" s="27" t="n"/>
      <c r="S5385" s="27" t="n"/>
      <c r="T5385" s="27" t="n"/>
    </row>
    <row r="5386" ht="13.8" customFormat="1" customHeight="1" s="70">
      <c r="M5386" s="27" t="n"/>
      <c r="N5386" s="27" t="n"/>
      <c r="O5386" s="27" t="n"/>
      <c r="P5386" s="27" t="n"/>
      <c r="Q5386" s="27" t="n"/>
      <c r="R5386" s="27" t="n"/>
      <c r="S5386" s="27" t="n"/>
      <c r="T5386" s="27" t="n"/>
    </row>
    <row r="5387" ht="13.8" customFormat="1" customHeight="1" s="70">
      <c r="M5387" s="27" t="n"/>
      <c r="N5387" s="27" t="n"/>
      <c r="O5387" s="27" t="n"/>
      <c r="P5387" s="27" t="n"/>
      <c r="Q5387" s="27" t="n"/>
      <c r="R5387" s="27" t="n"/>
      <c r="S5387" s="27" t="n"/>
      <c r="T5387" s="27" t="n"/>
    </row>
    <row r="5388" ht="13.8" customFormat="1" customHeight="1" s="70">
      <c r="M5388" s="27" t="n"/>
      <c r="N5388" s="27" t="n"/>
      <c r="O5388" s="27" t="n"/>
      <c r="P5388" s="27" t="n"/>
      <c r="Q5388" s="27" t="n"/>
      <c r="R5388" s="27" t="n"/>
      <c r="S5388" s="27" t="n"/>
      <c r="T5388" s="27" t="n"/>
    </row>
    <row r="5389" ht="13.8" customFormat="1" customHeight="1" s="70">
      <c r="M5389" s="27" t="n"/>
      <c r="N5389" s="27" t="n"/>
      <c r="O5389" s="27" t="n"/>
      <c r="P5389" s="27" t="n"/>
      <c r="Q5389" s="27" t="n"/>
      <c r="R5389" s="27" t="n"/>
      <c r="S5389" s="27" t="n"/>
      <c r="T5389" s="27" t="n"/>
    </row>
    <row r="5390" ht="13.8" customFormat="1" customHeight="1" s="70">
      <c r="M5390" s="27" t="n"/>
      <c r="N5390" s="27" t="n"/>
      <c r="O5390" s="27" t="n"/>
      <c r="P5390" s="27" t="n"/>
      <c r="Q5390" s="27" t="n"/>
      <c r="R5390" s="27" t="n"/>
      <c r="S5390" s="27" t="n"/>
      <c r="T5390" s="27" t="n"/>
    </row>
    <row r="5391" ht="13.8" customFormat="1" customHeight="1" s="70">
      <c r="M5391" s="27" t="n"/>
      <c r="N5391" s="27" t="n"/>
      <c r="O5391" s="27" t="n"/>
      <c r="P5391" s="27" t="n"/>
      <c r="Q5391" s="27" t="n"/>
      <c r="R5391" s="27" t="n"/>
      <c r="S5391" s="27" t="n"/>
      <c r="T5391" s="27" t="n"/>
    </row>
    <row r="5392" ht="13.8" customFormat="1" customHeight="1" s="70">
      <c r="M5392" s="27" t="n"/>
      <c r="N5392" s="27" t="n"/>
      <c r="O5392" s="27" t="n"/>
      <c r="P5392" s="27" t="n"/>
      <c r="Q5392" s="27" t="n"/>
      <c r="R5392" s="27" t="n"/>
      <c r="S5392" s="27" t="n"/>
      <c r="T5392" s="27" t="n"/>
    </row>
    <row r="5393" ht="13.8" customFormat="1" customHeight="1" s="70">
      <c r="M5393" s="27" t="n"/>
      <c r="N5393" s="27" t="n"/>
      <c r="O5393" s="27" t="n"/>
      <c r="P5393" s="27" t="n"/>
      <c r="Q5393" s="27" t="n"/>
      <c r="R5393" s="27" t="n"/>
      <c r="S5393" s="27" t="n"/>
      <c r="T5393" s="27" t="n"/>
    </row>
    <row r="5394" ht="13.8" customFormat="1" customHeight="1" s="70">
      <c r="M5394" s="27" t="n"/>
      <c r="N5394" s="27" t="n"/>
      <c r="O5394" s="27" t="n"/>
      <c r="P5394" s="27" t="n"/>
      <c r="Q5394" s="27" t="n"/>
      <c r="R5394" s="27" t="n"/>
      <c r="S5394" s="27" t="n"/>
      <c r="T5394" s="27" t="n"/>
    </row>
    <row r="5395" ht="13.8" customFormat="1" customHeight="1" s="70">
      <c r="M5395" s="27" t="n"/>
      <c r="N5395" s="27" t="n"/>
      <c r="O5395" s="27" t="n"/>
      <c r="P5395" s="27" t="n"/>
      <c r="Q5395" s="27" t="n"/>
      <c r="R5395" s="27" t="n"/>
      <c r="S5395" s="27" t="n"/>
      <c r="T5395" s="27" t="n"/>
    </row>
    <row r="5396" ht="13.8" customFormat="1" customHeight="1" s="70">
      <c r="M5396" s="27" t="n"/>
      <c r="N5396" s="27" t="n"/>
      <c r="O5396" s="27" t="n"/>
      <c r="P5396" s="27" t="n"/>
      <c r="Q5396" s="27" t="n"/>
      <c r="R5396" s="27" t="n"/>
      <c r="S5396" s="27" t="n"/>
      <c r="T5396" s="27" t="n"/>
    </row>
    <row r="5397" ht="13.8" customFormat="1" customHeight="1" s="70">
      <c r="M5397" s="27" t="n"/>
      <c r="N5397" s="27" t="n"/>
      <c r="O5397" s="27" t="n"/>
      <c r="P5397" s="27" t="n"/>
      <c r="Q5397" s="27" t="n"/>
      <c r="R5397" s="27" t="n"/>
      <c r="S5397" s="27" t="n"/>
      <c r="T5397" s="27" t="n"/>
    </row>
    <row r="5398" ht="13.8" customFormat="1" customHeight="1" s="70">
      <c r="M5398" s="27" t="n"/>
      <c r="N5398" s="27" t="n"/>
      <c r="O5398" s="27" t="n"/>
      <c r="P5398" s="27" t="n"/>
      <c r="Q5398" s="27" t="n"/>
      <c r="R5398" s="27" t="n"/>
      <c r="S5398" s="27" t="n"/>
      <c r="T5398" s="27" t="n"/>
    </row>
    <row r="5399" ht="13.8" customFormat="1" customHeight="1" s="70">
      <c r="M5399" s="27" t="n"/>
      <c r="N5399" s="27" t="n"/>
      <c r="O5399" s="27" t="n"/>
      <c r="P5399" s="27" t="n"/>
      <c r="Q5399" s="27" t="n"/>
      <c r="R5399" s="27" t="n"/>
      <c r="S5399" s="27" t="n"/>
      <c r="T5399" s="27" t="n"/>
    </row>
    <row r="5400" ht="13.8" customFormat="1" customHeight="1" s="70">
      <c r="M5400" s="27" t="n"/>
      <c r="N5400" s="27" t="n"/>
      <c r="O5400" s="27" t="n"/>
      <c r="P5400" s="27" t="n"/>
      <c r="Q5400" s="27" t="n"/>
      <c r="R5400" s="27" t="n"/>
      <c r="S5400" s="27" t="n"/>
      <c r="T5400" s="27" t="n"/>
    </row>
    <row r="5401" ht="13.8" customFormat="1" customHeight="1" s="70">
      <c r="M5401" s="27" t="n"/>
      <c r="N5401" s="27" t="n"/>
      <c r="O5401" s="27" t="n"/>
      <c r="P5401" s="27" t="n"/>
      <c r="Q5401" s="27" t="n"/>
      <c r="R5401" s="27" t="n"/>
      <c r="S5401" s="27" t="n"/>
      <c r="T5401" s="27" t="n"/>
    </row>
    <row r="5402" ht="13.8" customFormat="1" customHeight="1" s="70">
      <c r="M5402" s="27" t="n"/>
      <c r="N5402" s="27" t="n"/>
      <c r="O5402" s="27" t="n"/>
      <c r="P5402" s="27" t="n"/>
      <c r="Q5402" s="27" t="n"/>
      <c r="R5402" s="27" t="n"/>
      <c r="S5402" s="27" t="n"/>
      <c r="T5402" s="27" t="n"/>
    </row>
    <row r="5403" ht="13.8" customFormat="1" customHeight="1" s="70">
      <c r="M5403" s="27" t="n"/>
      <c r="N5403" s="27" t="n"/>
      <c r="O5403" s="27" t="n"/>
      <c r="P5403" s="27" t="n"/>
      <c r="Q5403" s="27" t="n"/>
      <c r="R5403" s="27" t="n"/>
      <c r="S5403" s="27" t="n"/>
      <c r="T5403" s="27" t="n"/>
    </row>
    <row r="5404" ht="13.8" customFormat="1" customHeight="1" s="70">
      <c r="M5404" s="27" t="n"/>
      <c r="N5404" s="27" t="n"/>
      <c r="O5404" s="27" t="n"/>
      <c r="P5404" s="27" t="n"/>
      <c r="Q5404" s="27" t="n"/>
      <c r="R5404" s="27" t="n"/>
      <c r="S5404" s="27" t="n"/>
      <c r="T5404" s="27" t="n"/>
    </row>
    <row r="5405" ht="13.8" customFormat="1" customHeight="1" s="70">
      <c r="M5405" s="27" t="n"/>
      <c r="N5405" s="27" t="n"/>
      <c r="O5405" s="27" t="n"/>
      <c r="P5405" s="27" t="n"/>
      <c r="Q5405" s="27" t="n"/>
      <c r="R5405" s="27" t="n"/>
      <c r="S5405" s="27" t="n"/>
      <c r="T5405" s="27" t="n"/>
    </row>
    <row r="5406" ht="13.8" customFormat="1" customHeight="1" s="70">
      <c r="M5406" s="27" t="n"/>
      <c r="N5406" s="27" t="n"/>
      <c r="O5406" s="27" t="n"/>
      <c r="P5406" s="27" t="n"/>
      <c r="Q5406" s="27" t="n"/>
      <c r="R5406" s="27" t="n"/>
      <c r="S5406" s="27" t="n"/>
      <c r="T5406" s="27" t="n"/>
    </row>
    <row r="5407" ht="13.8" customFormat="1" customHeight="1" s="70">
      <c r="M5407" s="27" t="n"/>
      <c r="N5407" s="27" t="n"/>
      <c r="O5407" s="27" t="n"/>
      <c r="P5407" s="27" t="n"/>
      <c r="Q5407" s="27" t="n"/>
      <c r="R5407" s="27" t="n"/>
      <c r="S5407" s="27" t="n"/>
      <c r="T5407" s="27" t="n"/>
    </row>
    <row r="5408" ht="13.8" customFormat="1" customHeight="1" s="70">
      <c r="M5408" s="27" t="n"/>
      <c r="N5408" s="27" t="n"/>
      <c r="O5408" s="27" t="n"/>
      <c r="P5408" s="27" t="n"/>
      <c r="Q5408" s="27" t="n"/>
      <c r="R5408" s="27" t="n"/>
      <c r="S5408" s="27" t="n"/>
      <c r="T5408" s="27" t="n"/>
    </row>
    <row r="5409" ht="13.8" customFormat="1" customHeight="1" s="70">
      <c r="M5409" s="27" t="n"/>
      <c r="N5409" s="27" t="n"/>
      <c r="O5409" s="27" t="n"/>
      <c r="P5409" s="27" t="n"/>
      <c r="Q5409" s="27" t="n"/>
      <c r="R5409" s="27" t="n"/>
      <c r="S5409" s="27" t="n"/>
      <c r="T5409" s="27" t="n"/>
    </row>
    <row r="5410" ht="13.8" customFormat="1" customHeight="1" s="70">
      <c r="M5410" s="27" t="n"/>
      <c r="N5410" s="27" t="n"/>
      <c r="O5410" s="27" t="n"/>
      <c r="P5410" s="27" t="n"/>
      <c r="Q5410" s="27" t="n"/>
      <c r="R5410" s="27" t="n"/>
      <c r="S5410" s="27" t="n"/>
      <c r="T5410" s="27" t="n"/>
    </row>
    <row r="5411" ht="13.8" customFormat="1" customHeight="1" s="70">
      <c r="M5411" s="27" t="n"/>
      <c r="N5411" s="27" t="n"/>
      <c r="O5411" s="27" t="n"/>
      <c r="P5411" s="27" t="n"/>
      <c r="Q5411" s="27" t="n"/>
      <c r="R5411" s="27" t="n"/>
      <c r="S5411" s="27" t="n"/>
      <c r="T5411" s="27" t="n"/>
    </row>
    <row r="5412" ht="13.8" customFormat="1" customHeight="1" s="70">
      <c r="M5412" s="27" t="n"/>
      <c r="N5412" s="27" t="n"/>
      <c r="O5412" s="27" t="n"/>
      <c r="P5412" s="27" t="n"/>
      <c r="Q5412" s="27" t="n"/>
      <c r="R5412" s="27" t="n"/>
      <c r="S5412" s="27" t="n"/>
      <c r="T5412" s="27" t="n"/>
    </row>
    <row r="5413" ht="13.8" customFormat="1" customHeight="1" s="70">
      <c r="M5413" s="27" t="n"/>
      <c r="N5413" s="27" t="n"/>
      <c r="O5413" s="27" t="n"/>
      <c r="P5413" s="27" t="n"/>
      <c r="Q5413" s="27" t="n"/>
      <c r="R5413" s="27" t="n"/>
      <c r="S5413" s="27" t="n"/>
      <c r="T5413" s="27" t="n"/>
    </row>
    <row r="5414" ht="13.8" customFormat="1" customHeight="1" s="70">
      <c r="M5414" s="27" t="n"/>
      <c r="N5414" s="27" t="n"/>
      <c r="O5414" s="27" t="n"/>
      <c r="P5414" s="27" t="n"/>
      <c r="Q5414" s="27" t="n"/>
      <c r="R5414" s="27" t="n"/>
      <c r="S5414" s="27" t="n"/>
      <c r="T5414" s="27" t="n"/>
    </row>
    <row r="5415" ht="13.8" customFormat="1" customHeight="1" s="70">
      <c r="M5415" s="27" t="n"/>
      <c r="N5415" s="27" t="n"/>
      <c r="O5415" s="27" t="n"/>
      <c r="P5415" s="27" t="n"/>
      <c r="Q5415" s="27" t="n"/>
      <c r="R5415" s="27" t="n"/>
      <c r="S5415" s="27" t="n"/>
      <c r="T5415" s="27" t="n"/>
    </row>
    <row r="5416" ht="13.8" customFormat="1" customHeight="1" s="70">
      <c r="M5416" s="27" t="n"/>
      <c r="N5416" s="27" t="n"/>
      <c r="O5416" s="27" t="n"/>
      <c r="P5416" s="27" t="n"/>
      <c r="Q5416" s="27" t="n"/>
      <c r="R5416" s="27" t="n"/>
      <c r="S5416" s="27" t="n"/>
      <c r="T5416" s="27" t="n"/>
    </row>
    <row r="5417" ht="13.8" customFormat="1" customHeight="1" s="70">
      <c r="M5417" s="27" t="n"/>
      <c r="N5417" s="27" t="n"/>
      <c r="O5417" s="27" t="n"/>
      <c r="P5417" s="27" t="n"/>
      <c r="Q5417" s="27" t="n"/>
      <c r="R5417" s="27" t="n"/>
      <c r="S5417" s="27" t="n"/>
      <c r="T5417" s="27" t="n"/>
    </row>
    <row r="5418" ht="13.8" customFormat="1" customHeight="1" s="70">
      <c r="M5418" s="27" t="n"/>
      <c r="N5418" s="27" t="n"/>
      <c r="O5418" s="27" t="n"/>
      <c r="P5418" s="27" t="n"/>
      <c r="Q5418" s="27" t="n"/>
      <c r="R5418" s="27" t="n"/>
      <c r="S5418" s="27" t="n"/>
      <c r="T5418" s="27" t="n"/>
    </row>
    <row r="5419" ht="13.8" customFormat="1" customHeight="1" s="70">
      <c r="M5419" s="27" t="n"/>
      <c r="N5419" s="27" t="n"/>
      <c r="O5419" s="27" t="n"/>
      <c r="P5419" s="27" t="n"/>
      <c r="Q5419" s="27" t="n"/>
      <c r="R5419" s="27" t="n"/>
      <c r="S5419" s="27" t="n"/>
      <c r="T5419" s="27" t="n"/>
    </row>
    <row r="5420" ht="13.8" customFormat="1" customHeight="1" s="70">
      <c r="M5420" s="27" t="n"/>
      <c r="N5420" s="27" t="n"/>
      <c r="O5420" s="27" t="n"/>
      <c r="P5420" s="27" t="n"/>
      <c r="Q5420" s="27" t="n"/>
      <c r="R5420" s="27" t="n"/>
      <c r="S5420" s="27" t="n"/>
      <c r="T5420" s="27" t="n"/>
    </row>
    <row r="5421" ht="13.8" customFormat="1" customHeight="1" s="70">
      <c r="M5421" s="27" t="n"/>
      <c r="N5421" s="27" t="n"/>
      <c r="O5421" s="27" t="n"/>
      <c r="P5421" s="27" t="n"/>
      <c r="Q5421" s="27" t="n"/>
      <c r="R5421" s="27" t="n"/>
      <c r="S5421" s="27" t="n"/>
      <c r="T5421" s="27" t="n"/>
    </row>
    <row r="5422" ht="13.8" customFormat="1" customHeight="1" s="70">
      <c r="M5422" s="27" t="n"/>
      <c r="N5422" s="27" t="n"/>
      <c r="O5422" s="27" t="n"/>
      <c r="P5422" s="27" t="n"/>
      <c r="Q5422" s="27" t="n"/>
      <c r="R5422" s="27" t="n"/>
      <c r="S5422" s="27" t="n"/>
      <c r="T5422" s="27" t="n"/>
    </row>
    <row r="5423" ht="13.8" customFormat="1" customHeight="1" s="70">
      <c r="M5423" s="27" t="n"/>
      <c r="N5423" s="27" t="n"/>
      <c r="O5423" s="27" t="n"/>
      <c r="P5423" s="27" t="n"/>
      <c r="Q5423" s="27" t="n"/>
      <c r="R5423" s="27" t="n"/>
      <c r="S5423" s="27" t="n"/>
      <c r="T5423" s="27" t="n"/>
    </row>
    <row r="5424" ht="13.8" customFormat="1" customHeight="1" s="70">
      <c r="M5424" s="27" t="n"/>
      <c r="N5424" s="27" t="n"/>
      <c r="O5424" s="27" t="n"/>
      <c r="P5424" s="27" t="n"/>
      <c r="Q5424" s="27" t="n"/>
      <c r="R5424" s="27" t="n"/>
      <c r="S5424" s="27" t="n"/>
      <c r="T5424" s="27" t="n"/>
    </row>
    <row r="5425" ht="13.8" customFormat="1" customHeight="1" s="70">
      <c r="M5425" s="27" t="n"/>
      <c r="N5425" s="27" t="n"/>
      <c r="O5425" s="27" t="n"/>
      <c r="P5425" s="27" t="n"/>
      <c r="Q5425" s="27" t="n"/>
      <c r="R5425" s="27" t="n"/>
      <c r="S5425" s="27" t="n"/>
      <c r="T5425" s="27" t="n"/>
    </row>
    <row r="5426" ht="13.8" customFormat="1" customHeight="1" s="70">
      <c r="M5426" s="27" t="n"/>
      <c r="N5426" s="27" t="n"/>
      <c r="O5426" s="27" t="n"/>
      <c r="P5426" s="27" t="n"/>
      <c r="Q5426" s="27" t="n"/>
      <c r="R5426" s="27" t="n"/>
      <c r="S5426" s="27" t="n"/>
      <c r="T5426" s="27" t="n"/>
    </row>
    <row r="5427" ht="13.8" customFormat="1" customHeight="1" s="70">
      <c r="M5427" s="27" t="n"/>
      <c r="N5427" s="27" t="n"/>
      <c r="O5427" s="27" t="n"/>
      <c r="P5427" s="27" t="n"/>
      <c r="Q5427" s="27" t="n"/>
      <c r="R5427" s="27" t="n"/>
      <c r="S5427" s="27" t="n"/>
      <c r="T5427" s="27" t="n"/>
    </row>
    <row r="5428" ht="13.8" customFormat="1" customHeight="1" s="70">
      <c r="M5428" s="27" t="n"/>
      <c r="N5428" s="27" t="n"/>
      <c r="O5428" s="27" t="n"/>
      <c r="P5428" s="27" t="n"/>
      <c r="Q5428" s="27" t="n"/>
      <c r="R5428" s="27" t="n"/>
      <c r="S5428" s="27" t="n"/>
      <c r="T5428" s="27" t="n"/>
    </row>
    <row r="5429" ht="13.8" customFormat="1" customHeight="1" s="70">
      <c r="M5429" s="27" t="n"/>
      <c r="N5429" s="27" t="n"/>
      <c r="O5429" s="27" t="n"/>
      <c r="P5429" s="27" t="n"/>
      <c r="Q5429" s="27" t="n"/>
      <c r="R5429" s="27" t="n"/>
      <c r="S5429" s="27" t="n"/>
      <c r="T5429" s="27" t="n"/>
    </row>
    <row r="5430" ht="13.8" customFormat="1" customHeight="1" s="70">
      <c r="M5430" s="27" t="n"/>
      <c r="N5430" s="27" t="n"/>
      <c r="O5430" s="27" t="n"/>
      <c r="P5430" s="27" t="n"/>
      <c r="Q5430" s="27" t="n"/>
      <c r="R5430" s="27" t="n"/>
      <c r="S5430" s="27" t="n"/>
      <c r="T5430" s="27" t="n"/>
    </row>
    <row r="5431" ht="13.8" customFormat="1" customHeight="1" s="70">
      <c r="M5431" s="27" t="n"/>
      <c r="N5431" s="27" t="n"/>
      <c r="O5431" s="27" t="n"/>
      <c r="P5431" s="27" t="n"/>
      <c r="Q5431" s="27" t="n"/>
      <c r="R5431" s="27" t="n"/>
      <c r="S5431" s="27" t="n"/>
      <c r="T5431" s="27" t="n"/>
    </row>
    <row r="5432" ht="13.8" customFormat="1" customHeight="1" s="70">
      <c r="M5432" s="27" t="n"/>
      <c r="N5432" s="27" t="n"/>
      <c r="O5432" s="27" t="n"/>
      <c r="P5432" s="27" t="n"/>
      <c r="Q5432" s="27" t="n"/>
      <c r="R5432" s="27" t="n"/>
      <c r="S5432" s="27" t="n"/>
      <c r="T5432" s="27" t="n"/>
    </row>
    <row r="5433" ht="13.8" customFormat="1" customHeight="1" s="70">
      <c r="M5433" s="27" t="n"/>
      <c r="N5433" s="27" t="n"/>
      <c r="O5433" s="27" t="n"/>
      <c r="P5433" s="27" t="n"/>
      <c r="Q5433" s="27" t="n"/>
      <c r="R5433" s="27" t="n"/>
      <c r="S5433" s="27" t="n"/>
      <c r="T5433" s="27" t="n"/>
    </row>
    <row r="5434" ht="13.8" customFormat="1" customHeight="1" s="70">
      <c r="M5434" s="27" t="n"/>
      <c r="N5434" s="27" t="n"/>
      <c r="O5434" s="27" t="n"/>
      <c r="P5434" s="27" t="n"/>
      <c r="Q5434" s="27" t="n"/>
      <c r="R5434" s="27" t="n"/>
      <c r="S5434" s="27" t="n"/>
      <c r="T5434" s="27" t="n"/>
    </row>
    <row r="5435" ht="13.8" customFormat="1" customHeight="1" s="70">
      <c r="M5435" s="27" t="n"/>
      <c r="N5435" s="27" t="n"/>
      <c r="O5435" s="27" t="n"/>
      <c r="P5435" s="27" t="n"/>
      <c r="Q5435" s="27" t="n"/>
      <c r="R5435" s="27" t="n"/>
      <c r="S5435" s="27" t="n"/>
      <c r="T5435" s="27" t="n"/>
    </row>
    <row r="5436" ht="13.8" customFormat="1" customHeight="1" s="70">
      <c r="M5436" s="27" t="n"/>
      <c r="N5436" s="27" t="n"/>
      <c r="O5436" s="27" t="n"/>
      <c r="P5436" s="27" t="n"/>
      <c r="Q5436" s="27" t="n"/>
      <c r="R5436" s="27" t="n"/>
      <c r="S5436" s="27" t="n"/>
      <c r="T5436" s="27" t="n"/>
    </row>
    <row r="5437" ht="13.8" customFormat="1" customHeight="1" s="70">
      <c r="M5437" s="27" t="n"/>
      <c r="N5437" s="27" t="n"/>
      <c r="O5437" s="27" t="n"/>
      <c r="P5437" s="27" t="n"/>
      <c r="Q5437" s="27" t="n"/>
      <c r="R5437" s="27" t="n"/>
      <c r="S5437" s="27" t="n"/>
      <c r="T5437" s="27" t="n"/>
    </row>
    <row r="5438" ht="13.8" customFormat="1" customHeight="1" s="70">
      <c r="M5438" s="27" t="n"/>
      <c r="N5438" s="27" t="n"/>
      <c r="O5438" s="27" t="n"/>
      <c r="P5438" s="27" t="n"/>
      <c r="Q5438" s="27" t="n"/>
      <c r="R5438" s="27" t="n"/>
      <c r="S5438" s="27" t="n"/>
      <c r="T5438" s="27" t="n"/>
    </row>
    <row r="5439" ht="13.8" customFormat="1" customHeight="1" s="70">
      <c r="M5439" s="27" t="n"/>
      <c r="N5439" s="27" t="n"/>
      <c r="O5439" s="27" t="n"/>
      <c r="P5439" s="27" t="n"/>
      <c r="Q5439" s="27" t="n"/>
      <c r="R5439" s="27" t="n"/>
      <c r="S5439" s="27" t="n"/>
      <c r="T5439" s="27" t="n"/>
    </row>
    <row r="5440" ht="13.8" customFormat="1" customHeight="1" s="70">
      <c r="M5440" s="27" t="n"/>
      <c r="N5440" s="27" t="n"/>
      <c r="O5440" s="27" t="n"/>
      <c r="P5440" s="27" t="n"/>
      <c r="Q5440" s="27" t="n"/>
      <c r="R5440" s="27" t="n"/>
      <c r="S5440" s="27" t="n"/>
      <c r="T5440" s="27" t="n"/>
    </row>
    <row r="5441" ht="13.8" customFormat="1" customHeight="1" s="70">
      <c r="M5441" s="27" t="n"/>
      <c r="N5441" s="27" t="n"/>
      <c r="O5441" s="27" t="n"/>
      <c r="P5441" s="27" t="n"/>
      <c r="Q5441" s="27" t="n"/>
      <c r="R5441" s="27" t="n"/>
      <c r="S5441" s="27" t="n"/>
      <c r="T5441" s="27" t="n"/>
    </row>
    <row r="5442" ht="13.8" customFormat="1" customHeight="1" s="70">
      <c r="M5442" s="27" t="n"/>
      <c r="N5442" s="27" t="n"/>
      <c r="O5442" s="27" t="n"/>
      <c r="P5442" s="27" t="n"/>
      <c r="Q5442" s="27" t="n"/>
      <c r="R5442" s="27" t="n"/>
      <c r="S5442" s="27" t="n"/>
      <c r="T5442" s="27" t="n"/>
    </row>
    <row r="5443" ht="13.8" customFormat="1" customHeight="1" s="70">
      <c r="M5443" s="27" t="n"/>
      <c r="N5443" s="27" t="n"/>
      <c r="O5443" s="27" t="n"/>
      <c r="P5443" s="27" t="n"/>
      <c r="Q5443" s="27" t="n"/>
      <c r="R5443" s="27" t="n"/>
      <c r="S5443" s="27" t="n"/>
      <c r="T5443" s="27" t="n"/>
    </row>
    <row r="5444" ht="13.8" customFormat="1" customHeight="1" s="70">
      <c r="M5444" s="27" t="n"/>
      <c r="N5444" s="27" t="n"/>
      <c r="O5444" s="27" t="n"/>
      <c r="P5444" s="27" t="n"/>
      <c r="Q5444" s="27" t="n"/>
      <c r="R5444" s="27" t="n"/>
      <c r="S5444" s="27" t="n"/>
      <c r="T5444" s="27" t="n"/>
    </row>
    <row r="5445" ht="13.8" customFormat="1" customHeight="1" s="70">
      <c r="M5445" s="27" t="n"/>
      <c r="N5445" s="27" t="n"/>
      <c r="O5445" s="27" t="n"/>
      <c r="P5445" s="27" t="n"/>
      <c r="Q5445" s="27" t="n"/>
      <c r="R5445" s="27" t="n"/>
      <c r="S5445" s="27" t="n"/>
      <c r="T5445" s="27" t="n"/>
    </row>
    <row r="5446" ht="13.8" customFormat="1" customHeight="1" s="70">
      <c r="M5446" s="27" t="n"/>
      <c r="N5446" s="27" t="n"/>
      <c r="O5446" s="27" t="n"/>
      <c r="P5446" s="27" t="n"/>
      <c r="Q5446" s="27" t="n"/>
      <c r="R5446" s="27" t="n"/>
      <c r="S5446" s="27" t="n"/>
      <c r="T5446" s="27" t="n"/>
    </row>
    <row r="5447" ht="13.8" customFormat="1" customHeight="1" s="70">
      <c r="M5447" s="27" t="n"/>
      <c r="N5447" s="27" t="n"/>
      <c r="O5447" s="27" t="n"/>
      <c r="P5447" s="27" t="n"/>
      <c r="Q5447" s="27" t="n"/>
      <c r="R5447" s="27" t="n"/>
      <c r="S5447" s="27" t="n"/>
      <c r="T5447" s="27" t="n"/>
    </row>
    <row r="5448" ht="13.8" customFormat="1" customHeight="1" s="70">
      <c r="M5448" s="27" t="n"/>
      <c r="N5448" s="27" t="n"/>
      <c r="O5448" s="27" t="n"/>
      <c r="P5448" s="27" t="n"/>
      <c r="Q5448" s="27" t="n"/>
      <c r="R5448" s="27" t="n"/>
      <c r="S5448" s="27" t="n"/>
      <c r="T5448" s="27" t="n"/>
    </row>
    <row r="5449" ht="13.8" customFormat="1" customHeight="1" s="70">
      <c r="M5449" s="27" t="n"/>
      <c r="N5449" s="27" t="n"/>
      <c r="O5449" s="27" t="n"/>
      <c r="P5449" s="27" t="n"/>
      <c r="Q5449" s="27" t="n"/>
      <c r="R5449" s="27" t="n"/>
      <c r="S5449" s="27" t="n"/>
      <c r="T5449" s="27" t="n"/>
    </row>
    <row r="5450" ht="13.8" customFormat="1" customHeight="1" s="70">
      <c r="M5450" s="27" t="n"/>
      <c r="N5450" s="27" t="n"/>
      <c r="O5450" s="27" t="n"/>
      <c r="P5450" s="27" t="n"/>
      <c r="Q5450" s="27" t="n"/>
      <c r="R5450" s="27" t="n"/>
      <c r="S5450" s="27" t="n"/>
      <c r="T5450" s="27" t="n"/>
    </row>
    <row r="5451" ht="13.8" customFormat="1" customHeight="1" s="70">
      <c r="M5451" s="27" t="n"/>
      <c r="N5451" s="27" t="n"/>
      <c r="O5451" s="27" t="n"/>
      <c r="P5451" s="27" t="n"/>
      <c r="Q5451" s="27" t="n"/>
      <c r="R5451" s="27" t="n"/>
      <c r="S5451" s="27" t="n"/>
      <c r="T5451" s="27" t="n"/>
    </row>
    <row r="5452" ht="13.8" customFormat="1" customHeight="1" s="70">
      <c r="M5452" s="27" t="n"/>
      <c r="N5452" s="27" t="n"/>
      <c r="O5452" s="27" t="n"/>
      <c r="P5452" s="27" t="n"/>
      <c r="Q5452" s="27" t="n"/>
      <c r="R5452" s="27" t="n"/>
      <c r="S5452" s="27" t="n"/>
      <c r="T5452" s="27" t="n"/>
    </row>
    <row r="5453" ht="13.8" customFormat="1" customHeight="1" s="70">
      <c r="M5453" s="27" t="n"/>
      <c r="N5453" s="27" t="n"/>
      <c r="O5453" s="27" t="n"/>
      <c r="P5453" s="27" t="n"/>
      <c r="Q5453" s="27" t="n"/>
      <c r="R5453" s="27" t="n"/>
      <c r="S5453" s="27" t="n"/>
      <c r="T5453" s="27" t="n"/>
    </row>
    <row r="5454" ht="13.8" customFormat="1" customHeight="1" s="70">
      <c r="M5454" s="27" t="n"/>
      <c r="N5454" s="27" t="n"/>
      <c r="O5454" s="27" t="n"/>
      <c r="P5454" s="27" t="n"/>
      <c r="Q5454" s="27" t="n"/>
      <c r="R5454" s="27" t="n"/>
      <c r="S5454" s="27" t="n"/>
      <c r="T5454" s="27" t="n"/>
    </row>
    <row r="5455" ht="13.8" customFormat="1" customHeight="1" s="70">
      <c r="M5455" s="27" t="n"/>
      <c r="N5455" s="27" t="n"/>
      <c r="O5455" s="27" t="n"/>
      <c r="P5455" s="27" t="n"/>
      <c r="Q5455" s="27" t="n"/>
      <c r="R5455" s="27" t="n"/>
      <c r="S5455" s="27" t="n"/>
      <c r="T5455" s="27" t="n"/>
    </row>
    <row r="5456" ht="13.8" customFormat="1" customHeight="1" s="70">
      <c r="M5456" s="27" t="n"/>
      <c r="N5456" s="27" t="n"/>
      <c r="O5456" s="27" t="n"/>
      <c r="P5456" s="27" t="n"/>
      <c r="Q5456" s="27" t="n"/>
      <c r="R5456" s="27" t="n"/>
      <c r="S5456" s="27" t="n"/>
      <c r="T5456" s="27" t="n"/>
    </row>
    <row r="5457" ht="13.8" customFormat="1" customHeight="1" s="70">
      <c r="M5457" s="27" t="n"/>
      <c r="N5457" s="27" t="n"/>
      <c r="O5457" s="27" t="n"/>
      <c r="P5457" s="27" t="n"/>
      <c r="Q5457" s="27" t="n"/>
      <c r="R5457" s="27" t="n"/>
      <c r="S5457" s="27" t="n"/>
      <c r="T5457" s="27" t="n"/>
    </row>
    <row r="5458" ht="13.8" customFormat="1" customHeight="1" s="70">
      <c r="M5458" s="27" t="n"/>
      <c r="N5458" s="27" t="n"/>
      <c r="O5458" s="27" t="n"/>
      <c r="P5458" s="27" t="n"/>
      <c r="Q5458" s="27" t="n"/>
      <c r="R5458" s="27" t="n"/>
      <c r="S5458" s="27" t="n"/>
      <c r="T5458" s="27" t="n"/>
    </row>
    <row r="5459" ht="13.8" customFormat="1" customHeight="1" s="70">
      <c r="M5459" s="27" t="n"/>
      <c r="N5459" s="27" t="n"/>
      <c r="O5459" s="27" t="n"/>
      <c r="P5459" s="27" t="n"/>
      <c r="Q5459" s="27" t="n"/>
      <c r="R5459" s="27" t="n"/>
      <c r="S5459" s="27" t="n"/>
      <c r="T5459" s="27" t="n"/>
    </row>
    <row r="5460" ht="13.8" customFormat="1" customHeight="1" s="70">
      <c r="M5460" s="27" t="n"/>
      <c r="N5460" s="27" t="n"/>
      <c r="O5460" s="27" t="n"/>
      <c r="P5460" s="27" t="n"/>
      <c r="Q5460" s="27" t="n"/>
      <c r="R5460" s="27" t="n"/>
      <c r="S5460" s="27" t="n"/>
      <c r="T5460" s="27" t="n"/>
    </row>
    <row r="5461" ht="13.8" customFormat="1" customHeight="1" s="70">
      <c r="M5461" s="27" t="n"/>
      <c r="N5461" s="27" t="n"/>
      <c r="O5461" s="27" t="n"/>
      <c r="P5461" s="27" t="n"/>
      <c r="Q5461" s="27" t="n"/>
      <c r="R5461" s="27" t="n"/>
      <c r="S5461" s="27" t="n"/>
      <c r="T5461" s="27" t="n"/>
    </row>
    <row r="5462" ht="13.8" customFormat="1" customHeight="1" s="70">
      <c r="M5462" s="27" t="n"/>
      <c r="N5462" s="27" t="n"/>
      <c r="O5462" s="27" t="n"/>
      <c r="P5462" s="27" t="n"/>
      <c r="Q5462" s="27" t="n"/>
      <c r="R5462" s="27" t="n"/>
      <c r="S5462" s="27" t="n"/>
      <c r="T5462" s="27" t="n"/>
    </row>
    <row r="5463" ht="13.8" customFormat="1" customHeight="1" s="70">
      <c r="M5463" s="27" t="n"/>
      <c r="N5463" s="27" t="n"/>
      <c r="O5463" s="27" t="n"/>
      <c r="P5463" s="27" t="n"/>
      <c r="Q5463" s="27" t="n"/>
      <c r="R5463" s="27" t="n"/>
      <c r="S5463" s="27" t="n"/>
      <c r="T5463" s="27" t="n"/>
    </row>
    <row r="5464" ht="13.8" customFormat="1" customHeight="1" s="70">
      <c r="M5464" s="27" t="n"/>
      <c r="N5464" s="27" t="n"/>
      <c r="O5464" s="27" t="n"/>
      <c r="P5464" s="27" t="n"/>
      <c r="Q5464" s="27" t="n"/>
      <c r="R5464" s="27" t="n"/>
      <c r="S5464" s="27" t="n"/>
      <c r="T5464" s="27" t="n"/>
    </row>
    <row r="5465" ht="13.8" customFormat="1" customHeight="1" s="70">
      <c r="M5465" s="27" t="n"/>
      <c r="N5465" s="27" t="n"/>
      <c r="O5465" s="27" t="n"/>
      <c r="P5465" s="27" t="n"/>
      <c r="Q5465" s="27" t="n"/>
      <c r="R5465" s="27" t="n"/>
      <c r="S5465" s="27" t="n"/>
      <c r="T5465" s="27" t="n"/>
    </row>
    <row r="5466" ht="13.8" customFormat="1" customHeight="1" s="70">
      <c r="M5466" s="27" t="n"/>
      <c r="N5466" s="27" t="n"/>
      <c r="O5466" s="27" t="n"/>
      <c r="P5466" s="27" t="n"/>
      <c r="Q5466" s="27" t="n"/>
      <c r="R5466" s="27" t="n"/>
      <c r="S5466" s="27" t="n"/>
      <c r="T5466" s="27" t="n"/>
    </row>
    <row r="5467" ht="13.8" customFormat="1" customHeight="1" s="70">
      <c r="M5467" s="27" t="n"/>
      <c r="N5467" s="27" t="n"/>
      <c r="O5467" s="27" t="n"/>
      <c r="P5467" s="27" t="n"/>
      <c r="Q5467" s="27" t="n"/>
      <c r="R5467" s="27" t="n"/>
      <c r="S5467" s="27" t="n"/>
      <c r="T5467" s="27" t="n"/>
    </row>
    <row r="5468" ht="13.8" customFormat="1" customHeight="1" s="70">
      <c r="M5468" s="27" t="n"/>
      <c r="N5468" s="27" t="n"/>
      <c r="O5468" s="27" t="n"/>
      <c r="P5468" s="27" t="n"/>
      <c r="Q5468" s="27" t="n"/>
      <c r="R5468" s="27" t="n"/>
      <c r="S5468" s="27" t="n"/>
      <c r="T5468" s="27" t="n"/>
    </row>
    <row r="5469" ht="13.8" customFormat="1" customHeight="1" s="70">
      <c r="M5469" s="27" t="n"/>
      <c r="N5469" s="27" t="n"/>
      <c r="O5469" s="27" t="n"/>
      <c r="P5469" s="27" t="n"/>
      <c r="Q5469" s="27" t="n"/>
      <c r="R5469" s="27" t="n"/>
      <c r="S5469" s="27" t="n"/>
      <c r="T5469" s="27" t="n"/>
    </row>
    <row r="5470" ht="13.8" customFormat="1" customHeight="1" s="70">
      <c r="M5470" s="27" t="n"/>
      <c r="N5470" s="27" t="n"/>
      <c r="O5470" s="27" t="n"/>
      <c r="P5470" s="27" t="n"/>
      <c r="Q5470" s="27" t="n"/>
      <c r="R5470" s="27" t="n"/>
      <c r="S5470" s="27" t="n"/>
      <c r="T5470" s="27" t="n"/>
    </row>
    <row r="5471" ht="13.8" customFormat="1" customHeight="1" s="70">
      <c r="M5471" s="27" t="n"/>
      <c r="N5471" s="27" t="n"/>
      <c r="O5471" s="27" t="n"/>
      <c r="P5471" s="27" t="n"/>
      <c r="Q5471" s="27" t="n"/>
      <c r="R5471" s="27" t="n"/>
      <c r="S5471" s="27" t="n"/>
      <c r="T5471" s="27" t="n"/>
    </row>
    <row r="5472" ht="13.8" customFormat="1" customHeight="1" s="70">
      <c r="M5472" s="27" t="n"/>
      <c r="N5472" s="27" t="n"/>
      <c r="O5472" s="27" t="n"/>
      <c r="P5472" s="27" t="n"/>
      <c r="Q5472" s="27" t="n"/>
      <c r="R5472" s="27" t="n"/>
      <c r="S5472" s="27" t="n"/>
      <c r="T5472" s="27" t="n"/>
    </row>
    <row r="5473" ht="13.8" customFormat="1" customHeight="1" s="70">
      <c r="M5473" s="27" t="n"/>
      <c r="N5473" s="27" t="n"/>
      <c r="O5473" s="27" t="n"/>
      <c r="P5473" s="27" t="n"/>
      <c r="Q5473" s="27" t="n"/>
      <c r="R5473" s="27" t="n"/>
      <c r="S5473" s="27" t="n"/>
      <c r="T5473" s="27" t="n"/>
    </row>
    <row r="5474" ht="13.8" customFormat="1" customHeight="1" s="70">
      <c r="M5474" s="27" t="n"/>
      <c r="N5474" s="27" t="n"/>
      <c r="O5474" s="27" t="n"/>
      <c r="P5474" s="27" t="n"/>
      <c r="Q5474" s="27" t="n"/>
      <c r="R5474" s="27" t="n"/>
      <c r="S5474" s="27" t="n"/>
      <c r="T5474" s="27" t="n"/>
    </row>
    <row r="5475" ht="13.8" customFormat="1" customHeight="1" s="70">
      <c r="M5475" s="27" t="n"/>
      <c r="N5475" s="27" t="n"/>
      <c r="O5475" s="27" t="n"/>
      <c r="P5475" s="27" t="n"/>
      <c r="Q5475" s="27" t="n"/>
      <c r="R5475" s="27" t="n"/>
      <c r="S5475" s="27" t="n"/>
      <c r="T5475" s="27" t="n"/>
    </row>
    <row r="5476" ht="13.8" customFormat="1" customHeight="1" s="70">
      <c r="M5476" s="27" t="n"/>
      <c r="N5476" s="27" t="n"/>
      <c r="O5476" s="27" t="n"/>
      <c r="P5476" s="27" t="n"/>
      <c r="Q5476" s="27" t="n"/>
      <c r="R5476" s="27" t="n"/>
      <c r="S5476" s="27" t="n"/>
      <c r="T5476" s="27" t="n"/>
    </row>
    <row r="5477" ht="13.8" customFormat="1" customHeight="1" s="70">
      <c r="M5477" s="27" t="n"/>
      <c r="N5477" s="27" t="n"/>
      <c r="O5477" s="27" t="n"/>
      <c r="P5477" s="27" t="n"/>
      <c r="Q5477" s="27" t="n"/>
      <c r="R5477" s="27" t="n"/>
      <c r="S5477" s="27" t="n"/>
      <c r="T5477" s="27" t="n"/>
    </row>
    <row r="5478" ht="13.8" customFormat="1" customHeight="1" s="70">
      <c r="M5478" s="27" t="n"/>
      <c r="N5478" s="27" t="n"/>
      <c r="O5478" s="27" t="n"/>
      <c r="P5478" s="27" t="n"/>
      <c r="Q5478" s="27" t="n"/>
      <c r="R5478" s="27" t="n"/>
      <c r="S5478" s="27" t="n"/>
      <c r="T5478" s="27" t="n"/>
    </row>
    <row r="5479" ht="13.8" customFormat="1" customHeight="1" s="70">
      <c r="M5479" s="27" t="n"/>
      <c r="N5479" s="27" t="n"/>
      <c r="O5479" s="27" t="n"/>
      <c r="P5479" s="27" t="n"/>
      <c r="Q5479" s="27" t="n"/>
      <c r="R5479" s="27" t="n"/>
      <c r="S5479" s="27" t="n"/>
      <c r="T5479" s="27" t="n"/>
    </row>
    <row r="5480" ht="13.8" customFormat="1" customHeight="1" s="70">
      <c r="M5480" s="27" t="n"/>
      <c r="N5480" s="27" t="n"/>
      <c r="O5480" s="27" t="n"/>
      <c r="P5480" s="27" t="n"/>
      <c r="Q5480" s="27" t="n"/>
      <c r="R5480" s="27" t="n"/>
      <c r="S5480" s="27" t="n"/>
      <c r="T5480" s="27" t="n"/>
    </row>
    <row r="5481" ht="13.8" customFormat="1" customHeight="1" s="70">
      <c r="M5481" s="27" t="n"/>
      <c r="N5481" s="27" t="n"/>
      <c r="O5481" s="27" t="n"/>
      <c r="P5481" s="27" t="n"/>
      <c r="Q5481" s="27" t="n"/>
      <c r="R5481" s="27" t="n"/>
      <c r="S5481" s="27" t="n"/>
      <c r="T5481" s="27" t="n"/>
    </row>
    <row r="5482" ht="13.8" customFormat="1" customHeight="1" s="70">
      <c r="M5482" s="27" t="n"/>
      <c r="N5482" s="27" t="n"/>
      <c r="O5482" s="27" t="n"/>
      <c r="P5482" s="27" t="n"/>
      <c r="Q5482" s="27" t="n"/>
      <c r="R5482" s="27" t="n"/>
      <c r="S5482" s="27" t="n"/>
      <c r="T5482" s="27" t="n"/>
    </row>
    <row r="5483" ht="13.8" customFormat="1" customHeight="1" s="70">
      <c r="M5483" s="27" t="n"/>
      <c r="N5483" s="27" t="n"/>
      <c r="O5483" s="27" t="n"/>
      <c r="P5483" s="27" t="n"/>
      <c r="Q5483" s="27" t="n"/>
      <c r="R5483" s="27" t="n"/>
      <c r="S5483" s="27" t="n"/>
      <c r="T5483" s="27" t="n"/>
    </row>
    <row r="5484" ht="13.8" customFormat="1" customHeight="1" s="70">
      <c r="M5484" s="27" t="n"/>
      <c r="N5484" s="27" t="n"/>
      <c r="O5484" s="27" t="n"/>
      <c r="P5484" s="27" t="n"/>
      <c r="Q5484" s="27" t="n"/>
      <c r="R5484" s="27" t="n"/>
      <c r="S5484" s="27" t="n"/>
      <c r="T5484" s="27" t="n"/>
    </row>
    <row r="5485" ht="13.8" customFormat="1" customHeight="1" s="70">
      <c r="M5485" s="27" t="n"/>
      <c r="N5485" s="27" t="n"/>
      <c r="O5485" s="27" t="n"/>
      <c r="P5485" s="27" t="n"/>
      <c r="Q5485" s="27" t="n"/>
      <c r="R5485" s="27" t="n"/>
      <c r="S5485" s="27" t="n"/>
      <c r="T5485" s="27" t="n"/>
    </row>
    <row r="5486" ht="13.8" customFormat="1" customHeight="1" s="70">
      <c r="M5486" s="27" t="n"/>
      <c r="N5486" s="27" t="n"/>
      <c r="O5486" s="27" t="n"/>
      <c r="P5486" s="27" t="n"/>
      <c r="Q5486" s="27" t="n"/>
      <c r="R5486" s="27" t="n"/>
      <c r="S5486" s="27" t="n"/>
      <c r="T5486" s="27" t="n"/>
    </row>
    <row r="5487" ht="13.8" customFormat="1" customHeight="1" s="70">
      <c r="M5487" s="27" t="n"/>
      <c r="N5487" s="27" t="n"/>
      <c r="O5487" s="27" t="n"/>
      <c r="P5487" s="27" t="n"/>
      <c r="Q5487" s="27" t="n"/>
      <c r="R5487" s="27" t="n"/>
      <c r="S5487" s="27" t="n"/>
      <c r="T5487" s="27" t="n"/>
    </row>
    <row r="5488" ht="13.8" customFormat="1" customHeight="1" s="70">
      <c r="M5488" s="27" t="n"/>
      <c r="N5488" s="27" t="n"/>
      <c r="O5488" s="27" t="n"/>
      <c r="P5488" s="27" t="n"/>
      <c r="Q5488" s="27" t="n"/>
      <c r="R5488" s="27" t="n"/>
      <c r="S5488" s="27" t="n"/>
      <c r="T5488" s="27" t="n"/>
    </row>
    <row r="5489" ht="13.8" customFormat="1" customHeight="1" s="70">
      <c r="M5489" s="27" t="n"/>
      <c r="N5489" s="27" t="n"/>
      <c r="O5489" s="27" t="n"/>
      <c r="P5489" s="27" t="n"/>
      <c r="Q5489" s="27" t="n"/>
      <c r="R5489" s="27" t="n"/>
      <c r="S5489" s="27" t="n"/>
      <c r="T5489" s="27" t="n"/>
    </row>
    <row r="5490" ht="13.8" customFormat="1" customHeight="1" s="70">
      <c r="M5490" s="27" t="n"/>
      <c r="N5490" s="27" t="n"/>
      <c r="O5490" s="27" t="n"/>
      <c r="P5490" s="27" t="n"/>
      <c r="Q5490" s="27" t="n"/>
      <c r="R5490" s="27" t="n"/>
      <c r="S5490" s="27" t="n"/>
      <c r="T5490" s="27" t="n"/>
    </row>
    <row r="5491" ht="13.8" customFormat="1" customHeight="1" s="70">
      <c r="M5491" s="27" t="n"/>
      <c r="N5491" s="27" t="n"/>
      <c r="O5491" s="27" t="n"/>
      <c r="P5491" s="27" t="n"/>
      <c r="Q5491" s="27" t="n"/>
      <c r="R5491" s="27" t="n"/>
      <c r="S5491" s="27" t="n"/>
      <c r="T5491" s="27" t="n"/>
    </row>
    <row r="5492" ht="13.8" customFormat="1" customHeight="1" s="70">
      <c r="M5492" s="27" t="n"/>
      <c r="N5492" s="27" t="n"/>
      <c r="O5492" s="27" t="n"/>
      <c r="P5492" s="27" t="n"/>
      <c r="Q5492" s="27" t="n"/>
      <c r="R5492" s="27" t="n"/>
      <c r="S5492" s="27" t="n"/>
      <c r="T5492" s="27" t="n"/>
    </row>
    <row r="5493" ht="13.8" customFormat="1" customHeight="1" s="70">
      <c r="M5493" s="27" t="n"/>
      <c r="N5493" s="27" t="n"/>
      <c r="O5493" s="27" t="n"/>
      <c r="P5493" s="27" t="n"/>
      <c r="Q5493" s="27" t="n"/>
      <c r="R5493" s="27" t="n"/>
      <c r="S5493" s="27" t="n"/>
      <c r="T5493" s="27" t="n"/>
    </row>
    <row r="5494" ht="13.8" customFormat="1" customHeight="1" s="70">
      <c r="M5494" s="27" t="n"/>
      <c r="N5494" s="27" t="n"/>
      <c r="O5494" s="27" t="n"/>
      <c r="P5494" s="27" t="n"/>
      <c r="Q5494" s="27" t="n"/>
      <c r="R5494" s="27" t="n"/>
      <c r="S5494" s="27" t="n"/>
      <c r="T5494" s="27" t="n"/>
    </row>
    <row r="5495" ht="13.8" customFormat="1" customHeight="1" s="70">
      <c r="M5495" s="27" t="n"/>
      <c r="N5495" s="27" t="n"/>
      <c r="O5495" s="27" t="n"/>
      <c r="P5495" s="27" t="n"/>
      <c r="Q5495" s="27" t="n"/>
      <c r="R5495" s="27" t="n"/>
      <c r="S5495" s="27" t="n"/>
      <c r="T5495" s="27" t="n"/>
    </row>
    <row r="5496" ht="13.8" customFormat="1" customHeight="1" s="70">
      <c r="M5496" s="27" t="n"/>
      <c r="N5496" s="27" t="n"/>
      <c r="O5496" s="27" t="n"/>
      <c r="P5496" s="27" t="n"/>
      <c r="Q5496" s="27" t="n"/>
      <c r="R5496" s="27" t="n"/>
      <c r="S5496" s="27" t="n"/>
      <c r="T5496" s="27" t="n"/>
    </row>
    <row r="5497" ht="13.8" customFormat="1" customHeight="1" s="70">
      <c r="M5497" s="27" t="n"/>
      <c r="N5497" s="27" t="n"/>
      <c r="O5497" s="27" t="n"/>
      <c r="P5497" s="27" t="n"/>
      <c r="Q5497" s="27" t="n"/>
      <c r="R5497" s="27" t="n"/>
      <c r="S5497" s="27" t="n"/>
      <c r="T5497" s="27" t="n"/>
    </row>
    <row r="5498" ht="13.8" customFormat="1" customHeight="1" s="70">
      <c r="M5498" s="27" t="n"/>
      <c r="N5498" s="27" t="n"/>
      <c r="O5498" s="27" t="n"/>
      <c r="P5498" s="27" t="n"/>
      <c r="Q5498" s="27" t="n"/>
      <c r="R5498" s="27" t="n"/>
      <c r="S5498" s="27" t="n"/>
      <c r="T5498" s="27" t="n"/>
    </row>
    <row r="5499" ht="13.8" customFormat="1" customHeight="1" s="70">
      <c r="M5499" s="27" t="n"/>
      <c r="N5499" s="27" t="n"/>
      <c r="O5499" s="27" t="n"/>
      <c r="P5499" s="27" t="n"/>
      <c r="Q5499" s="27" t="n"/>
      <c r="R5499" s="27" t="n"/>
      <c r="S5499" s="27" t="n"/>
      <c r="T5499" s="27" t="n"/>
    </row>
    <row r="5500" ht="13.8" customFormat="1" customHeight="1" s="70">
      <c r="M5500" s="27" t="n"/>
      <c r="N5500" s="27" t="n"/>
      <c r="O5500" s="27" t="n"/>
      <c r="P5500" s="27" t="n"/>
      <c r="Q5500" s="27" t="n"/>
      <c r="R5500" s="27" t="n"/>
      <c r="S5500" s="27" t="n"/>
      <c r="T5500" s="27" t="n"/>
    </row>
    <row r="5501" ht="13.8" customFormat="1" customHeight="1" s="70">
      <c r="M5501" s="27" t="n"/>
      <c r="N5501" s="27" t="n"/>
      <c r="O5501" s="27" t="n"/>
      <c r="P5501" s="27" t="n"/>
      <c r="Q5501" s="27" t="n"/>
      <c r="R5501" s="27" t="n"/>
      <c r="S5501" s="27" t="n"/>
      <c r="T5501" s="27" t="n"/>
    </row>
    <row r="5502" ht="13.8" customFormat="1" customHeight="1" s="70">
      <c r="M5502" s="27" t="n"/>
      <c r="N5502" s="27" t="n"/>
      <c r="O5502" s="27" t="n"/>
      <c r="P5502" s="27" t="n"/>
      <c r="Q5502" s="27" t="n"/>
      <c r="R5502" s="27" t="n"/>
      <c r="S5502" s="27" t="n"/>
      <c r="T5502" s="27" t="n"/>
    </row>
    <row r="5503" ht="13.8" customFormat="1" customHeight="1" s="70">
      <c r="M5503" s="27" t="n"/>
      <c r="N5503" s="27" t="n"/>
      <c r="O5503" s="27" t="n"/>
      <c r="P5503" s="27" t="n"/>
      <c r="Q5503" s="27" t="n"/>
      <c r="R5503" s="27" t="n"/>
      <c r="S5503" s="27" t="n"/>
      <c r="T5503" s="27" t="n"/>
    </row>
    <row r="5504" ht="13.8" customFormat="1" customHeight="1" s="70">
      <c r="M5504" s="27" t="n"/>
      <c r="N5504" s="27" t="n"/>
      <c r="O5504" s="27" t="n"/>
      <c r="P5504" s="27" t="n"/>
      <c r="Q5504" s="27" t="n"/>
      <c r="R5504" s="27" t="n"/>
      <c r="S5504" s="27" t="n"/>
      <c r="T5504" s="27" t="n"/>
    </row>
    <row r="5505" ht="13.8" customFormat="1" customHeight="1" s="70">
      <c r="M5505" s="27" t="n"/>
      <c r="N5505" s="27" t="n"/>
      <c r="O5505" s="27" t="n"/>
      <c r="P5505" s="27" t="n"/>
      <c r="Q5505" s="27" t="n"/>
      <c r="R5505" s="27" t="n"/>
      <c r="S5505" s="27" t="n"/>
      <c r="T5505" s="27" t="n"/>
    </row>
    <row r="5506" ht="13.8" customFormat="1" customHeight="1" s="70">
      <c r="M5506" s="27" t="n"/>
      <c r="N5506" s="27" t="n"/>
      <c r="O5506" s="27" t="n"/>
      <c r="P5506" s="27" t="n"/>
      <c r="Q5506" s="27" t="n"/>
      <c r="R5506" s="27" t="n"/>
      <c r="S5506" s="27" t="n"/>
      <c r="T5506" s="27" t="n"/>
    </row>
    <row r="5507" ht="13.8" customFormat="1" customHeight="1" s="70">
      <c r="M5507" s="27" t="n"/>
      <c r="N5507" s="27" t="n"/>
      <c r="O5507" s="27" t="n"/>
      <c r="P5507" s="27" t="n"/>
      <c r="Q5507" s="27" t="n"/>
      <c r="R5507" s="27" t="n"/>
      <c r="S5507" s="27" t="n"/>
      <c r="T5507" s="27" t="n"/>
    </row>
    <row r="5508" ht="13.8" customFormat="1" customHeight="1" s="70">
      <c r="M5508" s="27" t="n"/>
      <c r="N5508" s="27" t="n"/>
      <c r="O5508" s="27" t="n"/>
      <c r="P5508" s="27" t="n"/>
      <c r="Q5508" s="27" t="n"/>
      <c r="R5508" s="27" t="n"/>
      <c r="S5508" s="27" t="n"/>
      <c r="T5508" s="27" t="n"/>
    </row>
    <row r="5509" ht="13.8" customFormat="1" customHeight="1" s="70">
      <c r="M5509" s="27" t="n"/>
      <c r="N5509" s="27" t="n"/>
      <c r="O5509" s="27" t="n"/>
      <c r="P5509" s="27" t="n"/>
      <c r="Q5509" s="27" t="n"/>
      <c r="R5509" s="27" t="n"/>
      <c r="S5509" s="27" t="n"/>
      <c r="T5509" s="27" t="n"/>
    </row>
    <row r="5510" ht="13.8" customFormat="1" customHeight="1" s="70">
      <c r="M5510" s="27" t="n"/>
      <c r="N5510" s="27" t="n"/>
      <c r="O5510" s="27" t="n"/>
      <c r="P5510" s="27" t="n"/>
      <c r="Q5510" s="27" t="n"/>
      <c r="R5510" s="27" t="n"/>
      <c r="S5510" s="27" t="n"/>
      <c r="T5510" s="27" t="n"/>
    </row>
    <row r="5511" ht="13.8" customFormat="1" customHeight="1" s="70">
      <c r="M5511" s="27" t="n"/>
      <c r="N5511" s="27" t="n"/>
      <c r="O5511" s="27" t="n"/>
      <c r="P5511" s="27" t="n"/>
      <c r="Q5511" s="27" t="n"/>
      <c r="R5511" s="27" t="n"/>
      <c r="S5511" s="27" t="n"/>
      <c r="T5511" s="27" t="n"/>
    </row>
    <row r="5512" ht="13.8" customFormat="1" customHeight="1" s="70">
      <c r="M5512" s="27" t="n"/>
      <c r="N5512" s="27" t="n"/>
      <c r="O5512" s="27" t="n"/>
      <c r="P5512" s="27" t="n"/>
      <c r="Q5512" s="27" t="n"/>
      <c r="R5512" s="27" t="n"/>
      <c r="S5512" s="27" t="n"/>
      <c r="T5512" s="27" t="n"/>
    </row>
    <row r="5513" ht="13.8" customFormat="1" customHeight="1" s="70">
      <c r="M5513" s="27" t="n"/>
      <c r="N5513" s="27" t="n"/>
      <c r="O5513" s="27" t="n"/>
      <c r="P5513" s="27" t="n"/>
      <c r="Q5513" s="27" t="n"/>
      <c r="R5513" s="27" t="n"/>
      <c r="S5513" s="27" t="n"/>
      <c r="T5513" s="27" t="n"/>
    </row>
    <row r="5514" ht="13.8" customFormat="1" customHeight="1" s="70">
      <c r="M5514" s="27" t="n"/>
      <c r="N5514" s="27" t="n"/>
      <c r="O5514" s="27" t="n"/>
      <c r="P5514" s="27" t="n"/>
      <c r="Q5514" s="27" t="n"/>
      <c r="R5514" s="27" t="n"/>
      <c r="S5514" s="27" t="n"/>
      <c r="T5514" s="27" t="n"/>
    </row>
    <row r="5515" ht="13.8" customFormat="1" customHeight="1" s="70">
      <c r="M5515" s="27" t="n"/>
      <c r="N5515" s="27" t="n"/>
      <c r="O5515" s="27" t="n"/>
      <c r="P5515" s="27" t="n"/>
      <c r="Q5515" s="27" t="n"/>
      <c r="R5515" s="27" t="n"/>
      <c r="S5515" s="27" t="n"/>
      <c r="T5515" s="27" t="n"/>
    </row>
    <row r="5516" ht="13.8" customFormat="1" customHeight="1" s="70">
      <c r="M5516" s="27" t="n"/>
      <c r="N5516" s="27" t="n"/>
      <c r="O5516" s="27" t="n"/>
      <c r="P5516" s="27" t="n"/>
      <c r="Q5516" s="27" t="n"/>
      <c r="R5516" s="27" t="n"/>
      <c r="S5516" s="27" t="n"/>
      <c r="T5516" s="27" t="n"/>
    </row>
    <row r="5517" ht="13.8" customFormat="1" customHeight="1" s="70">
      <c r="M5517" s="27" t="n"/>
      <c r="N5517" s="27" t="n"/>
      <c r="O5517" s="27" t="n"/>
      <c r="P5517" s="27" t="n"/>
      <c r="Q5517" s="27" t="n"/>
      <c r="R5517" s="27" t="n"/>
      <c r="S5517" s="27" t="n"/>
      <c r="T5517" s="27" t="n"/>
    </row>
    <row r="5518" ht="13.8" customFormat="1" customHeight="1" s="70">
      <c r="M5518" s="27" t="n"/>
      <c r="N5518" s="27" t="n"/>
      <c r="O5518" s="27" t="n"/>
      <c r="P5518" s="27" t="n"/>
      <c r="Q5518" s="27" t="n"/>
      <c r="R5518" s="27" t="n"/>
      <c r="S5518" s="27" t="n"/>
      <c r="T5518" s="27" t="n"/>
    </row>
    <row r="5519" ht="13.8" customFormat="1" customHeight="1" s="70">
      <c r="M5519" s="27" t="n"/>
      <c r="N5519" s="27" t="n"/>
      <c r="O5519" s="27" t="n"/>
      <c r="P5519" s="27" t="n"/>
      <c r="Q5519" s="27" t="n"/>
      <c r="R5519" s="27" t="n"/>
      <c r="S5519" s="27" t="n"/>
      <c r="T5519" s="27" t="n"/>
    </row>
    <row r="5520" ht="13.8" customFormat="1" customHeight="1" s="70">
      <c r="M5520" s="27" t="n"/>
      <c r="N5520" s="27" t="n"/>
      <c r="O5520" s="27" t="n"/>
      <c r="P5520" s="27" t="n"/>
      <c r="Q5520" s="27" t="n"/>
      <c r="R5520" s="27" t="n"/>
      <c r="S5520" s="27" t="n"/>
      <c r="T5520" s="27" t="n"/>
    </row>
    <row r="5521" ht="13.8" customFormat="1" customHeight="1" s="70">
      <c r="M5521" s="27" t="n"/>
      <c r="N5521" s="27" t="n"/>
      <c r="O5521" s="27" t="n"/>
      <c r="P5521" s="27" t="n"/>
      <c r="Q5521" s="27" t="n"/>
      <c r="R5521" s="27" t="n"/>
      <c r="S5521" s="27" t="n"/>
      <c r="T5521" s="27" t="n"/>
    </row>
    <row r="5522" ht="13.8" customFormat="1" customHeight="1" s="70">
      <c r="M5522" s="27" t="n"/>
      <c r="N5522" s="27" t="n"/>
      <c r="O5522" s="27" t="n"/>
      <c r="P5522" s="27" t="n"/>
      <c r="Q5522" s="27" t="n"/>
      <c r="R5522" s="27" t="n"/>
      <c r="S5522" s="27" t="n"/>
      <c r="T5522" s="27" t="n"/>
    </row>
    <row r="5523" ht="13.8" customFormat="1" customHeight="1" s="70">
      <c r="M5523" s="27" t="n"/>
      <c r="N5523" s="27" t="n"/>
      <c r="O5523" s="27" t="n"/>
      <c r="P5523" s="27" t="n"/>
      <c r="Q5523" s="27" t="n"/>
      <c r="R5523" s="27" t="n"/>
      <c r="S5523" s="27" t="n"/>
      <c r="T5523" s="27" t="n"/>
    </row>
    <row r="5524" ht="13.8" customFormat="1" customHeight="1" s="70">
      <c r="M5524" s="27" t="n"/>
      <c r="N5524" s="27" t="n"/>
      <c r="O5524" s="27" t="n"/>
      <c r="P5524" s="27" t="n"/>
      <c r="Q5524" s="27" t="n"/>
      <c r="R5524" s="27" t="n"/>
      <c r="S5524" s="27" t="n"/>
      <c r="T5524" s="27" t="n"/>
    </row>
    <row r="5525" ht="13.8" customFormat="1" customHeight="1" s="70">
      <c r="M5525" s="27" t="n"/>
      <c r="N5525" s="27" t="n"/>
      <c r="O5525" s="27" t="n"/>
      <c r="P5525" s="27" t="n"/>
      <c r="Q5525" s="27" t="n"/>
      <c r="R5525" s="27" t="n"/>
      <c r="S5525" s="27" t="n"/>
      <c r="T5525" s="27" t="n"/>
    </row>
    <row r="5526" ht="13.8" customFormat="1" customHeight="1" s="70">
      <c r="M5526" s="27" t="n"/>
      <c r="N5526" s="27" t="n"/>
      <c r="O5526" s="27" t="n"/>
      <c r="P5526" s="27" t="n"/>
      <c r="Q5526" s="27" t="n"/>
      <c r="R5526" s="27" t="n"/>
      <c r="S5526" s="27" t="n"/>
      <c r="T5526" s="27" t="n"/>
    </row>
    <row r="5527" ht="13.8" customFormat="1" customHeight="1" s="70">
      <c r="M5527" s="27" t="n"/>
      <c r="N5527" s="27" t="n"/>
      <c r="O5527" s="27" t="n"/>
      <c r="P5527" s="27" t="n"/>
      <c r="Q5527" s="27" t="n"/>
      <c r="R5527" s="27" t="n"/>
      <c r="S5527" s="27" t="n"/>
      <c r="T5527" s="27" t="n"/>
    </row>
    <row r="5528" ht="13.8" customFormat="1" customHeight="1" s="70">
      <c r="M5528" s="27" t="n"/>
      <c r="N5528" s="27" t="n"/>
      <c r="O5528" s="27" t="n"/>
      <c r="P5528" s="27" t="n"/>
      <c r="Q5528" s="27" t="n"/>
      <c r="R5528" s="27" t="n"/>
      <c r="S5528" s="27" t="n"/>
      <c r="T5528" s="27" t="n"/>
    </row>
    <row r="5529" ht="13.8" customFormat="1" customHeight="1" s="70">
      <c r="M5529" s="27" t="n"/>
      <c r="N5529" s="27" t="n"/>
      <c r="O5529" s="27" t="n"/>
      <c r="P5529" s="27" t="n"/>
      <c r="Q5529" s="27" t="n"/>
      <c r="R5529" s="27" t="n"/>
      <c r="S5529" s="27" t="n"/>
      <c r="T5529" s="27" t="n"/>
    </row>
    <row r="5530" ht="13.8" customFormat="1" customHeight="1" s="70">
      <c r="M5530" s="27" t="n"/>
      <c r="N5530" s="27" t="n"/>
      <c r="O5530" s="27" t="n"/>
      <c r="P5530" s="27" t="n"/>
      <c r="Q5530" s="27" t="n"/>
      <c r="R5530" s="27" t="n"/>
      <c r="S5530" s="27" t="n"/>
      <c r="T5530" s="27" t="n"/>
    </row>
    <row r="5531" ht="13.8" customFormat="1" customHeight="1" s="70">
      <c r="M5531" s="27" t="n"/>
      <c r="N5531" s="27" t="n"/>
      <c r="O5531" s="27" t="n"/>
      <c r="P5531" s="27" t="n"/>
      <c r="Q5531" s="27" t="n"/>
      <c r="R5531" s="27" t="n"/>
      <c r="S5531" s="27" t="n"/>
      <c r="T5531" s="27" t="n"/>
    </row>
    <row r="5532" ht="13.8" customFormat="1" customHeight="1" s="70">
      <c r="M5532" s="27" t="n"/>
      <c r="N5532" s="27" t="n"/>
      <c r="O5532" s="27" t="n"/>
      <c r="P5532" s="27" t="n"/>
      <c r="Q5532" s="27" t="n"/>
      <c r="R5532" s="27" t="n"/>
      <c r="S5532" s="27" t="n"/>
      <c r="T5532" s="27" t="n"/>
    </row>
    <row r="5533" ht="13.8" customFormat="1" customHeight="1" s="70">
      <c r="M5533" s="27" t="n"/>
      <c r="N5533" s="27" t="n"/>
      <c r="O5533" s="27" t="n"/>
      <c r="P5533" s="27" t="n"/>
      <c r="Q5533" s="27" t="n"/>
      <c r="R5533" s="27" t="n"/>
      <c r="S5533" s="27" t="n"/>
      <c r="T5533" s="27" t="n"/>
    </row>
    <row r="5534" ht="13.8" customFormat="1" customHeight="1" s="70">
      <c r="M5534" s="27" t="n"/>
      <c r="N5534" s="27" t="n"/>
      <c r="O5534" s="27" t="n"/>
      <c r="P5534" s="27" t="n"/>
      <c r="Q5534" s="27" t="n"/>
      <c r="R5534" s="27" t="n"/>
      <c r="S5534" s="27" t="n"/>
      <c r="T5534" s="27" t="n"/>
    </row>
    <row r="5535" ht="13.8" customFormat="1" customHeight="1" s="70">
      <c r="M5535" s="27" t="n"/>
      <c r="N5535" s="27" t="n"/>
      <c r="O5535" s="27" t="n"/>
      <c r="P5535" s="27" t="n"/>
      <c r="Q5535" s="27" t="n"/>
      <c r="R5535" s="27" t="n"/>
      <c r="S5535" s="27" t="n"/>
      <c r="T5535" s="27" t="n"/>
    </row>
    <row r="5536" ht="13.8" customFormat="1" customHeight="1" s="70">
      <c r="M5536" s="27" t="n"/>
      <c r="N5536" s="27" t="n"/>
      <c r="O5536" s="27" t="n"/>
      <c r="P5536" s="27" t="n"/>
      <c r="Q5536" s="27" t="n"/>
      <c r="R5536" s="27" t="n"/>
      <c r="S5536" s="27" t="n"/>
      <c r="T5536" s="27" t="n"/>
    </row>
    <row r="5537" ht="13.8" customFormat="1" customHeight="1" s="70">
      <c r="M5537" s="27" t="n"/>
      <c r="N5537" s="27" t="n"/>
      <c r="O5537" s="27" t="n"/>
      <c r="P5537" s="27" t="n"/>
      <c r="Q5537" s="27" t="n"/>
      <c r="R5537" s="27" t="n"/>
      <c r="S5537" s="27" t="n"/>
      <c r="T5537" s="27" t="n"/>
    </row>
    <row r="5538" ht="13.8" customFormat="1" customHeight="1" s="70">
      <c r="M5538" s="27" t="n"/>
      <c r="N5538" s="27" t="n"/>
      <c r="O5538" s="27" t="n"/>
      <c r="P5538" s="27" t="n"/>
      <c r="Q5538" s="27" t="n"/>
      <c r="R5538" s="27" t="n"/>
      <c r="S5538" s="27" t="n"/>
      <c r="T5538" s="27" t="n"/>
    </row>
    <row r="5539" ht="13.8" customFormat="1" customHeight="1" s="70">
      <c r="M5539" s="27" t="n"/>
      <c r="N5539" s="27" t="n"/>
      <c r="O5539" s="27" t="n"/>
      <c r="P5539" s="27" t="n"/>
      <c r="Q5539" s="27" t="n"/>
      <c r="R5539" s="27" t="n"/>
      <c r="S5539" s="27" t="n"/>
      <c r="T5539" s="27" t="n"/>
    </row>
    <row r="5540" ht="13.8" customFormat="1" customHeight="1" s="70">
      <c r="M5540" s="27" t="n"/>
      <c r="N5540" s="27" t="n"/>
      <c r="O5540" s="27" t="n"/>
      <c r="P5540" s="27" t="n"/>
      <c r="Q5540" s="27" t="n"/>
      <c r="R5540" s="27" t="n"/>
      <c r="S5540" s="27" t="n"/>
      <c r="T5540" s="27" t="n"/>
    </row>
    <row r="5541" ht="13.8" customFormat="1" customHeight="1" s="70">
      <c r="M5541" s="27" t="n"/>
      <c r="N5541" s="27" t="n"/>
      <c r="O5541" s="27" t="n"/>
      <c r="P5541" s="27" t="n"/>
      <c r="Q5541" s="27" t="n"/>
      <c r="R5541" s="27" t="n"/>
      <c r="S5541" s="27" t="n"/>
      <c r="T5541" s="27" t="n"/>
    </row>
    <row r="5542" ht="13.8" customFormat="1" customHeight="1" s="70">
      <c r="M5542" s="27" t="n"/>
      <c r="N5542" s="27" t="n"/>
      <c r="O5542" s="27" t="n"/>
      <c r="P5542" s="27" t="n"/>
      <c r="Q5542" s="27" t="n"/>
      <c r="R5542" s="27" t="n"/>
      <c r="S5542" s="27" t="n"/>
      <c r="T5542" s="27" t="n"/>
    </row>
    <row r="5543" ht="13.8" customFormat="1" customHeight="1" s="70">
      <c r="M5543" s="27" t="n"/>
      <c r="N5543" s="27" t="n"/>
      <c r="O5543" s="27" t="n"/>
      <c r="P5543" s="27" t="n"/>
      <c r="Q5543" s="27" t="n"/>
      <c r="R5543" s="27" t="n"/>
      <c r="S5543" s="27" t="n"/>
      <c r="T5543" s="27" t="n"/>
    </row>
    <row r="5544" ht="13.8" customFormat="1" customHeight="1" s="70">
      <c r="M5544" s="27" t="n"/>
      <c r="N5544" s="27" t="n"/>
      <c r="O5544" s="27" t="n"/>
      <c r="P5544" s="27" t="n"/>
      <c r="Q5544" s="27" t="n"/>
      <c r="R5544" s="27" t="n"/>
      <c r="S5544" s="27" t="n"/>
      <c r="T5544" s="27" t="n"/>
    </row>
    <row r="5545" ht="13.8" customFormat="1" customHeight="1" s="70">
      <c r="M5545" s="27" t="n"/>
      <c r="N5545" s="27" t="n"/>
      <c r="O5545" s="27" t="n"/>
      <c r="P5545" s="27" t="n"/>
      <c r="Q5545" s="27" t="n"/>
      <c r="R5545" s="27" t="n"/>
      <c r="S5545" s="27" t="n"/>
      <c r="T5545" s="27" t="n"/>
    </row>
    <row r="5546" ht="13.8" customFormat="1" customHeight="1" s="70">
      <c r="M5546" s="27" t="n"/>
      <c r="N5546" s="27" t="n"/>
      <c r="O5546" s="27" t="n"/>
      <c r="P5546" s="27" t="n"/>
      <c r="Q5546" s="27" t="n"/>
      <c r="R5546" s="27" t="n"/>
      <c r="S5546" s="27" t="n"/>
      <c r="T5546" s="27" t="n"/>
    </row>
    <row r="5547" ht="13.8" customFormat="1" customHeight="1" s="70">
      <c r="M5547" s="27" t="n"/>
      <c r="N5547" s="27" t="n"/>
      <c r="O5547" s="27" t="n"/>
      <c r="P5547" s="27" t="n"/>
      <c r="Q5547" s="27" t="n"/>
      <c r="R5547" s="27" t="n"/>
      <c r="S5547" s="27" t="n"/>
      <c r="T5547" s="27" t="n"/>
    </row>
    <row r="5548" ht="13.8" customFormat="1" customHeight="1" s="70">
      <c r="M5548" s="27" t="n"/>
      <c r="N5548" s="27" t="n"/>
      <c r="O5548" s="27" t="n"/>
      <c r="P5548" s="27" t="n"/>
      <c r="Q5548" s="27" t="n"/>
      <c r="R5548" s="27" t="n"/>
      <c r="S5548" s="27" t="n"/>
      <c r="T5548" s="27" t="n"/>
    </row>
    <row r="5549" ht="13.8" customFormat="1" customHeight="1" s="70">
      <c r="M5549" s="27" t="n"/>
      <c r="N5549" s="27" t="n"/>
      <c r="O5549" s="27" t="n"/>
      <c r="P5549" s="27" t="n"/>
      <c r="Q5549" s="27" t="n"/>
      <c r="R5549" s="27" t="n"/>
      <c r="S5549" s="27" t="n"/>
      <c r="T5549" s="27" t="n"/>
    </row>
    <row r="5550" ht="13.8" customFormat="1" customHeight="1" s="70">
      <c r="M5550" s="27" t="n"/>
      <c r="N5550" s="27" t="n"/>
      <c r="O5550" s="27" t="n"/>
      <c r="P5550" s="27" t="n"/>
      <c r="Q5550" s="27" t="n"/>
      <c r="R5550" s="27" t="n"/>
      <c r="S5550" s="27" t="n"/>
      <c r="T5550" s="27" t="n"/>
    </row>
    <row r="5551" ht="13.8" customFormat="1" customHeight="1" s="70">
      <c r="M5551" s="27" t="n"/>
      <c r="N5551" s="27" t="n"/>
      <c r="O5551" s="27" t="n"/>
      <c r="P5551" s="27" t="n"/>
      <c r="Q5551" s="27" t="n"/>
      <c r="R5551" s="27" t="n"/>
      <c r="S5551" s="27" t="n"/>
      <c r="T5551" s="27" t="n"/>
    </row>
    <row r="5552" ht="13.8" customFormat="1" customHeight="1" s="70">
      <c r="M5552" s="27" t="n"/>
      <c r="N5552" s="27" t="n"/>
      <c r="O5552" s="27" t="n"/>
      <c r="P5552" s="27" t="n"/>
      <c r="Q5552" s="27" t="n"/>
      <c r="R5552" s="27" t="n"/>
      <c r="S5552" s="27" t="n"/>
      <c r="T5552" s="27" t="n"/>
    </row>
    <row r="5553" ht="13.8" customFormat="1" customHeight="1" s="70">
      <c r="M5553" s="27" t="n"/>
      <c r="N5553" s="27" t="n"/>
      <c r="O5553" s="27" t="n"/>
      <c r="P5553" s="27" t="n"/>
      <c r="Q5553" s="27" t="n"/>
      <c r="R5553" s="27" t="n"/>
      <c r="S5553" s="27" t="n"/>
      <c r="T5553" s="27" t="n"/>
    </row>
    <row r="5554" ht="13.8" customFormat="1" customHeight="1" s="70">
      <c r="M5554" s="27" t="n"/>
      <c r="N5554" s="27" t="n"/>
      <c r="O5554" s="27" t="n"/>
      <c r="P5554" s="27" t="n"/>
      <c r="Q5554" s="27" t="n"/>
      <c r="R5554" s="27" t="n"/>
      <c r="S5554" s="27" t="n"/>
      <c r="T5554" s="27" t="n"/>
    </row>
    <row r="5555" ht="13.8" customFormat="1" customHeight="1" s="70">
      <c r="M5555" s="27" t="n"/>
      <c r="N5555" s="27" t="n"/>
      <c r="O5555" s="27" t="n"/>
      <c r="P5555" s="27" t="n"/>
      <c r="Q5555" s="27" t="n"/>
      <c r="R5555" s="27" t="n"/>
      <c r="S5555" s="27" t="n"/>
      <c r="T5555" s="27" t="n"/>
    </row>
    <row r="5556" ht="13.8" customFormat="1" customHeight="1" s="70">
      <c r="M5556" s="27" t="n"/>
      <c r="N5556" s="27" t="n"/>
      <c r="O5556" s="27" t="n"/>
      <c r="P5556" s="27" t="n"/>
      <c r="Q5556" s="27" t="n"/>
      <c r="R5556" s="27" t="n"/>
      <c r="S5556" s="27" t="n"/>
      <c r="T5556" s="27" t="n"/>
    </row>
    <row r="5557" ht="13.8" customFormat="1" customHeight="1" s="70">
      <c r="M5557" s="27" t="n"/>
      <c r="N5557" s="27" t="n"/>
      <c r="O5557" s="27" t="n"/>
      <c r="P5557" s="27" t="n"/>
      <c r="Q5557" s="27" t="n"/>
      <c r="R5557" s="27" t="n"/>
      <c r="S5557" s="27" t="n"/>
      <c r="T5557" s="27" t="n"/>
    </row>
    <row r="5558" ht="13.8" customFormat="1" customHeight="1" s="70">
      <c r="M5558" s="27" t="n"/>
      <c r="N5558" s="27" t="n"/>
      <c r="O5558" s="27" t="n"/>
      <c r="P5558" s="27" t="n"/>
      <c r="Q5558" s="27" t="n"/>
      <c r="R5558" s="27" t="n"/>
      <c r="S5558" s="27" t="n"/>
      <c r="T5558" s="27" t="n"/>
    </row>
    <row r="5559" ht="13.8" customFormat="1" customHeight="1" s="70">
      <c r="M5559" s="27" t="n"/>
      <c r="N5559" s="27" t="n"/>
      <c r="O5559" s="27" t="n"/>
      <c r="P5559" s="27" t="n"/>
      <c r="Q5559" s="27" t="n"/>
      <c r="R5559" s="27" t="n"/>
      <c r="S5559" s="27" t="n"/>
      <c r="T5559" s="27" t="n"/>
    </row>
    <row r="5560" ht="13.8" customFormat="1" customHeight="1" s="70">
      <c r="M5560" s="27" t="n"/>
      <c r="N5560" s="27" t="n"/>
      <c r="O5560" s="27" t="n"/>
      <c r="P5560" s="27" t="n"/>
      <c r="Q5560" s="27" t="n"/>
      <c r="R5560" s="27" t="n"/>
      <c r="S5560" s="27" t="n"/>
      <c r="T5560" s="27" t="n"/>
    </row>
    <row r="5561" ht="13.8" customFormat="1" customHeight="1" s="70">
      <c r="M5561" s="27" t="n"/>
      <c r="N5561" s="27" t="n"/>
      <c r="O5561" s="27" t="n"/>
      <c r="P5561" s="27" t="n"/>
      <c r="Q5561" s="27" t="n"/>
      <c r="R5561" s="27" t="n"/>
      <c r="S5561" s="27" t="n"/>
      <c r="T5561" s="27" t="n"/>
    </row>
    <row r="5562" ht="13.8" customFormat="1" customHeight="1" s="70">
      <c r="M5562" s="27" t="n"/>
      <c r="N5562" s="27" t="n"/>
      <c r="O5562" s="27" t="n"/>
      <c r="P5562" s="27" t="n"/>
      <c r="Q5562" s="27" t="n"/>
      <c r="R5562" s="27" t="n"/>
      <c r="S5562" s="27" t="n"/>
      <c r="T5562" s="27" t="n"/>
    </row>
    <row r="5563" ht="13.8" customFormat="1" customHeight="1" s="70">
      <c r="M5563" s="27" t="n"/>
      <c r="N5563" s="27" t="n"/>
      <c r="O5563" s="27" t="n"/>
      <c r="P5563" s="27" t="n"/>
      <c r="Q5563" s="27" t="n"/>
      <c r="R5563" s="27" t="n"/>
      <c r="S5563" s="27" t="n"/>
      <c r="T5563" s="27" t="n"/>
    </row>
    <row r="5564" ht="13.8" customFormat="1" customHeight="1" s="70">
      <c r="M5564" s="27" t="n"/>
      <c r="N5564" s="27" t="n"/>
      <c r="O5564" s="27" t="n"/>
      <c r="P5564" s="27" t="n"/>
      <c r="Q5564" s="27" t="n"/>
      <c r="R5564" s="27" t="n"/>
      <c r="S5564" s="27" t="n"/>
      <c r="T5564" s="27" t="n"/>
    </row>
    <row r="5565" ht="13.8" customFormat="1" customHeight="1" s="70">
      <c r="M5565" s="27" t="n"/>
      <c r="N5565" s="27" t="n"/>
      <c r="O5565" s="27" t="n"/>
      <c r="P5565" s="27" t="n"/>
      <c r="Q5565" s="27" t="n"/>
      <c r="R5565" s="27" t="n"/>
      <c r="S5565" s="27" t="n"/>
      <c r="T5565" s="27" t="n"/>
    </row>
    <row r="5566" ht="13.8" customFormat="1" customHeight="1" s="70">
      <c r="M5566" s="27" t="n"/>
      <c r="N5566" s="27" t="n"/>
      <c r="O5566" s="27" t="n"/>
      <c r="P5566" s="27" t="n"/>
      <c r="Q5566" s="27" t="n"/>
      <c r="R5566" s="27" t="n"/>
      <c r="S5566" s="27" t="n"/>
      <c r="T5566" s="27" t="n"/>
    </row>
    <row r="5567" ht="13.8" customFormat="1" customHeight="1" s="70">
      <c r="M5567" s="27" t="n"/>
      <c r="N5567" s="27" t="n"/>
      <c r="O5567" s="27" t="n"/>
      <c r="P5567" s="27" t="n"/>
      <c r="Q5567" s="27" t="n"/>
      <c r="R5567" s="27" t="n"/>
      <c r="S5567" s="27" t="n"/>
      <c r="T5567" s="27" t="n"/>
    </row>
    <row r="5568" ht="13.8" customFormat="1" customHeight="1" s="70">
      <c r="M5568" s="27" t="n"/>
      <c r="N5568" s="27" t="n"/>
      <c r="O5568" s="27" t="n"/>
      <c r="P5568" s="27" t="n"/>
      <c r="Q5568" s="27" t="n"/>
      <c r="R5568" s="27" t="n"/>
      <c r="S5568" s="27" t="n"/>
      <c r="T5568" s="27" t="n"/>
    </row>
    <row r="5569" ht="13.8" customFormat="1" customHeight="1" s="70">
      <c r="M5569" s="27" t="n"/>
      <c r="N5569" s="27" t="n"/>
      <c r="O5569" s="27" t="n"/>
      <c r="P5569" s="27" t="n"/>
      <c r="Q5569" s="27" t="n"/>
      <c r="R5569" s="27" t="n"/>
      <c r="S5569" s="27" t="n"/>
      <c r="T5569" s="27" t="n"/>
    </row>
    <row r="5570" ht="13.8" customFormat="1" customHeight="1" s="70">
      <c r="M5570" s="27" t="n"/>
      <c r="N5570" s="27" t="n"/>
      <c r="O5570" s="27" t="n"/>
      <c r="P5570" s="27" t="n"/>
      <c r="Q5570" s="27" t="n"/>
      <c r="R5570" s="27" t="n"/>
      <c r="S5570" s="27" t="n"/>
      <c r="T5570" s="27" t="n"/>
    </row>
    <row r="5571" ht="13.8" customFormat="1" customHeight="1" s="70">
      <c r="M5571" s="27" t="n"/>
      <c r="N5571" s="27" t="n"/>
      <c r="O5571" s="27" t="n"/>
      <c r="P5571" s="27" t="n"/>
      <c r="Q5571" s="27" t="n"/>
      <c r="R5571" s="27" t="n"/>
      <c r="S5571" s="27" t="n"/>
      <c r="T5571" s="27" t="n"/>
    </row>
    <row r="5572" ht="13.8" customFormat="1" customHeight="1" s="70">
      <c r="M5572" s="27" t="n"/>
      <c r="N5572" s="27" t="n"/>
      <c r="O5572" s="27" t="n"/>
      <c r="P5572" s="27" t="n"/>
      <c r="Q5572" s="27" t="n"/>
      <c r="R5572" s="27" t="n"/>
      <c r="S5572" s="27" t="n"/>
      <c r="T5572" s="27" t="n"/>
    </row>
    <row r="5573" ht="13.8" customFormat="1" customHeight="1" s="70">
      <c r="M5573" s="27" t="n"/>
      <c r="N5573" s="27" t="n"/>
      <c r="O5573" s="27" t="n"/>
      <c r="P5573" s="27" t="n"/>
      <c r="Q5573" s="27" t="n"/>
      <c r="R5573" s="27" t="n"/>
      <c r="S5573" s="27" t="n"/>
      <c r="T5573" s="27" t="n"/>
    </row>
    <row r="5574" ht="13.8" customFormat="1" customHeight="1" s="70">
      <c r="M5574" s="27" t="n"/>
      <c r="N5574" s="27" t="n"/>
      <c r="O5574" s="27" t="n"/>
      <c r="P5574" s="27" t="n"/>
      <c r="Q5574" s="27" t="n"/>
      <c r="R5574" s="27" t="n"/>
      <c r="S5574" s="27" t="n"/>
      <c r="T5574" s="27" t="n"/>
    </row>
    <row r="5575" ht="13.8" customFormat="1" customHeight="1" s="70">
      <c r="M5575" s="27" t="n"/>
      <c r="N5575" s="27" t="n"/>
      <c r="O5575" s="27" t="n"/>
      <c r="P5575" s="27" t="n"/>
      <c r="Q5575" s="27" t="n"/>
      <c r="R5575" s="27" t="n"/>
      <c r="S5575" s="27" t="n"/>
      <c r="T5575" s="27" t="n"/>
    </row>
    <row r="5576" ht="13.8" customFormat="1" customHeight="1" s="70">
      <c r="M5576" s="27" t="n"/>
      <c r="N5576" s="27" t="n"/>
      <c r="O5576" s="27" t="n"/>
      <c r="P5576" s="27" t="n"/>
      <c r="Q5576" s="27" t="n"/>
      <c r="R5576" s="27" t="n"/>
      <c r="S5576" s="27" t="n"/>
      <c r="T5576" s="27" t="n"/>
    </row>
    <row r="5577" ht="13.8" customFormat="1" customHeight="1" s="70">
      <c r="M5577" s="27" t="n"/>
      <c r="N5577" s="27" t="n"/>
      <c r="O5577" s="27" t="n"/>
      <c r="P5577" s="27" t="n"/>
      <c r="Q5577" s="27" t="n"/>
      <c r="R5577" s="27" t="n"/>
      <c r="S5577" s="27" t="n"/>
      <c r="T5577" s="27" t="n"/>
    </row>
    <row r="5578" ht="13.8" customFormat="1" customHeight="1" s="70">
      <c r="M5578" s="27" t="n"/>
      <c r="N5578" s="27" t="n"/>
      <c r="O5578" s="27" t="n"/>
      <c r="P5578" s="27" t="n"/>
      <c r="Q5578" s="27" t="n"/>
      <c r="R5578" s="27" t="n"/>
      <c r="S5578" s="27" t="n"/>
      <c r="T5578" s="27" t="n"/>
    </row>
    <row r="5579" ht="13.8" customFormat="1" customHeight="1" s="70">
      <c r="M5579" s="27" t="n"/>
      <c r="N5579" s="27" t="n"/>
      <c r="O5579" s="27" t="n"/>
      <c r="P5579" s="27" t="n"/>
      <c r="Q5579" s="27" t="n"/>
      <c r="R5579" s="27" t="n"/>
      <c r="S5579" s="27" t="n"/>
      <c r="T5579" s="27" t="n"/>
    </row>
    <row r="5580" ht="13.8" customFormat="1" customHeight="1" s="70">
      <c r="M5580" s="27" t="n"/>
      <c r="N5580" s="27" t="n"/>
      <c r="O5580" s="27" t="n"/>
      <c r="P5580" s="27" t="n"/>
      <c r="Q5580" s="27" t="n"/>
      <c r="R5580" s="27" t="n"/>
      <c r="S5580" s="27" t="n"/>
      <c r="T5580" s="27" t="n"/>
    </row>
    <row r="5581" ht="13.8" customFormat="1" customHeight="1" s="70">
      <c r="M5581" s="27" t="n"/>
      <c r="N5581" s="27" t="n"/>
      <c r="O5581" s="27" t="n"/>
      <c r="P5581" s="27" t="n"/>
      <c r="Q5581" s="27" t="n"/>
      <c r="R5581" s="27" t="n"/>
      <c r="S5581" s="27" t="n"/>
      <c r="T5581" s="27" t="n"/>
    </row>
    <row r="5582" ht="13.8" customFormat="1" customHeight="1" s="70">
      <c r="M5582" s="27" t="n"/>
      <c r="N5582" s="27" t="n"/>
      <c r="O5582" s="27" t="n"/>
      <c r="P5582" s="27" t="n"/>
      <c r="Q5582" s="27" t="n"/>
      <c r="R5582" s="27" t="n"/>
      <c r="S5582" s="27" t="n"/>
      <c r="T5582" s="27" t="n"/>
    </row>
    <row r="5583" ht="13.8" customFormat="1" customHeight="1" s="70">
      <c r="M5583" s="27" t="n"/>
      <c r="N5583" s="27" t="n"/>
      <c r="O5583" s="27" t="n"/>
      <c r="P5583" s="27" t="n"/>
      <c r="Q5583" s="27" t="n"/>
      <c r="R5583" s="27" t="n"/>
      <c r="S5583" s="27" t="n"/>
      <c r="T5583" s="27" t="n"/>
    </row>
    <row r="5584" ht="13.8" customFormat="1" customHeight="1" s="70">
      <c r="M5584" s="27" t="n"/>
      <c r="N5584" s="27" t="n"/>
      <c r="O5584" s="27" t="n"/>
      <c r="P5584" s="27" t="n"/>
      <c r="Q5584" s="27" t="n"/>
      <c r="R5584" s="27" t="n"/>
      <c r="S5584" s="27" t="n"/>
      <c r="T5584" s="27" t="n"/>
    </row>
    <row r="5585" ht="13.8" customFormat="1" customHeight="1" s="70">
      <c r="M5585" s="27" t="n"/>
      <c r="N5585" s="27" t="n"/>
      <c r="O5585" s="27" t="n"/>
      <c r="P5585" s="27" t="n"/>
      <c r="Q5585" s="27" t="n"/>
      <c r="R5585" s="27" t="n"/>
      <c r="S5585" s="27" t="n"/>
      <c r="T5585" s="27" t="n"/>
    </row>
    <row r="5586" ht="13.8" customFormat="1" customHeight="1" s="70">
      <c r="M5586" s="27" t="n"/>
      <c r="N5586" s="27" t="n"/>
      <c r="O5586" s="27" t="n"/>
      <c r="P5586" s="27" t="n"/>
      <c r="Q5586" s="27" t="n"/>
      <c r="R5586" s="27" t="n"/>
      <c r="S5586" s="27" t="n"/>
      <c r="T5586" s="27" t="n"/>
    </row>
    <row r="5587" ht="13.8" customFormat="1" customHeight="1" s="70">
      <c r="M5587" s="27" t="n"/>
      <c r="N5587" s="27" t="n"/>
      <c r="O5587" s="27" t="n"/>
      <c r="P5587" s="27" t="n"/>
      <c r="Q5587" s="27" t="n"/>
      <c r="R5587" s="27" t="n"/>
      <c r="S5587" s="27" t="n"/>
      <c r="T5587" s="27" t="n"/>
    </row>
    <row r="5588" ht="13.8" customFormat="1" customHeight="1" s="70">
      <c r="M5588" s="27" t="n"/>
      <c r="N5588" s="27" t="n"/>
      <c r="O5588" s="27" t="n"/>
      <c r="P5588" s="27" t="n"/>
      <c r="Q5588" s="27" t="n"/>
      <c r="R5588" s="27" t="n"/>
      <c r="S5588" s="27" t="n"/>
      <c r="T5588" s="27" t="n"/>
    </row>
    <row r="5589" ht="13.8" customFormat="1" customHeight="1" s="70">
      <c r="M5589" s="27" t="n"/>
      <c r="N5589" s="27" t="n"/>
      <c r="O5589" s="27" t="n"/>
      <c r="P5589" s="27" t="n"/>
      <c r="Q5589" s="27" t="n"/>
      <c r="R5589" s="27" t="n"/>
      <c r="S5589" s="27" t="n"/>
      <c r="T5589" s="27" t="n"/>
    </row>
    <row r="5590" ht="13.8" customFormat="1" customHeight="1" s="70">
      <c r="M5590" s="27" t="n"/>
      <c r="N5590" s="27" t="n"/>
      <c r="O5590" s="27" t="n"/>
      <c r="P5590" s="27" t="n"/>
      <c r="Q5590" s="27" t="n"/>
      <c r="R5590" s="27" t="n"/>
      <c r="S5590" s="27" t="n"/>
      <c r="T5590" s="27" t="n"/>
    </row>
    <row r="5591" ht="13.8" customFormat="1" customHeight="1" s="70">
      <c r="M5591" s="27" t="n"/>
      <c r="N5591" s="27" t="n"/>
      <c r="O5591" s="27" t="n"/>
      <c r="P5591" s="27" t="n"/>
      <c r="Q5591" s="27" t="n"/>
      <c r="R5591" s="27" t="n"/>
      <c r="S5591" s="27" t="n"/>
      <c r="T5591" s="27" t="n"/>
    </row>
    <row r="5592" ht="13.8" customFormat="1" customHeight="1" s="70">
      <c r="M5592" s="27" t="n"/>
      <c r="N5592" s="27" t="n"/>
      <c r="O5592" s="27" t="n"/>
      <c r="P5592" s="27" t="n"/>
      <c r="Q5592" s="27" t="n"/>
      <c r="R5592" s="27" t="n"/>
      <c r="S5592" s="27" t="n"/>
      <c r="T5592" s="27" t="n"/>
    </row>
    <row r="5593" ht="13.8" customFormat="1" customHeight="1" s="70">
      <c r="M5593" s="27" t="n"/>
      <c r="N5593" s="27" t="n"/>
      <c r="O5593" s="27" t="n"/>
      <c r="P5593" s="27" t="n"/>
      <c r="Q5593" s="27" t="n"/>
      <c r="R5593" s="27" t="n"/>
      <c r="S5593" s="27" t="n"/>
      <c r="T5593" s="27" t="n"/>
    </row>
    <row r="5594" ht="13.8" customFormat="1" customHeight="1" s="70">
      <c r="M5594" s="27" t="n"/>
      <c r="N5594" s="27" t="n"/>
      <c r="O5594" s="27" t="n"/>
      <c r="P5594" s="27" t="n"/>
      <c r="Q5594" s="27" t="n"/>
      <c r="R5594" s="27" t="n"/>
      <c r="S5594" s="27" t="n"/>
      <c r="T5594" s="27" t="n"/>
    </row>
    <row r="5595" ht="13.8" customFormat="1" customHeight="1" s="70">
      <c r="M5595" s="27" t="n"/>
      <c r="N5595" s="27" t="n"/>
      <c r="O5595" s="27" t="n"/>
      <c r="P5595" s="27" t="n"/>
      <c r="Q5595" s="27" t="n"/>
      <c r="R5595" s="27" t="n"/>
      <c r="S5595" s="27" t="n"/>
      <c r="T5595" s="27" t="n"/>
    </row>
    <row r="5596" ht="13.8" customFormat="1" customHeight="1" s="70">
      <c r="M5596" s="27" t="n"/>
      <c r="N5596" s="27" t="n"/>
      <c r="O5596" s="27" t="n"/>
      <c r="P5596" s="27" t="n"/>
      <c r="Q5596" s="27" t="n"/>
      <c r="R5596" s="27" t="n"/>
      <c r="S5596" s="27" t="n"/>
      <c r="T5596" s="27" t="n"/>
    </row>
    <row r="5597" ht="13.8" customFormat="1" customHeight="1" s="70">
      <c r="M5597" s="27" t="n"/>
      <c r="N5597" s="27" t="n"/>
      <c r="O5597" s="27" t="n"/>
      <c r="P5597" s="27" t="n"/>
      <c r="Q5597" s="27" t="n"/>
      <c r="R5597" s="27" t="n"/>
      <c r="S5597" s="27" t="n"/>
      <c r="T5597" s="27" t="n"/>
    </row>
    <row r="5598" ht="13.8" customFormat="1" customHeight="1" s="70">
      <c r="M5598" s="27" t="n"/>
      <c r="N5598" s="27" t="n"/>
      <c r="O5598" s="27" t="n"/>
      <c r="P5598" s="27" t="n"/>
      <c r="Q5598" s="27" t="n"/>
      <c r="R5598" s="27" t="n"/>
      <c r="S5598" s="27" t="n"/>
      <c r="T5598" s="27" t="n"/>
    </row>
    <row r="5599" ht="13.8" customFormat="1" customHeight="1" s="70">
      <c r="M5599" s="27" t="n"/>
      <c r="N5599" s="27" t="n"/>
      <c r="O5599" s="27" t="n"/>
      <c r="P5599" s="27" t="n"/>
      <c r="Q5599" s="27" t="n"/>
      <c r="R5599" s="27" t="n"/>
      <c r="S5599" s="27" t="n"/>
      <c r="T5599" s="27" t="n"/>
    </row>
    <row r="5600" ht="13.8" customFormat="1" customHeight="1" s="70">
      <c r="M5600" s="27" t="n"/>
      <c r="N5600" s="27" t="n"/>
      <c r="O5600" s="27" t="n"/>
      <c r="P5600" s="27" t="n"/>
      <c r="Q5600" s="27" t="n"/>
      <c r="R5600" s="27" t="n"/>
      <c r="S5600" s="27" t="n"/>
      <c r="T5600" s="27" t="n"/>
    </row>
    <row r="5601" ht="13.8" customFormat="1" customHeight="1" s="70">
      <c r="M5601" s="27" t="n"/>
      <c r="N5601" s="27" t="n"/>
      <c r="O5601" s="27" t="n"/>
      <c r="P5601" s="27" t="n"/>
      <c r="Q5601" s="27" t="n"/>
      <c r="R5601" s="27" t="n"/>
      <c r="S5601" s="27" t="n"/>
      <c r="T5601" s="27" t="n"/>
    </row>
    <row r="5602" ht="13.8" customFormat="1" customHeight="1" s="70">
      <c r="M5602" s="27" t="n"/>
      <c r="N5602" s="27" t="n"/>
      <c r="O5602" s="27" t="n"/>
      <c r="P5602" s="27" t="n"/>
      <c r="Q5602" s="27" t="n"/>
      <c r="R5602" s="27" t="n"/>
      <c r="S5602" s="27" t="n"/>
      <c r="T5602" s="27" t="n"/>
    </row>
    <row r="5603" ht="13.8" customFormat="1" customHeight="1" s="70">
      <c r="M5603" s="27" t="n"/>
      <c r="N5603" s="27" t="n"/>
      <c r="O5603" s="27" t="n"/>
      <c r="P5603" s="27" t="n"/>
      <c r="Q5603" s="27" t="n"/>
      <c r="R5603" s="27" t="n"/>
      <c r="S5603" s="27" t="n"/>
      <c r="T5603" s="27" t="n"/>
    </row>
    <row r="5604" ht="13.8" customFormat="1" customHeight="1" s="70">
      <c r="M5604" s="27" t="n"/>
      <c r="N5604" s="27" t="n"/>
      <c r="O5604" s="27" t="n"/>
      <c r="P5604" s="27" t="n"/>
      <c r="Q5604" s="27" t="n"/>
      <c r="R5604" s="27" t="n"/>
      <c r="S5604" s="27" t="n"/>
      <c r="T5604" s="27" t="n"/>
    </row>
    <row r="5605" ht="13.8" customFormat="1" customHeight="1" s="70">
      <c r="M5605" s="27" t="n"/>
      <c r="N5605" s="27" t="n"/>
      <c r="O5605" s="27" t="n"/>
      <c r="P5605" s="27" t="n"/>
      <c r="Q5605" s="27" t="n"/>
      <c r="R5605" s="27" t="n"/>
      <c r="S5605" s="27" t="n"/>
      <c r="T5605" s="27" t="n"/>
    </row>
    <row r="5606" ht="13.8" customFormat="1" customHeight="1" s="70">
      <c r="M5606" s="27" t="n"/>
      <c r="N5606" s="27" t="n"/>
      <c r="O5606" s="27" t="n"/>
      <c r="P5606" s="27" t="n"/>
      <c r="Q5606" s="27" t="n"/>
      <c r="R5606" s="27" t="n"/>
      <c r="S5606" s="27" t="n"/>
      <c r="T5606" s="27" t="n"/>
    </row>
    <row r="5607" ht="13.8" customFormat="1" customHeight="1" s="70">
      <c r="M5607" s="27" t="n"/>
      <c r="N5607" s="27" t="n"/>
      <c r="O5607" s="27" t="n"/>
      <c r="P5607" s="27" t="n"/>
      <c r="Q5607" s="27" t="n"/>
      <c r="R5607" s="27" t="n"/>
      <c r="S5607" s="27" t="n"/>
      <c r="T5607" s="27" t="n"/>
    </row>
    <row r="5608" ht="13.8" customFormat="1" customHeight="1" s="70">
      <c r="M5608" s="27" t="n"/>
      <c r="N5608" s="27" t="n"/>
      <c r="O5608" s="27" t="n"/>
      <c r="P5608" s="27" t="n"/>
      <c r="Q5608" s="27" t="n"/>
      <c r="R5608" s="27" t="n"/>
      <c r="S5608" s="27" t="n"/>
      <c r="T5608" s="27" t="n"/>
    </row>
    <row r="5609" ht="13.8" customFormat="1" customHeight="1" s="70">
      <c r="M5609" s="27" t="n"/>
      <c r="N5609" s="27" t="n"/>
      <c r="O5609" s="27" t="n"/>
      <c r="P5609" s="27" t="n"/>
      <c r="Q5609" s="27" t="n"/>
      <c r="R5609" s="27" t="n"/>
      <c r="S5609" s="27" t="n"/>
      <c r="T5609" s="27" t="n"/>
    </row>
    <row r="5610" ht="13.8" customFormat="1" customHeight="1" s="70">
      <c r="M5610" s="27" t="n"/>
      <c r="N5610" s="27" t="n"/>
      <c r="O5610" s="27" t="n"/>
      <c r="P5610" s="27" t="n"/>
      <c r="Q5610" s="27" t="n"/>
      <c r="R5610" s="27" t="n"/>
      <c r="S5610" s="27" t="n"/>
      <c r="T5610" s="27" t="n"/>
    </row>
    <row r="5611" ht="13.8" customFormat="1" customHeight="1" s="70">
      <c r="M5611" s="27" t="n"/>
      <c r="N5611" s="27" t="n"/>
      <c r="O5611" s="27" t="n"/>
      <c r="P5611" s="27" t="n"/>
      <c r="Q5611" s="27" t="n"/>
      <c r="R5611" s="27" t="n"/>
      <c r="S5611" s="27" t="n"/>
      <c r="T5611" s="27" t="n"/>
    </row>
    <row r="5612" ht="13.8" customFormat="1" customHeight="1" s="70">
      <c r="M5612" s="27" t="n"/>
      <c r="N5612" s="27" t="n"/>
      <c r="O5612" s="27" t="n"/>
      <c r="P5612" s="27" t="n"/>
      <c r="Q5612" s="27" t="n"/>
      <c r="R5612" s="27" t="n"/>
      <c r="S5612" s="27" t="n"/>
      <c r="T5612" s="27" t="n"/>
    </row>
    <row r="5613" ht="13.8" customFormat="1" customHeight="1" s="70">
      <c r="M5613" s="27" t="n"/>
      <c r="N5613" s="27" t="n"/>
      <c r="O5613" s="27" t="n"/>
      <c r="P5613" s="27" t="n"/>
      <c r="Q5613" s="27" t="n"/>
      <c r="R5613" s="27" t="n"/>
      <c r="S5613" s="27" t="n"/>
      <c r="T5613" s="27" t="n"/>
    </row>
    <row r="5614" ht="13.8" customFormat="1" customHeight="1" s="70">
      <c r="M5614" s="27" t="n"/>
      <c r="N5614" s="27" t="n"/>
      <c r="O5614" s="27" t="n"/>
      <c r="P5614" s="27" t="n"/>
      <c r="Q5614" s="27" t="n"/>
      <c r="R5614" s="27" t="n"/>
      <c r="S5614" s="27" t="n"/>
      <c r="T5614" s="27" t="n"/>
    </row>
    <row r="5615" ht="13.8" customFormat="1" customHeight="1" s="70">
      <c r="M5615" s="27" t="n"/>
      <c r="N5615" s="27" t="n"/>
      <c r="O5615" s="27" t="n"/>
      <c r="P5615" s="27" t="n"/>
      <c r="Q5615" s="27" t="n"/>
      <c r="R5615" s="27" t="n"/>
      <c r="S5615" s="27" t="n"/>
      <c r="T5615" s="27" t="n"/>
    </row>
    <row r="5616" ht="13.8" customFormat="1" customHeight="1" s="70">
      <c r="M5616" s="27" t="n"/>
      <c r="N5616" s="27" t="n"/>
      <c r="O5616" s="27" t="n"/>
      <c r="P5616" s="27" t="n"/>
      <c r="Q5616" s="27" t="n"/>
      <c r="R5616" s="27" t="n"/>
      <c r="S5616" s="27" t="n"/>
      <c r="T5616" s="27" t="n"/>
    </row>
    <row r="5617" ht="13.8" customFormat="1" customHeight="1" s="70">
      <c r="M5617" s="27" t="n"/>
      <c r="N5617" s="27" t="n"/>
      <c r="O5617" s="27" t="n"/>
      <c r="P5617" s="27" t="n"/>
      <c r="Q5617" s="27" t="n"/>
      <c r="R5617" s="27" t="n"/>
      <c r="S5617" s="27" t="n"/>
      <c r="T5617" s="27" t="n"/>
    </row>
    <row r="5618" ht="13.8" customFormat="1" customHeight="1" s="70">
      <c r="M5618" s="27" t="n"/>
      <c r="N5618" s="27" t="n"/>
      <c r="O5618" s="27" t="n"/>
      <c r="P5618" s="27" t="n"/>
      <c r="Q5618" s="27" t="n"/>
      <c r="R5618" s="27" t="n"/>
      <c r="S5618" s="27" t="n"/>
      <c r="T5618" s="27" t="n"/>
    </row>
    <row r="5619" ht="13.8" customFormat="1" customHeight="1" s="70">
      <c r="M5619" s="27" t="n"/>
      <c r="N5619" s="27" t="n"/>
      <c r="O5619" s="27" t="n"/>
      <c r="P5619" s="27" t="n"/>
      <c r="Q5619" s="27" t="n"/>
      <c r="R5619" s="27" t="n"/>
      <c r="S5619" s="27" t="n"/>
      <c r="T5619" s="27" t="n"/>
    </row>
    <row r="5620" ht="13.8" customFormat="1" customHeight="1" s="70">
      <c r="M5620" s="27" t="n"/>
      <c r="N5620" s="27" t="n"/>
      <c r="O5620" s="27" t="n"/>
      <c r="P5620" s="27" t="n"/>
      <c r="Q5620" s="27" t="n"/>
      <c r="R5620" s="27" t="n"/>
      <c r="S5620" s="27" t="n"/>
      <c r="T5620" s="27" t="n"/>
    </row>
    <row r="5621" ht="13.8" customFormat="1" customHeight="1" s="70">
      <c r="M5621" s="27" t="n"/>
      <c r="N5621" s="27" t="n"/>
      <c r="O5621" s="27" t="n"/>
      <c r="P5621" s="27" t="n"/>
      <c r="Q5621" s="27" t="n"/>
      <c r="R5621" s="27" t="n"/>
      <c r="S5621" s="27" t="n"/>
      <c r="T5621" s="27" t="n"/>
    </row>
    <row r="5622" ht="13.8" customFormat="1" customHeight="1" s="70">
      <c r="M5622" s="27" t="n"/>
      <c r="N5622" s="27" t="n"/>
      <c r="O5622" s="27" t="n"/>
      <c r="P5622" s="27" t="n"/>
      <c r="Q5622" s="27" t="n"/>
      <c r="R5622" s="27" t="n"/>
      <c r="S5622" s="27" t="n"/>
      <c r="T5622" s="27" t="n"/>
    </row>
    <row r="5623" ht="13.8" customFormat="1" customHeight="1" s="70">
      <c r="M5623" s="27" t="n"/>
      <c r="N5623" s="27" t="n"/>
      <c r="O5623" s="27" t="n"/>
      <c r="P5623" s="27" t="n"/>
      <c r="Q5623" s="27" t="n"/>
      <c r="R5623" s="27" t="n"/>
      <c r="S5623" s="27" t="n"/>
      <c r="T5623" s="27" t="n"/>
    </row>
    <row r="5624" ht="13.8" customFormat="1" customHeight="1" s="70">
      <c r="M5624" s="27" t="n"/>
      <c r="N5624" s="27" t="n"/>
      <c r="O5624" s="27" t="n"/>
      <c r="P5624" s="27" t="n"/>
      <c r="Q5624" s="27" t="n"/>
      <c r="R5624" s="27" t="n"/>
      <c r="S5624" s="27" t="n"/>
      <c r="T5624" s="27" t="n"/>
    </row>
    <row r="5625" ht="13.8" customFormat="1" customHeight="1" s="70">
      <c r="M5625" s="27" t="n"/>
      <c r="N5625" s="27" t="n"/>
      <c r="O5625" s="27" t="n"/>
      <c r="P5625" s="27" t="n"/>
      <c r="Q5625" s="27" t="n"/>
      <c r="R5625" s="27" t="n"/>
      <c r="S5625" s="27" t="n"/>
      <c r="T5625" s="27" t="n"/>
    </row>
    <row r="5626" ht="13.8" customFormat="1" customHeight="1" s="70">
      <c r="M5626" s="27" t="n"/>
      <c r="N5626" s="27" t="n"/>
      <c r="O5626" s="27" t="n"/>
      <c r="P5626" s="27" t="n"/>
      <c r="Q5626" s="27" t="n"/>
      <c r="R5626" s="27" t="n"/>
      <c r="S5626" s="27" t="n"/>
      <c r="T5626" s="27" t="n"/>
    </row>
    <row r="5627" ht="13.8" customFormat="1" customHeight="1" s="70">
      <c r="M5627" s="27" t="n"/>
      <c r="N5627" s="27" t="n"/>
      <c r="O5627" s="27" t="n"/>
      <c r="P5627" s="27" t="n"/>
      <c r="Q5627" s="27" t="n"/>
      <c r="R5627" s="27" t="n"/>
      <c r="S5627" s="27" t="n"/>
      <c r="T5627" s="27" t="n"/>
    </row>
    <row r="5628" ht="13.8" customFormat="1" customHeight="1" s="70">
      <c r="M5628" s="27" t="n"/>
      <c r="N5628" s="27" t="n"/>
      <c r="O5628" s="27" t="n"/>
      <c r="P5628" s="27" t="n"/>
      <c r="Q5628" s="27" t="n"/>
      <c r="R5628" s="27" t="n"/>
      <c r="S5628" s="27" t="n"/>
      <c r="T5628" s="27" t="n"/>
    </row>
    <row r="5629" ht="13.8" customFormat="1" customHeight="1" s="70">
      <c r="M5629" s="27" t="n"/>
      <c r="N5629" s="27" t="n"/>
      <c r="O5629" s="27" t="n"/>
      <c r="P5629" s="27" t="n"/>
      <c r="Q5629" s="27" t="n"/>
      <c r="R5629" s="27" t="n"/>
      <c r="S5629" s="27" t="n"/>
      <c r="T5629" s="27" t="n"/>
    </row>
    <row r="5630" ht="13.8" customFormat="1" customHeight="1" s="70">
      <c r="M5630" s="27" t="n"/>
      <c r="N5630" s="27" t="n"/>
      <c r="O5630" s="27" t="n"/>
      <c r="P5630" s="27" t="n"/>
      <c r="Q5630" s="27" t="n"/>
      <c r="R5630" s="27" t="n"/>
      <c r="S5630" s="27" t="n"/>
      <c r="T5630" s="27" t="n"/>
    </row>
    <row r="5631" ht="13.8" customFormat="1" customHeight="1" s="70">
      <c r="M5631" s="27" t="n"/>
      <c r="N5631" s="27" t="n"/>
      <c r="O5631" s="27" t="n"/>
      <c r="P5631" s="27" t="n"/>
      <c r="Q5631" s="27" t="n"/>
      <c r="R5631" s="27" t="n"/>
      <c r="S5631" s="27" t="n"/>
      <c r="T5631" s="27" t="n"/>
    </row>
    <row r="5632" ht="13.8" customFormat="1" customHeight="1" s="70">
      <c r="M5632" s="27" t="n"/>
      <c r="N5632" s="27" t="n"/>
      <c r="O5632" s="27" t="n"/>
      <c r="P5632" s="27" t="n"/>
      <c r="Q5632" s="27" t="n"/>
      <c r="R5632" s="27" t="n"/>
      <c r="S5632" s="27" t="n"/>
      <c r="T5632" s="27" t="n"/>
    </row>
    <row r="5633" ht="13.8" customFormat="1" customHeight="1" s="70">
      <c r="M5633" s="27" t="n"/>
      <c r="N5633" s="27" t="n"/>
      <c r="O5633" s="27" t="n"/>
      <c r="P5633" s="27" t="n"/>
      <c r="Q5633" s="27" t="n"/>
      <c r="R5633" s="27" t="n"/>
      <c r="S5633" s="27" t="n"/>
      <c r="T5633" s="27" t="n"/>
    </row>
    <row r="5634" ht="13.8" customFormat="1" customHeight="1" s="70">
      <c r="M5634" s="27" t="n"/>
      <c r="N5634" s="27" t="n"/>
      <c r="O5634" s="27" t="n"/>
      <c r="P5634" s="27" t="n"/>
      <c r="Q5634" s="27" t="n"/>
      <c r="R5634" s="27" t="n"/>
      <c r="S5634" s="27" t="n"/>
      <c r="T5634" s="27" t="n"/>
    </row>
    <row r="5635" ht="13.8" customFormat="1" customHeight="1" s="70">
      <c r="M5635" s="27" t="n"/>
      <c r="N5635" s="27" t="n"/>
      <c r="O5635" s="27" t="n"/>
      <c r="P5635" s="27" t="n"/>
      <c r="Q5635" s="27" t="n"/>
      <c r="R5635" s="27" t="n"/>
      <c r="S5635" s="27" t="n"/>
      <c r="T5635" s="27" t="n"/>
    </row>
    <row r="5636" ht="13.8" customFormat="1" customHeight="1" s="70">
      <c r="M5636" s="27" t="n"/>
      <c r="N5636" s="27" t="n"/>
      <c r="O5636" s="27" t="n"/>
      <c r="P5636" s="27" t="n"/>
      <c r="Q5636" s="27" t="n"/>
      <c r="R5636" s="27" t="n"/>
      <c r="S5636" s="27" t="n"/>
      <c r="T5636" s="27" t="n"/>
    </row>
    <row r="5637" ht="13.8" customFormat="1" customHeight="1" s="70">
      <c r="M5637" s="27" t="n"/>
      <c r="N5637" s="27" t="n"/>
      <c r="O5637" s="27" t="n"/>
      <c r="P5637" s="27" t="n"/>
      <c r="Q5637" s="27" t="n"/>
      <c r="R5637" s="27" t="n"/>
      <c r="S5637" s="27" t="n"/>
      <c r="T5637" s="27" t="n"/>
    </row>
    <row r="5638" ht="13.8" customFormat="1" customHeight="1" s="70">
      <c r="M5638" s="27" t="n"/>
      <c r="N5638" s="27" t="n"/>
      <c r="O5638" s="27" t="n"/>
      <c r="P5638" s="27" t="n"/>
      <c r="Q5638" s="27" t="n"/>
      <c r="R5638" s="27" t="n"/>
      <c r="S5638" s="27" t="n"/>
      <c r="T5638" s="27" t="n"/>
    </row>
    <row r="5639" ht="13.8" customFormat="1" customHeight="1" s="70">
      <c r="M5639" s="27" t="n"/>
      <c r="N5639" s="27" t="n"/>
      <c r="O5639" s="27" t="n"/>
      <c r="P5639" s="27" t="n"/>
      <c r="Q5639" s="27" t="n"/>
      <c r="R5639" s="27" t="n"/>
      <c r="S5639" s="27" t="n"/>
      <c r="T5639" s="27" t="n"/>
    </row>
    <row r="5640" ht="13.8" customFormat="1" customHeight="1" s="70">
      <c r="M5640" s="27" t="n"/>
      <c r="N5640" s="27" t="n"/>
      <c r="O5640" s="27" t="n"/>
      <c r="P5640" s="27" t="n"/>
      <c r="Q5640" s="27" t="n"/>
      <c r="R5640" s="27" t="n"/>
      <c r="S5640" s="27" t="n"/>
      <c r="T5640" s="27" t="n"/>
    </row>
    <row r="5641" ht="13.8" customFormat="1" customHeight="1" s="70">
      <c r="M5641" s="27" t="n"/>
      <c r="N5641" s="27" t="n"/>
      <c r="O5641" s="27" t="n"/>
      <c r="P5641" s="27" t="n"/>
      <c r="Q5641" s="27" t="n"/>
      <c r="R5641" s="27" t="n"/>
      <c r="S5641" s="27" t="n"/>
      <c r="T5641" s="27" t="n"/>
    </row>
    <row r="5642" ht="13.8" customFormat="1" customHeight="1" s="70">
      <c r="M5642" s="27" t="n"/>
      <c r="N5642" s="27" t="n"/>
      <c r="O5642" s="27" t="n"/>
      <c r="P5642" s="27" t="n"/>
      <c r="Q5642" s="27" t="n"/>
      <c r="R5642" s="27" t="n"/>
      <c r="S5642" s="27" t="n"/>
      <c r="T5642" s="27" t="n"/>
    </row>
    <row r="5643" ht="13.8" customFormat="1" customHeight="1" s="70">
      <c r="M5643" s="27" t="n"/>
      <c r="N5643" s="27" t="n"/>
      <c r="O5643" s="27" t="n"/>
      <c r="P5643" s="27" t="n"/>
      <c r="Q5643" s="27" t="n"/>
      <c r="R5643" s="27" t="n"/>
      <c r="S5643" s="27" t="n"/>
      <c r="T5643" s="27" t="n"/>
    </row>
    <row r="5644" ht="13.8" customFormat="1" customHeight="1" s="70">
      <c r="M5644" s="27" t="n"/>
      <c r="N5644" s="27" t="n"/>
      <c r="O5644" s="27" t="n"/>
      <c r="P5644" s="27" t="n"/>
      <c r="Q5644" s="27" t="n"/>
      <c r="R5644" s="27" t="n"/>
      <c r="S5644" s="27" t="n"/>
      <c r="T5644" s="27" t="n"/>
    </row>
    <row r="5645" ht="13.8" customFormat="1" customHeight="1" s="70">
      <c r="M5645" s="27" t="n"/>
      <c r="N5645" s="27" t="n"/>
      <c r="O5645" s="27" t="n"/>
      <c r="P5645" s="27" t="n"/>
      <c r="Q5645" s="27" t="n"/>
      <c r="R5645" s="27" t="n"/>
      <c r="S5645" s="27" t="n"/>
      <c r="T5645" s="27" t="n"/>
    </row>
    <row r="5646" ht="13.8" customFormat="1" customHeight="1" s="70">
      <c r="M5646" s="27" t="n"/>
      <c r="N5646" s="27" t="n"/>
      <c r="O5646" s="27" t="n"/>
      <c r="P5646" s="27" t="n"/>
      <c r="Q5646" s="27" t="n"/>
      <c r="R5646" s="27" t="n"/>
      <c r="S5646" s="27" t="n"/>
      <c r="T5646" s="27" t="n"/>
    </row>
    <row r="5647" ht="13.8" customFormat="1" customHeight="1" s="70">
      <c r="M5647" s="27" t="n"/>
      <c r="N5647" s="27" t="n"/>
      <c r="O5647" s="27" t="n"/>
      <c r="P5647" s="27" t="n"/>
      <c r="Q5647" s="27" t="n"/>
      <c r="R5647" s="27" t="n"/>
      <c r="S5647" s="27" t="n"/>
      <c r="T5647" s="27" t="n"/>
    </row>
    <row r="5648" ht="13.8" customFormat="1" customHeight="1" s="70">
      <c r="M5648" s="27" t="n"/>
      <c r="N5648" s="27" t="n"/>
      <c r="O5648" s="27" t="n"/>
      <c r="P5648" s="27" t="n"/>
      <c r="Q5648" s="27" t="n"/>
      <c r="R5648" s="27" t="n"/>
      <c r="S5648" s="27" t="n"/>
      <c r="T5648" s="27" t="n"/>
    </row>
    <row r="5649" ht="13.8" customFormat="1" customHeight="1" s="70">
      <c r="M5649" s="27" t="n"/>
      <c r="N5649" s="27" t="n"/>
      <c r="O5649" s="27" t="n"/>
      <c r="P5649" s="27" t="n"/>
      <c r="Q5649" s="27" t="n"/>
      <c r="R5649" s="27" t="n"/>
      <c r="S5649" s="27" t="n"/>
      <c r="T5649" s="27" t="n"/>
    </row>
    <row r="5650" ht="13.8" customFormat="1" customHeight="1" s="70">
      <c r="M5650" s="27" t="n"/>
      <c r="N5650" s="27" t="n"/>
      <c r="O5650" s="27" t="n"/>
      <c r="P5650" s="27" t="n"/>
      <c r="Q5650" s="27" t="n"/>
      <c r="R5650" s="27" t="n"/>
      <c r="S5650" s="27" t="n"/>
      <c r="T5650" s="27" t="n"/>
    </row>
    <row r="5651" ht="13.8" customFormat="1" customHeight="1" s="70">
      <c r="M5651" s="27" t="n"/>
      <c r="N5651" s="27" t="n"/>
      <c r="O5651" s="27" t="n"/>
      <c r="P5651" s="27" t="n"/>
      <c r="Q5651" s="27" t="n"/>
      <c r="R5651" s="27" t="n"/>
      <c r="S5651" s="27" t="n"/>
      <c r="T5651" s="27" t="n"/>
    </row>
    <row r="5652" ht="13.8" customFormat="1" customHeight="1" s="70">
      <c r="M5652" s="27" t="n"/>
      <c r="N5652" s="27" t="n"/>
      <c r="O5652" s="27" t="n"/>
      <c r="P5652" s="27" t="n"/>
      <c r="Q5652" s="27" t="n"/>
      <c r="R5652" s="27" t="n"/>
      <c r="S5652" s="27" t="n"/>
      <c r="T5652" s="27" t="n"/>
    </row>
    <row r="5653" ht="13.8" customFormat="1" customHeight="1" s="70">
      <c r="M5653" s="27" t="n"/>
      <c r="N5653" s="27" t="n"/>
      <c r="O5653" s="27" t="n"/>
      <c r="P5653" s="27" t="n"/>
      <c r="Q5653" s="27" t="n"/>
      <c r="R5653" s="27" t="n"/>
      <c r="S5653" s="27" t="n"/>
      <c r="T5653" s="27" t="n"/>
    </row>
    <row r="5654" ht="13.8" customFormat="1" customHeight="1" s="70">
      <c r="M5654" s="27" t="n"/>
      <c r="N5654" s="27" t="n"/>
      <c r="O5654" s="27" t="n"/>
      <c r="P5654" s="27" t="n"/>
      <c r="Q5654" s="27" t="n"/>
      <c r="R5654" s="27" t="n"/>
      <c r="S5654" s="27" t="n"/>
      <c r="T5654" s="27" t="n"/>
    </row>
    <row r="5655" ht="13.8" customFormat="1" customHeight="1" s="70">
      <c r="M5655" s="27" t="n"/>
      <c r="N5655" s="27" t="n"/>
      <c r="O5655" s="27" t="n"/>
      <c r="P5655" s="27" t="n"/>
      <c r="Q5655" s="27" t="n"/>
      <c r="R5655" s="27" t="n"/>
      <c r="S5655" s="27" t="n"/>
      <c r="T5655" s="27" t="n"/>
    </row>
    <row r="5656" ht="13.8" customFormat="1" customHeight="1" s="70">
      <c r="M5656" s="27" t="n"/>
      <c r="N5656" s="27" t="n"/>
      <c r="O5656" s="27" t="n"/>
      <c r="P5656" s="27" t="n"/>
      <c r="Q5656" s="27" t="n"/>
      <c r="R5656" s="27" t="n"/>
      <c r="S5656" s="27" t="n"/>
      <c r="T5656" s="27" t="n"/>
    </row>
    <row r="5657" ht="13.8" customFormat="1" customHeight="1" s="70">
      <c r="M5657" s="27" t="n"/>
      <c r="N5657" s="27" t="n"/>
      <c r="O5657" s="27" t="n"/>
      <c r="P5657" s="27" t="n"/>
      <c r="Q5657" s="27" t="n"/>
      <c r="R5657" s="27" t="n"/>
      <c r="S5657" s="27" t="n"/>
      <c r="T5657" s="27" t="n"/>
    </row>
    <row r="5658" ht="13.8" customFormat="1" customHeight="1" s="70">
      <c r="M5658" s="27" t="n"/>
      <c r="N5658" s="27" t="n"/>
      <c r="O5658" s="27" t="n"/>
      <c r="P5658" s="27" t="n"/>
      <c r="Q5658" s="27" t="n"/>
      <c r="R5658" s="27" t="n"/>
      <c r="S5658" s="27" t="n"/>
      <c r="T5658" s="27" t="n"/>
    </row>
    <row r="5659" ht="13.8" customFormat="1" customHeight="1" s="70">
      <c r="M5659" s="27" t="n"/>
      <c r="N5659" s="27" t="n"/>
      <c r="O5659" s="27" t="n"/>
      <c r="P5659" s="27" t="n"/>
      <c r="Q5659" s="27" t="n"/>
      <c r="R5659" s="27" t="n"/>
      <c r="S5659" s="27" t="n"/>
      <c r="T5659" s="27" t="n"/>
    </row>
    <row r="5660" ht="13.8" customFormat="1" customHeight="1" s="70">
      <c r="M5660" s="27" t="n"/>
      <c r="N5660" s="27" t="n"/>
      <c r="O5660" s="27" t="n"/>
      <c r="P5660" s="27" t="n"/>
      <c r="Q5660" s="27" t="n"/>
      <c r="R5660" s="27" t="n"/>
      <c r="S5660" s="27" t="n"/>
      <c r="T5660" s="27" t="n"/>
    </row>
    <row r="5661" ht="13.8" customFormat="1" customHeight="1" s="70">
      <c r="M5661" s="27" t="n"/>
      <c r="N5661" s="27" t="n"/>
      <c r="O5661" s="27" t="n"/>
      <c r="P5661" s="27" t="n"/>
      <c r="Q5661" s="27" t="n"/>
      <c r="R5661" s="27" t="n"/>
      <c r="S5661" s="27" t="n"/>
      <c r="T5661" s="27" t="n"/>
    </row>
    <row r="5662" ht="13.8" customFormat="1" customHeight="1" s="70">
      <c r="M5662" s="27" t="n"/>
      <c r="N5662" s="27" t="n"/>
      <c r="O5662" s="27" t="n"/>
      <c r="P5662" s="27" t="n"/>
      <c r="Q5662" s="27" t="n"/>
      <c r="R5662" s="27" t="n"/>
      <c r="S5662" s="27" t="n"/>
      <c r="T5662" s="27" t="n"/>
    </row>
    <row r="5663" ht="13.8" customFormat="1" customHeight="1" s="70">
      <c r="M5663" s="27" t="n"/>
      <c r="N5663" s="27" t="n"/>
      <c r="O5663" s="27" t="n"/>
      <c r="P5663" s="27" t="n"/>
      <c r="Q5663" s="27" t="n"/>
      <c r="R5663" s="27" t="n"/>
      <c r="S5663" s="27" t="n"/>
      <c r="T5663" s="27" t="n"/>
    </row>
    <row r="5664" ht="13.8" customFormat="1" customHeight="1" s="70">
      <c r="M5664" s="27" t="n"/>
      <c r="N5664" s="27" t="n"/>
      <c r="O5664" s="27" t="n"/>
      <c r="P5664" s="27" t="n"/>
      <c r="Q5664" s="27" t="n"/>
      <c r="R5664" s="27" t="n"/>
      <c r="S5664" s="27" t="n"/>
      <c r="T5664" s="27" t="n"/>
    </row>
    <row r="5665" ht="13.8" customFormat="1" customHeight="1" s="70">
      <c r="M5665" s="27" t="n"/>
      <c r="N5665" s="27" t="n"/>
      <c r="O5665" s="27" t="n"/>
      <c r="P5665" s="27" t="n"/>
      <c r="Q5665" s="27" t="n"/>
      <c r="R5665" s="27" t="n"/>
      <c r="S5665" s="27" t="n"/>
      <c r="T5665" s="27" t="n"/>
    </row>
    <row r="5666" ht="13.8" customFormat="1" customHeight="1" s="70">
      <c r="M5666" s="27" t="n"/>
      <c r="N5666" s="27" t="n"/>
      <c r="O5666" s="27" t="n"/>
      <c r="P5666" s="27" t="n"/>
      <c r="Q5666" s="27" t="n"/>
      <c r="R5666" s="27" t="n"/>
      <c r="S5666" s="27" t="n"/>
      <c r="T5666" s="27" t="n"/>
    </row>
    <row r="5667" ht="13.8" customFormat="1" customHeight="1" s="70">
      <c r="M5667" s="27" t="n"/>
      <c r="N5667" s="27" t="n"/>
      <c r="O5667" s="27" t="n"/>
      <c r="P5667" s="27" t="n"/>
      <c r="Q5667" s="27" t="n"/>
      <c r="R5667" s="27" t="n"/>
      <c r="S5667" s="27" t="n"/>
      <c r="T5667" s="27" t="n"/>
    </row>
    <row r="5668" ht="13.8" customFormat="1" customHeight="1" s="70">
      <c r="M5668" s="27" t="n"/>
      <c r="N5668" s="27" t="n"/>
      <c r="O5668" s="27" t="n"/>
      <c r="P5668" s="27" t="n"/>
      <c r="Q5668" s="27" t="n"/>
      <c r="R5668" s="27" t="n"/>
      <c r="S5668" s="27" t="n"/>
      <c r="T5668" s="27" t="n"/>
    </row>
    <row r="5669" ht="13.8" customFormat="1" customHeight="1" s="70">
      <c r="M5669" s="27" t="n"/>
      <c r="N5669" s="27" t="n"/>
      <c r="O5669" s="27" t="n"/>
      <c r="P5669" s="27" t="n"/>
      <c r="Q5669" s="27" t="n"/>
      <c r="R5669" s="27" t="n"/>
      <c r="S5669" s="27" t="n"/>
      <c r="T5669" s="27" t="n"/>
    </row>
    <row r="5670" ht="13.8" customFormat="1" customHeight="1" s="70">
      <c r="M5670" s="27" t="n"/>
      <c r="N5670" s="27" t="n"/>
      <c r="O5670" s="27" t="n"/>
      <c r="P5670" s="27" t="n"/>
      <c r="Q5670" s="27" t="n"/>
      <c r="R5670" s="27" t="n"/>
      <c r="S5670" s="27" t="n"/>
      <c r="T5670" s="27" t="n"/>
    </row>
    <row r="5671" ht="13.8" customFormat="1" customHeight="1" s="70">
      <c r="M5671" s="27" t="n"/>
      <c r="N5671" s="27" t="n"/>
      <c r="O5671" s="27" t="n"/>
      <c r="P5671" s="27" t="n"/>
      <c r="Q5671" s="27" t="n"/>
      <c r="R5671" s="27" t="n"/>
      <c r="S5671" s="27" t="n"/>
      <c r="T5671" s="27" t="n"/>
    </row>
    <row r="5672" ht="13.8" customFormat="1" customHeight="1" s="70">
      <c r="M5672" s="27" t="n"/>
      <c r="N5672" s="27" t="n"/>
      <c r="O5672" s="27" t="n"/>
      <c r="P5672" s="27" t="n"/>
      <c r="Q5672" s="27" t="n"/>
      <c r="R5672" s="27" t="n"/>
      <c r="S5672" s="27" t="n"/>
      <c r="T5672" s="27" t="n"/>
    </row>
    <row r="5673" ht="13.8" customFormat="1" customHeight="1" s="70">
      <c r="M5673" s="27" t="n"/>
      <c r="N5673" s="27" t="n"/>
      <c r="O5673" s="27" t="n"/>
      <c r="P5673" s="27" t="n"/>
      <c r="Q5673" s="27" t="n"/>
      <c r="R5673" s="27" t="n"/>
      <c r="S5673" s="27" t="n"/>
      <c r="T5673" s="27" t="n"/>
    </row>
    <row r="5674" ht="13.8" customFormat="1" customHeight="1" s="70">
      <c r="M5674" s="27" t="n"/>
      <c r="N5674" s="27" t="n"/>
      <c r="O5674" s="27" t="n"/>
      <c r="P5674" s="27" t="n"/>
      <c r="Q5674" s="27" t="n"/>
      <c r="R5674" s="27" t="n"/>
      <c r="S5674" s="27" t="n"/>
      <c r="T5674" s="27" t="n"/>
    </row>
    <row r="5675" ht="13.8" customFormat="1" customHeight="1" s="70">
      <c r="M5675" s="27" t="n"/>
      <c r="N5675" s="27" t="n"/>
      <c r="O5675" s="27" t="n"/>
      <c r="P5675" s="27" t="n"/>
      <c r="Q5675" s="27" t="n"/>
      <c r="R5675" s="27" t="n"/>
      <c r="S5675" s="27" t="n"/>
      <c r="T5675" s="27" t="n"/>
    </row>
    <row r="5676" ht="13.8" customFormat="1" customHeight="1" s="70">
      <c r="M5676" s="27" t="n"/>
      <c r="N5676" s="27" t="n"/>
      <c r="O5676" s="27" t="n"/>
      <c r="P5676" s="27" t="n"/>
      <c r="Q5676" s="27" t="n"/>
      <c r="R5676" s="27" t="n"/>
      <c r="S5676" s="27" t="n"/>
      <c r="T5676" s="27" t="n"/>
    </row>
    <row r="5677" ht="13.8" customFormat="1" customHeight="1" s="70">
      <c r="M5677" s="27" t="n"/>
      <c r="N5677" s="27" t="n"/>
      <c r="O5677" s="27" t="n"/>
      <c r="P5677" s="27" t="n"/>
      <c r="Q5677" s="27" t="n"/>
      <c r="R5677" s="27" t="n"/>
      <c r="S5677" s="27" t="n"/>
      <c r="T5677" s="27" t="n"/>
    </row>
    <row r="5678" ht="13.8" customFormat="1" customHeight="1" s="70">
      <c r="M5678" s="27" t="n"/>
      <c r="N5678" s="27" t="n"/>
      <c r="O5678" s="27" t="n"/>
      <c r="P5678" s="27" t="n"/>
      <c r="Q5678" s="27" t="n"/>
      <c r="R5678" s="27" t="n"/>
      <c r="S5678" s="27" t="n"/>
      <c r="T5678" s="27" t="n"/>
    </row>
    <row r="5679" ht="13.8" customFormat="1" customHeight="1" s="70">
      <c r="M5679" s="27" t="n"/>
      <c r="N5679" s="27" t="n"/>
      <c r="O5679" s="27" t="n"/>
      <c r="P5679" s="27" t="n"/>
      <c r="Q5679" s="27" t="n"/>
      <c r="R5679" s="27" t="n"/>
      <c r="S5679" s="27" t="n"/>
      <c r="T5679" s="27" t="n"/>
    </row>
    <row r="5680" ht="13.8" customFormat="1" customHeight="1" s="70">
      <c r="M5680" s="27" t="n"/>
      <c r="N5680" s="27" t="n"/>
      <c r="O5680" s="27" t="n"/>
      <c r="P5680" s="27" t="n"/>
      <c r="Q5680" s="27" t="n"/>
      <c r="R5680" s="27" t="n"/>
      <c r="S5680" s="27" t="n"/>
      <c r="T5680" s="27" t="n"/>
    </row>
    <row r="5681" ht="13.8" customFormat="1" customHeight="1" s="70">
      <c r="M5681" s="27" t="n"/>
      <c r="N5681" s="27" t="n"/>
      <c r="O5681" s="27" t="n"/>
      <c r="P5681" s="27" t="n"/>
      <c r="Q5681" s="27" t="n"/>
      <c r="R5681" s="27" t="n"/>
      <c r="S5681" s="27" t="n"/>
      <c r="T5681" s="27" t="n"/>
    </row>
    <row r="5682" ht="13.8" customFormat="1" customHeight="1" s="70">
      <c r="M5682" s="27" t="n"/>
      <c r="N5682" s="27" t="n"/>
      <c r="O5682" s="27" t="n"/>
      <c r="P5682" s="27" t="n"/>
      <c r="Q5682" s="27" t="n"/>
      <c r="R5682" s="27" t="n"/>
      <c r="S5682" s="27" t="n"/>
      <c r="T5682" s="27" t="n"/>
    </row>
    <row r="5683" ht="13.8" customFormat="1" customHeight="1" s="70">
      <c r="M5683" s="27" t="n"/>
      <c r="N5683" s="27" t="n"/>
      <c r="O5683" s="27" t="n"/>
      <c r="P5683" s="27" t="n"/>
      <c r="Q5683" s="27" t="n"/>
      <c r="R5683" s="27" t="n"/>
      <c r="S5683" s="27" t="n"/>
      <c r="T5683" s="27" t="n"/>
    </row>
    <row r="5684" ht="13.8" customFormat="1" customHeight="1" s="70">
      <c r="M5684" s="27" t="n"/>
      <c r="N5684" s="27" t="n"/>
      <c r="O5684" s="27" t="n"/>
      <c r="P5684" s="27" t="n"/>
      <c r="Q5684" s="27" t="n"/>
      <c r="R5684" s="27" t="n"/>
      <c r="S5684" s="27" t="n"/>
      <c r="T5684" s="27" t="n"/>
    </row>
    <row r="5685" ht="13.8" customFormat="1" customHeight="1" s="70">
      <c r="M5685" s="27" t="n"/>
      <c r="N5685" s="27" t="n"/>
      <c r="O5685" s="27" t="n"/>
      <c r="P5685" s="27" t="n"/>
      <c r="Q5685" s="27" t="n"/>
      <c r="R5685" s="27" t="n"/>
      <c r="S5685" s="27" t="n"/>
      <c r="T5685" s="27" t="n"/>
    </row>
    <row r="5686" ht="13.8" customFormat="1" customHeight="1" s="70">
      <c r="M5686" s="27" t="n"/>
      <c r="N5686" s="27" t="n"/>
      <c r="O5686" s="27" t="n"/>
      <c r="P5686" s="27" t="n"/>
      <c r="Q5686" s="27" t="n"/>
      <c r="R5686" s="27" t="n"/>
      <c r="S5686" s="27" t="n"/>
      <c r="T5686" s="27" t="n"/>
    </row>
    <row r="5687" ht="13.8" customFormat="1" customHeight="1" s="70">
      <c r="M5687" s="27" t="n"/>
      <c r="N5687" s="27" t="n"/>
      <c r="O5687" s="27" t="n"/>
      <c r="P5687" s="27" t="n"/>
      <c r="Q5687" s="27" t="n"/>
      <c r="R5687" s="27" t="n"/>
      <c r="S5687" s="27" t="n"/>
      <c r="T5687" s="27" t="n"/>
    </row>
    <row r="5688" ht="13.8" customFormat="1" customHeight="1" s="70">
      <c r="M5688" s="27" t="n"/>
      <c r="N5688" s="27" t="n"/>
      <c r="O5688" s="27" t="n"/>
      <c r="P5688" s="27" t="n"/>
      <c r="Q5688" s="27" t="n"/>
      <c r="R5688" s="27" t="n"/>
      <c r="S5688" s="27" t="n"/>
      <c r="T5688" s="27" t="n"/>
    </row>
    <row r="5689" ht="13.8" customFormat="1" customHeight="1" s="70">
      <c r="M5689" s="27" t="n"/>
      <c r="N5689" s="27" t="n"/>
      <c r="O5689" s="27" t="n"/>
      <c r="P5689" s="27" t="n"/>
      <c r="Q5689" s="27" t="n"/>
      <c r="R5689" s="27" t="n"/>
      <c r="S5689" s="27" t="n"/>
      <c r="T5689" s="27" t="n"/>
    </row>
    <row r="5690" ht="13.8" customFormat="1" customHeight="1" s="70">
      <c r="M5690" s="27" t="n"/>
      <c r="N5690" s="27" t="n"/>
      <c r="O5690" s="27" t="n"/>
      <c r="P5690" s="27" t="n"/>
      <c r="Q5690" s="27" t="n"/>
      <c r="R5690" s="27" t="n"/>
      <c r="S5690" s="27" t="n"/>
      <c r="T5690" s="27" t="n"/>
    </row>
    <row r="5691" ht="13.8" customFormat="1" customHeight="1" s="70">
      <c r="M5691" s="27" t="n"/>
      <c r="N5691" s="27" t="n"/>
      <c r="O5691" s="27" t="n"/>
      <c r="P5691" s="27" t="n"/>
      <c r="Q5691" s="27" t="n"/>
      <c r="R5691" s="27" t="n"/>
      <c r="S5691" s="27" t="n"/>
      <c r="T5691" s="27" t="n"/>
    </row>
    <row r="5692" ht="13.8" customFormat="1" customHeight="1" s="70">
      <c r="M5692" s="27" t="n"/>
      <c r="N5692" s="27" t="n"/>
      <c r="O5692" s="27" t="n"/>
      <c r="P5692" s="27" t="n"/>
      <c r="Q5692" s="27" t="n"/>
      <c r="R5692" s="27" t="n"/>
      <c r="S5692" s="27" t="n"/>
      <c r="T5692" s="27" t="n"/>
    </row>
    <row r="5693" ht="13.8" customFormat="1" customHeight="1" s="70">
      <c r="M5693" s="27" t="n"/>
      <c r="N5693" s="27" t="n"/>
      <c r="O5693" s="27" t="n"/>
      <c r="P5693" s="27" t="n"/>
      <c r="Q5693" s="27" t="n"/>
      <c r="R5693" s="27" t="n"/>
      <c r="S5693" s="27" t="n"/>
      <c r="T5693" s="27" t="n"/>
    </row>
    <row r="5694" ht="13.8" customFormat="1" customHeight="1" s="70">
      <c r="M5694" s="27" t="n"/>
      <c r="N5694" s="27" t="n"/>
      <c r="O5694" s="27" t="n"/>
      <c r="P5694" s="27" t="n"/>
      <c r="Q5694" s="27" t="n"/>
      <c r="R5694" s="27" t="n"/>
      <c r="S5694" s="27" t="n"/>
      <c r="T5694" s="27" t="n"/>
    </row>
    <row r="5695" ht="13.8" customFormat="1" customHeight="1" s="70">
      <c r="M5695" s="27" t="n"/>
      <c r="N5695" s="27" t="n"/>
      <c r="O5695" s="27" t="n"/>
      <c r="P5695" s="27" t="n"/>
      <c r="Q5695" s="27" t="n"/>
      <c r="R5695" s="27" t="n"/>
      <c r="S5695" s="27" t="n"/>
      <c r="T5695" s="27" t="n"/>
    </row>
    <row r="5696" ht="13.8" customFormat="1" customHeight="1" s="70">
      <c r="M5696" s="27" t="n"/>
      <c r="N5696" s="27" t="n"/>
      <c r="O5696" s="27" t="n"/>
      <c r="P5696" s="27" t="n"/>
      <c r="Q5696" s="27" t="n"/>
      <c r="R5696" s="27" t="n"/>
      <c r="S5696" s="27" t="n"/>
      <c r="T5696" s="27" t="n"/>
    </row>
    <row r="5697" ht="13.8" customFormat="1" customHeight="1" s="70">
      <c r="M5697" s="27" t="n"/>
      <c r="N5697" s="27" t="n"/>
      <c r="O5697" s="27" t="n"/>
      <c r="P5697" s="27" t="n"/>
      <c r="Q5697" s="27" t="n"/>
      <c r="R5697" s="27" t="n"/>
      <c r="S5697" s="27" t="n"/>
      <c r="T5697" s="27" t="n"/>
    </row>
    <row r="5698" ht="13.8" customFormat="1" customHeight="1" s="70">
      <c r="M5698" s="27" t="n"/>
      <c r="N5698" s="27" t="n"/>
      <c r="O5698" s="27" t="n"/>
      <c r="P5698" s="27" t="n"/>
      <c r="Q5698" s="27" t="n"/>
      <c r="R5698" s="27" t="n"/>
      <c r="S5698" s="27" t="n"/>
      <c r="T5698" s="27" t="n"/>
    </row>
    <row r="5699" ht="13.8" customFormat="1" customHeight="1" s="70">
      <c r="M5699" s="27" t="n"/>
      <c r="N5699" s="27" t="n"/>
      <c r="O5699" s="27" t="n"/>
      <c r="P5699" s="27" t="n"/>
      <c r="Q5699" s="27" t="n"/>
      <c r="R5699" s="27" t="n"/>
      <c r="S5699" s="27" t="n"/>
      <c r="T5699" s="27" t="n"/>
    </row>
    <row r="5700" ht="13.8" customFormat="1" customHeight="1" s="70">
      <c r="M5700" s="27" t="n"/>
      <c r="N5700" s="27" t="n"/>
      <c r="O5700" s="27" t="n"/>
      <c r="P5700" s="27" t="n"/>
      <c r="Q5700" s="27" t="n"/>
      <c r="R5700" s="27" t="n"/>
      <c r="S5700" s="27" t="n"/>
      <c r="T5700" s="27" t="n"/>
    </row>
    <row r="5701" ht="13.8" customFormat="1" customHeight="1" s="70">
      <c r="M5701" s="27" t="n"/>
      <c r="N5701" s="27" t="n"/>
      <c r="O5701" s="27" t="n"/>
      <c r="P5701" s="27" t="n"/>
      <c r="Q5701" s="27" t="n"/>
      <c r="R5701" s="27" t="n"/>
      <c r="S5701" s="27" t="n"/>
      <c r="T5701" s="27" t="n"/>
    </row>
    <row r="5702" ht="13.8" customFormat="1" customHeight="1" s="70">
      <c r="M5702" s="27" t="n"/>
      <c r="N5702" s="27" t="n"/>
      <c r="O5702" s="27" t="n"/>
      <c r="P5702" s="27" t="n"/>
      <c r="Q5702" s="27" t="n"/>
      <c r="R5702" s="27" t="n"/>
      <c r="S5702" s="27" t="n"/>
      <c r="T5702" s="27" t="n"/>
    </row>
    <row r="5703" ht="13.8" customFormat="1" customHeight="1" s="70">
      <c r="M5703" s="27" t="n"/>
      <c r="N5703" s="27" t="n"/>
      <c r="O5703" s="27" t="n"/>
      <c r="P5703" s="27" t="n"/>
      <c r="Q5703" s="27" t="n"/>
      <c r="R5703" s="27" t="n"/>
      <c r="S5703" s="27" t="n"/>
      <c r="T5703" s="27" t="n"/>
    </row>
    <row r="5704" ht="13.8" customFormat="1" customHeight="1" s="70">
      <c r="M5704" s="27" t="n"/>
      <c r="N5704" s="27" t="n"/>
      <c r="O5704" s="27" t="n"/>
      <c r="P5704" s="27" t="n"/>
      <c r="Q5704" s="27" t="n"/>
      <c r="R5704" s="27" t="n"/>
      <c r="S5704" s="27" t="n"/>
      <c r="T5704" s="27" t="n"/>
    </row>
    <row r="5705" ht="13.8" customFormat="1" customHeight="1" s="70">
      <c r="M5705" s="27" t="n"/>
      <c r="N5705" s="27" t="n"/>
      <c r="O5705" s="27" t="n"/>
      <c r="P5705" s="27" t="n"/>
      <c r="Q5705" s="27" t="n"/>
      <c r="R5705" s="27" t="n"/>
      <c r="S5705" s="27" t="n"/>
      <c r="T5705" s="27" t="n"/>
    </row>
    <row r="5706" ht="13.8" customFormat="1" customHeight="1" s="70">
      <c r="M5706" s="27" t="n"/>
      <c r="N5706" s="27" t="n"/>
      <c r="O5706" s="27" t="n"/>
      <c r="P5706" s="27" t="n"/>
      <c r="Q5706" s="27" t="n"/>
      <c r="R5706" s="27" t="n"/>
      <c r="S5706" s="27" t="n"/>
      <c r="T5706" s="27" t="n"/>
    </row>
    <row r="5707" ht="13.8" customFormat="1" customHeight="1" s="70">
      <c r="M5707" s="27" t="n"/>
      <c r="N5707" s="27" t="n"/>
      <c r="O5707" s="27" t="n"/>
      <c r="P5707" s="27" t="n"/>
      <c r="Q5707" s="27" t="n"/>
      <c r="R5707" s="27" t="n"/>
      <c r="S5707" s="27" t="n"/>
      <c r="T5707" s="27" t="n"/>
    </row>
    <row r="5708" ht="13.8" customFormat="1" customHeight="1" s="70">
      <c r="M5708" s="27" t="n"/>
      <c r="N5708" s="27" t="n"/>
      <c r="O5708" s="27" t="n"/>
      <c r="P5708" s="27" t="n"/>
      <c r="Q5708" s="27" t="n"/>
      <c r="R5708" s="27" t="n"/>
      <c r="S5708" s="27" t="n"/>
      <c r="T5708" s="27" t="n"/>
    </row>
    <row r="5709" ht="13.8" customFormat="1" customHeight="1" s="70">
      <c r="M5709" s="27" t="n"/>
      <c r="N5709" s="27" t="n"/>
      <c r="O5709" s="27" t="n"/>
      <c r="P5709" s="27" t="n"/>
      <c r="Q5709" s="27" t="n"/>
      <c r="R5709" s="27" t="n"/>
      <c r="S5709" s="27" t="n"/>
      <c r="T5709" s="27" t="n"/>
    </row>
    <row r="5710" ht="13.8" customFormat="1" customHeight="1" s="70">
      <c r="M5710" s="27" t="n"/>
      <c r="N5710" s="27" t="n"/>
      <c r="O5710" s="27" t="n"/>
      <c r="P5710" s="27" t="n"/>
      <c r="Q5710" s="27" t="n"/>
      <c r="R5710" s="27" t="n"/>
      <c r="S5710" s="27" t="n"/>
      <c r="T5710" s="27" t="n"/>
    </row>
    <row r="5711" ht="13.8" customFormat="1" customHeight="1" s="70">
      <c r="M5711" s="27" t="n"/>
      <c r="N5711" s="27" t="n"/>
      <c r="O5711" s="27" t="n"/>
      <c r="P5711" s="27" t="n"/>
      <c r="Q5711" s="27" t="n"/>
      <c r="R5711" s="27" t="n"/>
      <c r="S5711" s="27" t="n"/>
      <c r="T5711" s="27" t="n"/>
    </row>
    <row r="5712" ht="13.8" customFormat="1" customHeight="1" s="70">
      <c r="M5712" s="27" t="n"/>
      <c r="N5712" s="27" t="n"/>
      <c r="O5712" s="27" t="n"/>
      <c r="P5712" s="27" t="n"/>
      <c r="Q5712" s="27" t="n"/>
      <c r="R5712" s="27" t="n"/>
      <c r="S5712" s="27" t="n"/>
      <c r="T5712" s="27" t="n"/>
    </row>
    <row r="5713" ht="13.8" customFormat="1" customHeight="1" s="70">
      <c r="M5713" s="27" t="n"/>
      <c r="N5713" s="27" t="n"/>
      <c r="O5713" s="27" t="n"/>
      <c r="P5713" s="27" t="n"/>
      <c r="Q5713" s="27" t="n"/>
      <c r="R5713" s="27" t="n"/>
      <c r="S5713" s="27" t="n"/>
      <c r="T5713" s="27" t="n"/>
    </row>
    <row r="5714" ht="13.8" customFormat="1" customHeight="1" s="70">
      <c r="M5714" s="27" t="n"/>
      <c r="N5714" s="27" t="n"/>
      <c r="O5714" s="27" t="n"/>
      <c r="P5714" s="27" t="n"/>
      <c r="Q5714" s="27" t="n"/>
      <c r="R5714" s="27" t="n"/>
      <c r="S5714" s="27" t="n"/>
      <c r="T5714" s="27" t="n"/>
    </row>
    <row r="5715" ht="13.8" customFormat="1" customHeight="1" s="70">
      <c r="M5715" s="27" t="n"/>
      <c r="N5715" s="27" t="n"/>
      <c r="O5715" s="27" t="n"/>
      <c r="P5715" s="27" t="n"/>
      <c r="Q5715" s="27" t="n"/>
      <c r="R5715" s="27" t="n"/>
      <c r="S5715" s="27" t="n"/>
      <c r="T5715" s="27" t="n"/>
    </row>
    <row r="5716" ht="13.8" customFormat="1" customHeight="1" s="70">
      <c r="M5716" s="27" t="n"/>
      <c r="N5716" s="27" t="n"/>
      <c r="O5716" s="27" t="n"/>
      <c r="P5716" s="27" t="n"/>
      <c r="Q5716" s="27" t="n"/>
      <c r="R5716" s="27" t="n"/>
      <c r="S5716" s="27" t="n"/>
      <c r="T5716" s="27" t="n"/>
    </row>
    <row r="5717" ht="13.8" customFormat="1" customHeight="1" s="70">
      <c r="M5717" s="27" t="n"/>
      <c r="N5717" s="27" t="n"/>
      <c r="O5717" s="27" t="n"/>
      <c r="P5717" s="27" t="n"/>
      <c r="Q5717" s="27" t="n"/>
      <c r="R5717" s="27" t="n"/>
      <c r="S5717" s="27" t="n"/>
      <c r="T5717" s="27" t="n"/>
    </row>
    <row r="5718" ht="13.8" customFormat="1" customHeight="1" s="70">
      <c r="M5718" s="27" t="n"/>
      <c r="N5718" s="27" t="n"/>
      <c r="O5718" s="27" t="n"/>
      <c r="P5718" s="27" t="n"/>
      <c r="Q5718" s="27" t="n"/>
      <c r="R5718" s="27" t="n"/>
      <c r="S5718" s="27" t="n"/>
      <c r="T5718" s="27" t="n"/>
    </row>
    <row r="5719" ht="13.8" customFormat="1" customHeight="1" s="70">
      <c r="M5719" s="27" t="n"/>
      <c r="N5719" s="27" t="n"/>
      <c r="O5719" s="27" t="n"/>
      <c r="P5719" s="27" t="n"/>
      <c r="Q5719" s="27" t="n"/>
      <c r="R5719" s="27" t="n"/>
      <c r="S5719" s="27" t="n"/>
      <c r="T5719" s="27" t="n"/>
    </row>
    <row r="5720" ht="13.8" customFormat="1" customHeight="1" s="70">
      <c r="M5720" s="27" t="n"/>
      <c r="N5720" s="27" t="n"/>
      <c r="O5720" s="27" t="n"/>
      <c r="P5720" s="27" t="n"/>
      <c r="Q5720" s="27" t="n"/>
      <c r="R5720" s="27" t="n"/>
      <c r="S5720" s="27" t="n"/>
      <c r="T5720" s="27" t="n"/>
    </row>
    <row r="5721" ht="13.8" customFormat="1" customHeight="1" s="70">
      <c r="M5721" s="27" t="n"/>
      <c r="N5721" s="27" t="n"/>
      <c r="O5721" s="27" t="n"/>
      <c r="P5721" s="27" t="n"/>
      <c r="Q5721" s="27" t="n"/>
      <c r="R5721" s="27" t="n"/>
      <c r="S5721" s="27" t="n"/>
      <c r="T5721" s="27" t="n"/>
    </row>
    <row r="5722" ht="13.8" customFormat="1" customHeight="1" s="70">
      <c r="M5722" s="27" t="n"/>
      <c r="N5722" s="27" t="n"/>
      <c r="O5722" s="27" t="n"/>
      <c r="P5722" s="27" t="n"/>
      <c r="Q5722" s="27" t="n"/>
      <c r="R5722" s="27" t="n"/>
      <c r="S5722" s="27" t="n"/>
      <c r="T5722" s="27" t="n"/>
    </row>
    <row r="5723" ht="13.8" customFormat="1" customHeight="1" s="70">
      <c r="M5723" s="27" t="n"/>
      <c r="N5723" s="27" t="n"/>
      <c r="O5723" s="27" t="n"/>
      <c r="P5723" s="27" t="n"/>
      <c r="Q5723" s="27" t="n"/>
      <c r="R5723" s="27" t="n"/>
      <c r="S5723" s="27" t="n"/>
      <c r="T5723" s="27" t="n"/>
    </row>
    <row r="5724" ht="13.8" customFormat="1" customHeight="1" s="70">
      <c r="M5724" s="27" t="n"/>
      <c r="N5724" s="27" t="n"/>
      <c r="O5724" s="27" t="n"/>
      <c r="P5724" s="27" t="n"/>
      <c r="Q5724" s="27" t="n"/>
      <c r="R5724" s="27" t="n"/>
      <c r="S5724" s="27" t="n"/>
      <c r="T5724" s="27" t="n"/>
    </row>
    <row r="5725" ht="13.8" customFormat="1" customHeight="1" s="70">
      <c r="M5725" s="27" t="n"/>
      <c r="N5725" s="27" t="n"/>
      <c r="O5725" s="27" t="n"/>
      <c r="P5725" s="27" t="n"/>
      <c r="Q5725" s="27" t="n"/>
      <c r="R5725" s="27" t="n"/>
      <c r="S5725" s="27" t="n"/>
      <c r="T5725" s="27" t="n"/>
    </row>
    <row r="5726" ht="13.8" customFormat="1" customHeight="1" s="70">
      <c r="M5726" s="27" t="n"/>
      <c r="N5726" s="27" t="n"/>
      <c r="O5726" s="27" t="n"/>
      <c r="P5726" s="27" t="n"/>
      <c r="Q5726" s="27" t="n"/>
      <c r="R5726" s="27" t="n"/>
      <c r="S5726" s="27" t="n"/>
      <c r="T5726" s="27" t="n"/>
    </row>
    <row r="5727" ht="13.8" customFormat="1" customHeight="1" s="70">
      <c r="M5727" s="27" t="n"/>
      <c r="N5727" s="27" t="n"/>
      <c r="O5727" s="27" t="n"/>
      <c r="P5727" s="27" t="n"/>
      <c r="Q5727" s="27" t="n"/>
      <c r="R5727" s="27" t="n"/>
      <c r="S5727" s="27" t="n"/>
      <c r="T5727" s="27" t="n"/>
    </row>
    <row r="5728" ht="13.8" customFormat="1" customHeight="1" s="70">
      <c r="M5728" s="27" t="n"/>
      <c r="N5728" s="27" t="n"/>
      <c r="O5728" s="27" t="n"/>
      <c r="P5728" s="27" t="n"/>
      <c r="Q5728" s="27" t="n"/>
      <c r="R5728" s="27" t="n"/>
      <c r="S5728" s="27" t="n"/>
      <c r="T5728" s="27" t="n"/>
    </row>
    <row r="5729" ht="13.8" customFormat="1" customHeight="1" s="70">
      <c r="M5729" s="27" t="n"/>
      <c r="N5729" s="27" t="n"/>
      <c r="O5729" s="27" t="n"/>
      <c r="P5729" s="27" t="n"/>
      <c r="Q5729" s="27" t="n"/>
      <c r="R5729" s="27" t="n"/>
      <c r="S5729" s="27" t="n"/>
      <c r="T5729" s="27" t="n"/>
    </row>
    <row r="5730" ht="13.8" customFormat="1" customHeight="1" s="70">
      <c r="M5730" s="27" t="n"/>
      <c r="N5730" s="27" t="n"/>
      <c r="O5730" s="27" t="n"/>
      <c r="P5730" s="27" t="n"/>
      <c r="Q5730" s="27" t="n"/>
      <c r="R5730" s="27" t="n"/>
      <c r="S5730" s="27" t="n"/>
      <c r="T5730" s="27" t="n"/>
    </row>
    <row r="5731" ht="13.8" customFormat="1" customHeight="1" s="70">
      <c r="M5731" s="27" t="n"/>
      <c r="N5731" s="27" t="n"/>
      <c r="O5731" s="27" t="n"/>
      <c r="P5731" s="27" t="n"/>
      <c r="Q5731" s="27" t="n"/>
      <c r="R5731" s="27" t="n"/>
      <c r="S5731" s="27" t="n"/>
      <c r="T5731" s="27" t="n"/>
    </row>
    <row r="5732" ht="13.8" customFormat="1" customHeight="1" s="70">
      <c r="M5732" s="27" t="n"/>
      <c r="N5732" s="27" t="n"/>
      <c r="O5732" s="27" t="n"/>
      <c r="P5732" s="27" t="n"/>
      <c r="Q5732" s="27" t="n"/>
      <c r="R5732" s="27" t="n"/>
      <c r="S5732" s="27" t="n"/>
      <c r="T5732" s="27" t="n"/>
    </row>
    <row r="5733" ht="13.8" customFormat="1" customHeight="1" s="70">
      <c r="M5733" s="27" t="n"/>
      <c r="N5733" s="27" t="n"/>
      <c r="O5733" s="27" t="n"/>
      <c r="P5733" s="27" t="n"/>
      <c r="Q5733" s="27" t="n"/>
      <c r="R5733" s="27" t="n"/>
      <c r="S5733" s="27" t="n"/>
      <c r="T5733" s="27" t="n"/>
    </row>
    <row r="5734" ht="13.8" customFormat="1" customHeight="1" s="70">
      <c r="M5734" s="27" t="n"/>
      <c r="N5734" s="27" t="n"/>
      <c r="O5734" s="27" t="n"/>
      <c r="P5734" s="27" t="n"/>
      <c r="Q5734" s="27" t="n"/>
      <c r="R5734" s="27" t="n"/>
      <c r="S5734" s="27" t="n"/>
      <c r="T5734" s="27" t="n"/>
    </row>
    <row r="5735" ht="13.8" customFormat="1" customHeight="1" s="70">
      <c r="M5735" s="27" t="n"/>
      <c r="N5735" s="27" t="n"/>
      <c r="O5735" s="27" t="n"/>
      <c r="P5735" s="27" t="n"/>
      <c r="Q5735" s="27" t="n"/>
      <c r="R5735" s="27" t="n"/>
      <c r="S5735" s="27" t="n"/>
      <c r="T5735" s="27" t="n"/>
    </row>
    <row r="5736" ht="13.8" customFormat="1" customHeight="1" s="70">
      <c r="M5736" s="27" t="n"/>
      <c r="N5736" s="27" t="n"/>
      <c r="O5736" s="27" t="n"/>
      <c r="P5736" s="27" t="n"/>
      <c r="Q5736" s="27" t="n"/>
      <c r="R5736" s="27" t="n"/>
      <c r="S5736" s="27" t="n"/>
      <c r="T5736" s="27" t="n"/>
    </row>
    <row r="5737" ht="13.8" customFormat="1" customHeight="1" s="70">
      <c r="M5737" s="27" t="n"/>
      <c r="N5737" s="27" t="n"/>
      <c r="O5737" s="27" t="n"/>
      <c r="P5737" s="27" t="n"/>
      <c r="Q5737" s="27" t="n"/>
      <c r="R5737" s="27" t="n"/>
      <c r="S5737" s="27" t="n"/>
      <c r="T5737" s="27" t="n"/>
    </row>
    <row r="5738" ht="13.8" customFormat="1" customHeight="1" s="70">
      <c r="M5738" s="27" t="n"/>
      <c r="N5738" s="27" t="n"/>
      <c r="O5738" s="27" t="n"/>
      <c r="P5738" s="27" t="n"/>
      <c r="Q5738" s="27" t="n"/>
      <c r="R5738" s="27" t="n"/>
      <c r="S5738" s="27" t="n"/>
      <c r="T5738" s="27" t="n"/>
    </row>
    <row r="5739" ht="13.8" customFormat="1" customHeight="1" s="70">
      <c r="M5739" s="27" t="n"/>
      <c r="N5739" s="27" t="n"/>
      <c r="O5739" s="27" t="n"/>
      <c r="P5739" s="27" t="n"/>
      <c r="Q5739" s="27" t="n"/>
      <c r="R5739" s="27" t="n"/>
      <c r="S5739" s="27" t="n"/>
      <c r="T5739" s="27" t="n"/>
    </row>
    <row r="5740" ht="13.8" customFormat="1" customHeight="1" s="70">
      <c r="M5740" s="27" t="n"/>
      <c r="N5740" s="27" t="n"/>
      <c r="O5740" s="27" t="n"/>
      <c r="P5740" s="27" t="n"/>
      <c r="Q5740" s="27" t="n"/>
      <c r="R5740" s="27" t="n"/>
      <c r="S5740" s="27" t="n"/>
      <c r="T5740" s="27" t="n"/>
    </row>
    <row r="5741" ht="13.8" customFormat="1" customHeight="1" s="70">
      <c r="M5741" s="27" t="n"/>
      <c r="N5741" s="27" t="n"/>
      <c r="O5741" s="27" t="n"/>
      <c r="P5741" s="27" t="n"/>
      <c r="Q5741" s="27" t="n"/>
      <c r="R5741" s="27" t="n"/>
      <c r="S5741" s="27" t="n"/>
      <c r="T5741" s="27" t="n"/>
    </row>
    <row r="5742" ht="13.8" customFormat="1" customHeight="1" s="70">
      <c r="M5742" s="27" t="n"/>
      <c r="N5742" s="27" t="n"/>
      <c r="O5742" s="27" t="n"/>
      <c r="P5742" s="27" t="n"/>
      <c r="Q5742" s="27" t="n"/>
      <c r="R5742" s="27" t="n"/>
      <c r="S5742" s="27" t="n"/>
      <c r="T5742" s="27" t="n"/>
    </row>
    <row r="5743" ht="13.8" customFormat="1" customHeight="1" s="70">
      <c r="M5743" s="27" t="n"/>
      <c r="N5743" s="27" t="n"/>
      <c r="O5743" s="27" t="n"/>
      <c r="P5743" s="27" t="n"/>
      <c r="Q5743" s="27" t="n"/>
      <c r="R5743" s="27" t="n"/>
      <c r="S5743" s="27" t="n"/>
      <c r="T5743" s="27" t="n"/>
    </row>
    <row r="5744" ht="13.8" customFormat="1" customHeight="1" s="70">
      <c r="M5744" s="27" t="n"/>
      <c r="N5744" s="27" t="n"/>
      <c r="O5744" s="27" t="n"/>
      <c r="P5744" s="27" t="n"/>
      <c r="Q5744" s="27" t="n"/>
      <c r="R5744" s="27" t="n"/>
      <c r="S5744" s="27" t="n"/>
      <c r="T5744" s="27" t="n"/>
    </row>
    <row r="5745" ht="13.8" customFormat="1" customHeight="1" s="70">
      <c r="M5745" s="27" t="n"/>
      <c r="N5745" s="27" t="n"/>
      <c r="O5745" s="27" t="n"/>
      <c r="P5745" s="27" t="n"/>
      <c r="Q5745" s="27" t="n"/>
      <c r="R5745" s="27" t="n"/>
      <c r="S5745" s="27" t="n"/>
      <c r="T5745" s="27" t="n"/>
    </row>
    <row r="5746" ht="13.8" customFormat="1" customHeight="1" s="70">
      <c r="M5746" s="27" t="n"/>
      <c r="N5746" s="27" t="n"/>
      <c r="O5746" s="27" t="n"/>
      <c r="P5746" s="27" t="n"/>
      <c r="Q5746" s="27" t="n"/>
      <c r="R5746" s="27" t="n"/>
      <c r="S5746" s="27" t="n"/>
      <c r="T5746" s="27" t="n"/>
    </row>
    <row r="5747" ht="13.8" customFormat="1" customHeight="1" s="70">
      <c r="M5747" s="27" t="n"/>
      <c r="N5747" s="27" t="n"/>
      <c r="O5747" s="27" t="n"/>
      <c r="P5747" s="27" t="n"/>
      <c r="Q5747" s="27" t="n"/>
      <c r="R5747" s="27" t="n"/>
      <c r="S5747" s="27" t="n"/>
      <c r="T5747" s="27" t="n"/>
    </row>
    <row r="5748" ht="13.8" customFormat="1" customHeight="1" s="70">
      <c r="M5748" s="27" t="n"/>
      <c r="N5748" s="27" t="n"/>
      <c r="O5748" s="27" t="n"/>
      <c r="P5748" s="27" t="n"/>
      <c r="Q5748" s="27" t="n"/>
      <c r="R5748" s="27" t="n"/>
      <c r="S5748" s="27" t="n"/>
      <c r="T5748" s="27" t="n"/>
    </row>
    <row r="5749" ht="13.8" customFormat="1" customHeight="1" s="70">
      <c r="M5749" s="27" t="n"/>
      <c r="N5749" s="27" t="n"/>
      <c r="O5749" s="27" t="n"/>
      <c r="P5749" s="27" t="n"/>
      <c r="Q5749" s="27" t="n"/>
      <c r="R5749" s="27" t="n"/>
      <c r="S5749" s="27" t="n"/>
      <c r="T5749" s="27" t="n"/>
    </row>
    <row r="5750" ht="13.8" customFormat="1" customHeight="1" s="70">
      <c r="M5750" s="27" t="n"/>
      <c r="N5750" s="27" t="n"/>
      <c r="O5750" s="27" t="n"/>
      <c r="P5750" s="27" t="n"/>
      <c r="Q5750" s="27" t="n"/>
      <c r="R5750" s="27" t="n"/>
      <c r="S5750" s="27" t="n"/>
      <c r="T5750" s="27" t="n"/>
    </row>
    <row r="5751" ht="13.8" customFormat="1" customHeight="1" s="70">
      <c r="M5751" s="27" t="n"/>
      <c r="N5751" s="27" t="n"/>
      <c r="O5751" s="27" t="n"/>
      <c r="P5751" s="27" t="n"/>
      <c r="Q5751" s="27" t="n"/>
      <c r="R5751" s="27" t="n"/>
      <c r="S5751" s="27" t="n"/>
      <c r="T5751" s="27" t="n"/>
    </row>
    <row r="5752" ht="13.8" customFormat="1" customHeight="1" s="70">
      <c r="M5752" s="27" t="n"/>
      <c r="N5752" s="27" t="n"/>
      <c r="O5752" s="27" t="n"/>
      <c r="P5752" s="27" t="n"/>
      <c r="Q5752" s="27" t="n"/>
      <c r="R5752" s="27" t="n"/>
      <c r="S5752" s="27" t="n"/>
      <c r="T5752" s="27" t="n"/>
    </row>
    <row r="5753" ht="13.8" customFormat="1" customHeight="1" s="70">
      <c r="M5753" s="27" t="n"/>
      <c r="N5753" s="27" t="n"/>
      <c r="O5753" s="27" t="n"/>
      <c r="P5753" s="27" t="n"/>
      <c r="Q5753" s="27" t="n"/>
      <c r="R5753" s="27" t="n"/>
      <c r="S5753" s="27" t="n"/>
      <c r="T5753" s="27" t="n"/>
    </row>
    <row r="5754" ht="13.8" customFormat="1" customHeight="1" s="70">
      <c r="M5754" s="27" t="n"/>
      <c r="N5754" s="27" t="n"/>
      <c r="O5754" s="27" t="n"/>
      <c r="P5754" s="27" t="n"/>
      <c r="Q5754" s="27" t="n"/>
      <c r="R5754" s="27" t="n"/>
      <c r="S5754" s="27" t="n"/>
      <c r="T5754" s="27" t="n"/>
    </row>
    <row r="5755" ht="13.8" customFormat="1" customHeight="1" s="70">
      <c r="M5755" s="27" t="n"/>
      <c r="N5755" s="27" t="n"/>
      <c r="O5755" s="27" t="n"/>
      <c r="P5755" s="27" t="n"/>
      <c r="Q5755" s="27" t="n"/>
      <c r="R5755" s="27" t="n"/>
      <c r="S5755" s="27" t="n"/>
      <c r="T5755" s="27" t="n"/>
    </row>
    <row r="5756" ht="13.8" customFormat="1" customHeight="1" s="70">
      <c r="M5756" s="27" t="n"/>
      <c r="N5756" s="27" t="n"/>
      <c r="O5756" s="27" t="n"/>
      <c r="P5756" s="27" t="n"/>
      <c r="Q5756" s="27" t="n"/>
      <c r="R5756" s="27" t="n"/>
      <c r="S5756" s="27" t="n"/>
      <c r="T5756" s="27" t="n"/>
    </row>
    <row r="5757" ht="13.8" customFormat="1" customHeight="1" s="70">
      <c r="M5757" s="27" t="n"/>
      <c r="N5757" s="27" t="n"/>
      <c r="O5757" s="27" t="n"/>
      <c r="P5757" s="27" t="n"/>
      <c r="Q5757" s="27" t="n"/>
      <c r="R5757" s="27" t="n"/>
      <c r="S5757" s="27" t="n"/>
      <c r="T5757" s="27" t="n"/>
    </row>
    <row r="5758" ht="13.8" customFormat="1" customHeight="1" s="70">
      <c r="M5758" s="27" t="n"/>
      <c r="N5758" s="27" t="n"/>
      <c r="O5758" s="27" t="n"/>
      <c r="P5758" s="27" t="n"/>
      <c r="Q5758" s="27" t="n"/>
      <c r="R5758" s="27" t="n"/>
      <c r="S5758" s="27" t="n"/>
      <c r="T5758" s="27" t="n"/>
    </row>
    <row r="5759" ht="13.8" customFormat="1" customHeight="1" s="70">
      <c r="M5759" s="27" t="n"/>
      <c r="N5759" s="27" t="n"/>
      <c r="O5759" s="27" t="n"/>
      <c r="P5759" s="27" t="n"/>
      <c r="Q5759" s="27" t="n"/>
      <c r="R5759" s="27" t="n"/>
      <c r="S5759" s="27" t="n"/>
      <c r="T5759" s="27" t="n"/>
    </row>
    <row r="5760" ht="13.8" customFormat="1" customHeight="1" s="70">
      <c r="M5760" s="27" t="n"/>
      <c r="N5760" s="27" t="n"/>
      <c r="O5760" s="27" t="n"/>
      <c r="P5760" s="27" t="n"/>
      <c r="Q5760" s="27" t="n"/>
      <c r="R5760" s="27" t="n"/>
      <c r="S5760" s="27" t="n"/>
      <c r="T5760" s="27" t="n"/>
    </row>
    <row r="5761" ht="13.8" customFormat="1" customHeight="1" s="70">
      <c r="M5761" s="27" t="n"/>
      <c r="N5761" s="27" t="n"/>
      <c r="O5761" s="27" t="n"/>
      <c r="P5761" s="27" t="n"/>
      <c r="Q5761" s="27" t="n"/>
      <c r="R5761" s="27" t="n"/>
      <c r="S5761" s="27" t="n"/>
      <c r="T5761" s="27" t="n"/>
    </row>
    <row r="5762" ht="13.8" customFormat="1" customHeight="1" s="70">
      <c r="M5762" s="27" t="n"/>
      <c r="N5762" s="27" t="n"/>
      <c r="O5762" s="27" t="n"/>
      <c r="P5762" s="27" t="n"/>
      <c r="Q5762" s="27" t="n"/>
      <c r="R5762" s="27" t="n"/>
      <c r="S5762" s="27" t="n"/>
      <c r="T5762" s="27" t="n"/>
    </row>
    <row r="5763" ht="13.8" customFormat="1" customHeight="1" s="70">
      <c r="M5763" s="27" t="n"/>
      <c r="N5763" s="27" t="n"/>
      <c r="O5763" s="27" t="n"/>
      <c r="P5763" s="27" t="n"/>
      <c r="Q5763" s="27" t="n"/>
      <c r="R5763" s="27" t="n"/>
      <c r="S5763" s="27" t="n"/>
      <c r="T5763" s="27" t="n"/>
    </row>
    <row r="5764" ht="13.8" customFormat="1" customHeight="1" s="70">
      <c r="M5764" s="27" t="n"/>
      <c r="N5764" s="27" t="n"/>
      <c r="O5764" s="27" t="n"/>
      <c r="P5764" s="27" t="n"/>
      <c r="Q5764" s="27" t="n"/>
      <c r="R5764" s="27" t="n"/>
      <c r="S5764" s="27" t="n"/>
      <c r="T5764" s="27" t="n"/>
    </row>
    <row r="5765" ht="13.8" customFormat="1" customHeight="1" s="70">
      <c r="M5765" s="27" t="n"/>
      <c r="N5765" s="27" t="n"/>
      <c r="O5765" s="27" t="n"/>
      <c r="P5765" s="27" t="n"/>
      <c r="Q5765" s="27" t="n"/>
      <c r="R5765" s="27" t="n"/>
      <c r="S5765" s="27" t="n"/>
      <c r="T5765" s="27" t="n"/>
    </row>
    <row r="5766" ht="13.8" customFormat="1" customHeight="1" s="70">
      <c r="M5766" s="27" t="n"/>
      <c r="N5766" s="27" t="n"/>
      <c r="O5766" s="27" t="n"/>
      <c r="P5766" s="27" t="n"/>
      <c r="Q5766" s="27" t="n"/>
      <c r="R5766" s="27" t="n"/>
      <c r="S5766" s="27" t="n"/>
      <c r="T5766" s="27" t="n"/>
    </row>
    <row r="5767" ht="13.8" customFormat="1" customHeight="1" s="70">
      <c r="M5767" s="27" t="n"/>
      <c r="N5767" s="27" t="n"/>
      <c r="O5767" s="27" t="n"/>
      <c r="P5767" s="27" t="n"/>
      <c r="Q5767" s="27" t="n"/>
      <c r="R5767" s="27" t="n"/>
      <c r="S5767" s="27" t="n"/>
      <c r="T5767" s="27" t="n"/>
    </row>
    <row r="5768" ht="13.8" customFormat="1" customHeight="1" s="70">
      <c r="M5768" s="27" t="n"/>
      <c r="N5768" s="27" t="n"/>
      <c r="O5768" s="27" t="n"/>
      <c r="P5768" s="27" t="n"/>
      <c r="Q5768" s="27" t="n"/>
      <c r="R5768" s="27" t="n"/>
      <c r="S5768" s="27" t="n"/>
      <c r="T5768" s="27" t="n"/>
    </row>
    <row r="5769" ht="13.8" customFormat="1" customHeight="1" s="70">
      <c r="M5769" s="27" t="n"/>
      <c r="N5769" s="27" t="n"/>
      <c r="O5769" s="27" t="n"/>
      <c r="P5769" s="27" t="n"/>
      <c r="Q5769" s="27" t="n"/>
      <c r="R5769" s="27" t="n"/>
      <c r="S5769" s="27" t="n"/>
      <c r="T5769" s="27" t="n"/>
    </row>
    <row r="5770" ht="13.8" customFormat="1" customHeight="1" s="70">
      <c r="M5770" s="27" t="n"/>
      <c r="N5770" s="27" t="n"/>
      <c r="O5770" s="27" t="n"/>
      <c r="P5770" s="27" t="n"/>
      <c r="Q5770" s="27" t="n"/>
      <c r="R5770" s="27" t="n"/>
      <c r="S5770" s="27" t="n"/>
      <c r="T5770" s="27" t="n"/>
    </row>
    <row r="5771" ht="13.8" customFormat="1" customHeight="1" s="70">
      <c r="M5771" s="27" t="n"/>
      <c r="N5771" s="27" t="n"/>
      <c r="O5771" s="27" t="n"/>
      <c r="P5771" s="27" t="n"/>
      <c r="Q5771" s="27" t="n"/>
      <c r="R5771" s="27" t="n"/>
      <c r="S5771" s="27" t="n"/>
      <c r="T5771" s="27" t="n"/>
    </row>
    <row r="5772" ht="13.8" customFormat="1" customHeight="1" s="70">
      <c r="M5772" s="27" t="n"/>
      <c r="N5772" s="27" t="n"/>
      <c r="O5772" s="27" t="n"/>
      <c r="P5772" s="27" t="n"/>
      <c r="Q5772" s="27" t="n"/>
      <c r="R5772" s="27" t="n"/>
      <c r="S5772" s="27" t="n"/>
      <c r="T5772" s="27" t="n"/>
    </row>
    <row r="5773" ht="13.8" customFormat="1" customHeight="1" s="70">
      <c r="M5773" s="27" t="n"/>
      <c r="N5773" s="27" t="n"/>
      <c r="O5773" s="27" t="n"/>
      <c r="P5773" s="27" t="n"/>
      <c r="Q5773" s="27" t="n"/>
      <c r="R5773" s="27" t="n"/>
      <c r="S5773" s="27" t="n"/>
      <c r="T5773" s="27" t="n"/>
    </row>
    <row r="5774" ht="13.8" customFormat="1" customHeight="1" s="70">
      <c r="M5774" s="27" t="n"/>
      <c r="N5774" s="27" t="n"/>
      <c r="O5774" s="27" t="n"/>
      <c r="P5774" s="27" t="n"/>
      <c r="Q5774" s="27" t="n"/>
      <c r="R5774" s="27" t="n"/>
      <c r="S5774" s="27" t="n"/>
      <c r="T5774" s="27" t="n"/>
    </row>
    <row r="5775" ht="13.8" customFormat="1" customHeight="1" s="70">
      <c r="M5775" s="27" t="n"/>
      <c r="N5775" s="27" t="n"/>
      <c r="O5775" s="27" t="n"/>
      <c r="P5775" s="27" t="n"/>
      <c r="Q5775" s="27" t="n"/>
      <c r="R5775" s="27" t="n"/>
      <c r="S5775" s="27" t="n"/>
      <c r="T5775" s="27" t="n"/>
    </row>
    <row r="5776" ht="13.8" customFormat="1" customHeight="1" s="70">
      <c r="M5776" s="27" t="n"/>
      <c r="N5776" s="27" t="n"/>
      <c r="O5776" s="27" t="n"/>
      <c r="P5776" s="27" t="n"/>
      <c r="Q5776" s="27" t="n"/>
      <c r="R5776" s="27" t="n"/>
      <c r="S5776" s="27" t="n"/>
      <c r="T5776" s="27" t="n"/>
    </row>
    <row r="5777" ht="13.8" customFormat="1" customHeight="1" s="70">
      <c r="M5777" s="27" t="n"/>
      <c r="N5777" s="27" t="n"/>
      <c r="O5777" s="27" t="n"/>
      <c r="P5777" s="27" t="n"/>
      <c r="Q5777" s="27" t="n"/>
      <c r="R5777" s="27" t="n"/>
      <c r="S5777" s="27" t="n"/>
      <c r="T5777" s="27" t="n"/>
    </row>
    <row r="5778" ht="13.8" customFormat="1" customHeight="1" s="70">
      <c r="M5778" s="27" t="n"/>
      <c r="N5778" s="27" t="n"/>
      <c r="O5778" s="27" t="n"/>
      <c r="P5778" s="27" t="n"/>
      <c r="Q5778" s="27" t="n"/>
      <c r="R5778" s="27" t="n"/>
      <c r="S5778" s="27" t="n"/>
      <c r="T5778" s="27" t="n"/>
    </row>
    <row r="5779" ht="13.8" customFormat="1" customHeight="1" s="70">
      <c r="M5779" s="27" t="n"/>
      <c r="N5779" s="27" t="n"/>
      <c r="O5779" s="27" t="n"/>
      <c r="P5779" s="27" t="n"/>
      <c r="Q5779" s="27" t="n"/>
      <c r="R5779" s="27" t="n"/>
      <c r="S5779" s="27" t="n"/>
      <c r="T5779" s="27" t="n"/>
    </row>
    <row r="5780" ht="13.8" customFormat="1" customHeight="1" s="70">
      <c r="M5780" s="27" t="n"/>
      <c r="N5780" s="27" t="n"/>
      <c r="O5780" s="27" t="n"/>
      <c r="P5780" s="27" t="n"/>
      <c r="Q5780" s="27" t="n"/>
      <c r="R5780" s="27" t="n"/>
      <c r="S5780" s="27" t="n"/>
      <c r="T5780" s="27" t="n"/>
    </row>
    <row r="5781" ht="13.8" customFormat="1" customHeight="1" s="70">
      <c r="M5781" s="27" t="n"/>
      <c r="N5781" s="27" t="n"/>
      <c r="O5781" s="27" t="n"/>
      <c r="P5781" s="27" t="n"/>
      <c r="Q5781" s="27" t="n"/>
      <c r="R5781" s="27" t="n"/>
      <c r="S5781" s="27" t="n"/>
      <c r="T5781" s="27" t="n"/>
    </row>
    <row r="5782" ht="13.8" customFormat="1" customHeight="1" s="70">
      <c r="M5782" s="27" t="n"/>
      <c r="N5782" s="27" t="n"/>
      <c r="O5782" s="27" t="n"/>
      <c r="P5782" s="27" t="n"/>
      <c r="Q5782" s="27" t="n"/>
      <c r="R5782" s="27" t="n"/>
      <c r="S5782" s="27" t="n"/>
      <c r="T5782" s="27" t="n"/>
    </row>
    <row r="5783" ht="13.8" customFormat="1" customHeight="1" s="70">
      <c r="M5783" s="27" t="n"/>
      <c r="N5783" s="27" t="n"/>
      <c r="O5783" s="27" t="n"/>
      <c r="P5783" s="27" t="n"/>
      <c r="Q5783" s="27" t="n"/>
      <c r="R5783" s="27" t="n"/>
      <c r="S5783" s="27" t="n"/>
      <c r="T5783" s="27" t="n"/>
    </row>
    <row r="5784" ht="13.8" customFormat="1" customHeight="1" s="70">
      <c r="M5784" s="27" t="n"/>
      <c r="N5784" s="27" t="n"/>
      <c r="O5784" s="27" t="n"/>
      <c r="P5784" s="27" t="n"/>
      <c r="Q5784" s="27" t="n"/>
      <c r="R5784" s="27" t="n"/>
      <c r="S5784" s="27" t="n"/>
      <c r="T5784" s="27" t="n"/>
    </row>
    <row r="5785" ht="13.8" customFormat="1" customHeight="1" s="70">
      <c r="M5785" s="27" t="n"/>
      <c r="N5785" s="27" t="n"/>
      <c r="O5785" s="27" t="n"/>
      <c r="P5785" s="27" t="n"/>
      <c r="Q5785" s="27" t="n"/>
      <c r="R5785" s="27" t="n"/>
      <c r="S5785" s="27" t="n"/>
      <c r="T5785" s="27" t="n"/>
    </row>
    <row r="5786" ht="13.8" customFormat="1" customHeight="1" s="70">
      <c r="M5786" s="27" t="n"/>
      <c r="N5786" s="27" t="n"/>
      <c r="O5786" s="27" t="n"/>
      <c r="P5786" s="27" t="n"/>
      <c r="Q5786" s="27" t="n"/>
      <c r="R5786" s="27" t="n"/>
      <c r="S5786" s="27" t="n"/>
      <c r="T5786" s="27" t="n"/>
    </row>
    <row r="5787" ht="13.8" customFormat="1" customHeight="1" s="70">
      <c r="M5787" s="27" t="n"/>
      <c r="N5787" s="27" t="n"/>
      <c r="O5787" s="27" t="n"/>
      <c r="P5787" s="27" t="n"/>
      <c r="Q5787" s="27" t="n"/>
      <c r="R5787" s="27" t="n"/>
      <c r="S5787" s="27" t="n"/>
      <c r="T5787" s="27" t="n"/>
    </row>
    <row r="5788" ht="13.8" customFormat="1" customHeight="1" s="70">
      <c r="M5788" s="27" t="n"/>
      <c r="N5788" s="27" t="n"/>
      <c r="O5788" s="27" t="n"/>
      <c r="P5788" s="27" t="n"/>
      <c r="Q5788" s="27" t="n"/>
      <c r="R5788" s="27" t="n"/>
      <c r="S5788" s="27" t="n"/>
      <c r="T5788" s="27" t="n"/>
    </row>
    <row r="5789" ht="13.8" customFormat="1" customHeight="1" s="70">
      <c r="M5789" s="27" t="n"/>
      <c r="N5789" s="27" t="n"/>
      <c r="O5789" s="27" t="n"/>
      <c r="P5789" s="27" t="n"/>
      <c r="Q5789" s="27" t="n"/>
      <c r="R5789" s="27" t="n"/>
      <c r="S5789" s="27" t="n"/>
      <c r="T5789" s="27" t="n"/>
    </row>
    <row r="5790" ht="13.8" customFormat="1" customHeight="1" s="70">
      <c r="M5790" s="27" t="n"/>
      <c r="N5790" s="27" t="n"/>
      <c r="O5790" s="27" t="n"/>
      <c r="P5790" s="27" t="n"/>
      <c r="Q5790" s="27" t="n"/>
      <c r="R5790" s="27" t="n"/>
      <c r="S5790" s="27" t="n"/>
      <c r="T5790" s="27" t="n"/>
    </row>
    <row r="5791" ht="13.8" customFormat="1" customHeight="1" s="70">
      <c r="M5791" s="27" t="n"/>
      <c r="N5791" s="27" t="n"/>
      <c r="O5791" s="27" t="n"/>
      <c r="P5791" s="27" t="n"/>
      <c r="Q5791" s="27" t="n"/>
      <c r="R5791" s="27" t="n"/>
      <c r="S5791" s="27" t="n"/>
      <c r="T5791" s="27" t="n"/>
    </row>
    <row r="5792" ht="13.8" customFormat="1" customHeight="1" s="70">
      <c r="M5792" s="27" t="n"/>
      <c r="N5792" s="27" t="n"/>
      <c r="O5792" s="27" t="n"/>
      <c r="P5792" s="27" t="n"/>
      <c r="Q5792" s="27" t="n"/>
      <c r="R5792" s="27" t="n"/>
      <c r="S5792" s="27" t="n"/>
      <c r="T5792" s="27" t="n"/>
    </row>
    <row r="5793" ht="13.8" customFormat="1" customHeight="1" s="70">
      <c r="M5793" s="27" t="n"/>
      <c r="N5793" s="27" t="n"/>
      <c r="O5793" s="27" t="n"/>
      <c r="P5793" s="27" t="n"/>
      <c r="Q5793" s="27" t="n"/>
      <c r="R5793" s="27" t="n"/>
      <c r="S5793" s="27" t="n"/>
      <c r="T5793" s="27" t="n"/>
    </row>
    <row r="5794" ht="13.8" customFormat="1" customHeight="1" s="70">
      <c r="M5794" s="27" t="n"/>
      <c r="N5794" s="27" t="n"/>
      <c r="O5794" s="27" t="n"/>
      <c r="P5794" s="27" t="n"/>
      <c r="Q5794" s="27" t="n"/>
      <c r="R5794" s="27" t="n"/>
      <c r="S5794" s="27" t="n"/>
      <c r="T5794" s="27" t="n"/>
    </row>
    <row r="5795" ht="13.8" customFormat="1" customHeight="1" s="70">
      <c r="M5795" s="27" t="n"/>
      <c r="N5795" s="27" t="n"/>
      <c r="O5795" s="27" t="n"/>
      <c r="P5795" s="27" t="n"/>
      <c r="Q5795" s="27" t="n"/>
      <c r="R5795" s="27" t="n"/>
      <c r="S5795" s="27" t="n"/>
      <c r="T5795" s="27" t="n"/>
    </row>
    <row r="5796" ht="13.8" customFormat="1" customHeight="1" s="70">
      <c r="M5796" s="27" t="n"/>
      <c r="N5796" s="27" t="n"/>
      <c r="O5796" s="27" t="n"/>
      <c r="P5796" s="27" t="n"/>
      <c r="Q5796" s="27" t="n"/>
      <c r="R5796" s="27" t="n"/>
      <c r="S5796" s="27" t="n"/>
      <c r="T5796" s="27" t="n"/>
    </row>
    <row r="5797" ht="13.8" customFormat="1" customHeight="1" s="70">
      <c r="M5797" s="27" t="n"/>
      <c r="N5797" s="27" t="n"/>
      <c r="O5797" s="27" t="n"/>
      <c r="P5797" s="27" t="n"/>
      <c r="Q5797" s="27" t="n"/>
      <c r="R5797" s="27" t="n"/>
      <c r="S5797" s="27" t="n"/>
      <c r="T5797" s="27" t="n"/>
    </row>
    <row r="5798" ht="13.8" customFormat="1" customHeight="1" s="70">
      <c r="M5798" s="27" t="n"/>
      <c r="N5798" s="27" t="n"/>
      <c r="O5798" s="27" t="n"/>
      <c r="P5798" s="27" t="n"/>
      <c r="Q5798" s="27" t="n"/>
      <c r="R5798" s="27" t="n"/>
      <c r="S5798" s="27" t="n"/>
      <c r="T5798" s="27" t="n"/>
    </row>
    <row r="5799" ht="13.8" customFormat="1" customHeight="1" s="70">
      <c r="M5799" s="27" t="n"/>
      <c r="N5799" s="27" t="n"/>
      <c r="O5799" s="27" t="n"/>
      <c r="P5799" s="27" t="n"/>
      <c r="Q5799" s="27" t="n"/>
      <c r="R5799" s="27" t="n"/>
      <c r="S5799" s="27" t="n"/>
      <c r="T5799" s="27" t="n"/>
    </row>
    <row r="5800" ht="13.8" customFormat="1" customHeight="1" s="70">
      <c r="M5800" s="27" t="n"/>
      <c r="N5800" s="27" t="n"/>
      <c r="O5800" s="27" t="n"/>
      <c r="P5800" s="27" t="n"/>
      <c r="Q5800" s="27" t="n"/>
      <c r="R5800" s="27" t="n"/>
      <c r="S5800" s="27" t="n"/>
      <c r="T5800" s="27" t="n"/>
    </row>
    <row r="5801" ht="13.8" customFormat="1" customHeight="1" s="70">
      <c r="M5801" s="27" t="n"/>
      <c r="N5801" s="27" t="n"/>
      <c r="O5801" s="27" t="n"/>
      <c r="P5801" s="27" t="n"/>
      <c r="Q5801" s="27" t="n"/>
      <c r="R5801" s="27" t="n"/>
      <c r="S5801" s="27" t="n"/>
      <c r="T5801" s="27" t="n"/>
    </row>
    <row r="5802" ht="13.8" customFormat="1" customHeight="1" s="70">
      <c r="M5802" s="27" t="n"/>
      <c r="N5802" s="27" t="n"/>
      <c r="O5802" s="27" t="n"/>
      <c r="P5802" s="27" t="n"/>
      <c r="Q5802" s="27" t="n"/>
      <c r="R5802" s="27" t="n"/>
      <c r="S5802" s="27" t="n"/>
      <c r="T5802" s="27" t="n"/>
    </row>
    <row r="5803" ht="13.8" customFormat="1" customHeight="1" s="70">
      <c r="M5803" s="27" t="n"/>
      <c r="N5803" s="27" t="n"/>
      <c r="O5803" s="27" t="n"/>
      <c r="P5803" s="27" t="n"/>
      <c r="Q5803" s="27" t="n"/>
      <c r="R5803" s="27" t="n"/>
      <c r="S5803" s="27" t="n"/>
      <c r="T5803" s="27" t="n"/>
    </row>
    <row r="5804" ht="13.8" customFormat="1" customHeight="1" s="70">
      <c r="M5804" s="27" t="n"/>
      <c r="N5804" s="27" t="n"/>
      <c r="O5804" s="27" t="n"/>
      <c r="P5804" s="27" t="n"/>
      <c r="Q5804" s="27" t="n"/>
      <c r="R5804" s="27" t="n"/>
      <c r="S5804" s="27" t="n"/>
      <c r="T5804" s="27" t="n"/>
    </row>
    <row r="5805" ht="13.8" customFormat="1" customHeight="1" s="70">
      <c r="M5805" s="27" t="n"/>
      <c r="N5805" s="27" t="n"/>
      <c r="O5805" s="27" t="n"/>
      <c r="P5805" s="27" t="n"/>
      <c r="Q5805" s="27" t="n"/>
      <c r="R5805" s="27" t="n"/>
      <c r="S5805" s="27" t="n"/>
      <c r="T5805" s="27" t="n"/>
    </row>
    <row r="5806" ht="13.8" customFormat="1" customHeight="1" s="70">
      <c r="M5806" s="27" t="n"/>
      <c r="N5806" s="27" t="n"/>
      <c r="O5806" s="27" t="n"/>
      <c r="P5806" s="27" t="n"/>
      <c r="Q5806" s="27" t="n"/>
      <c r="R5806" s="27" t="n"/>
      <c r="S5806" s="27" t="n"/>
      <c r="T5806" s="27" t="n"/>
    </row>
    <row r="5807" ht="13.8" customFormat="1" customHeight="1" s="70">
      <c r="M5807" s="27" t="n"/>
      <c r="N5807" s="27" t="n"/>
      <c r="O5807" s="27" t="n"/>
      <c r="P5807" s="27" t="n"/>
      <c r="Q5807" s="27" t="n"/>
      <c r="R5807" s="27" t="n"/>
      <c r="S5807" s="27" t="n"/>
      <c r="T5807" s="27" t="n"/>
    </row>
    <row r="5808" ht="13.8" customFormat="1" customHeight="1" s="70">
      <c r="M5808" s="27" t="n"/>
      <c r="N5808" s="27" t="n"/>
      <c r="O5808" s="27" t="n"/>
      <c r="P5808" s="27" t="n"/>
      <c r="Q5808" s="27" t="n"/>
      <c r="R5808" s="27" t="n"/>
      <c r="S5808" s="27" t="n"/>
      <c r="T5808" s="27" t="n"/>
    </row>
    <row r="5809" ht="13.8" customFormat="1" customHeight="1" s="70">
      <c r="M5809" s="27" t="n"/>
      <c r="N5809" s="27" t="n"/>
      <c r="O5809" s="27" t="n"/>
      <c r="P5809" s="27" t="n"/>
      <c r="Q5809" s="27" t="n"/>
      <c r="R5809" s="27" t="n"/>
      <c r="S5809" s="27" t="n"/>
      <c r="T5809" s="27" t="n"/>
    </row>
    <row r="5810" ht="13.8" customFormat="1" customHeight="1" s="70">
      <c r="M5810" s="27" t="n"/>
      <c r="N5810" s="27" t="n"/>
      <c r="O5810" s="27" t="n"/>
      <c r="P5810" s="27" t="n"/>
      <c r="Q5810" s="27" t="n"/>
      <c r="R5810" s="27" t="n"/>
      <c r="S5810" s="27" t="n"/>
      <c r="T5810" s="27" t="n"/>
    </row>
    <row r="5811" ht="13.8" customFormat="1" customHeight="1" s="70">
      <c r="M5811" s="27" t="n"/>
      <c r="N5811" s="27" t="n"/>
      <c r="O5811" s="27" t="n"/>
      <c r="P5811" s="27" t="n"/>
      <c r="Q5811" s="27" t="n"/>
      <c r="R5811" s="27" t="n"/>
      <c r="S5811" s="27" t="n"/>
      <c r="T5811" s="27" t="n"/>
    </row>
    <row r="5812" ht="13.8" customFormat="1" customHeight="1" s="70">
      <c r="M5812" s="27" t="n"/>
      <c r="N5812" s="27" t="n"/>
      <c r="O5812" s="27" t="n"/>
      <c r="P5812" s="27" t="n"/>
      <c r="Q5812" s="27" t="n"/>
      <c r="R5812" s="27" t="n"/>
      <c r="S5812" s="27" t="n"/>
      <c r="T5812" s="27" t="n"/>
    </row>
    <row r="5813" ht="13.8" customFormat="1" customHeight="1" s="70">
      <c r="M5813" s="27" t="n"/>
      <c r="N5813" s="27" t="n"/>
      <c r="O5813" s="27" t="n"/>
      <c r="P5813" s="27" t="n"/>
      <c r="Q5813" s="27" t="n"/>
      <c r="R5813" s="27" t="n"/>
      <c r="S5813" s="27" t="n"/>
      <c r="T5813" s="27" t="n"/>
    </row>
    <row r="5814" ht="13.8" customFormat="1" customHeight="1" s="70">
      <c r="M5814" s="27" t="n"/>
      <c r="N5814" s="27" t="n"/>
      <c r="O5814" s="27" t="n"/>
      <c r="P5814" s="27" t="n"/>
      <c r="Q5814" s="27" t="n"/>
      <c r="R5814" s="27" t="n"/>
      <c r="S5814" s="27" t="n"/>
      <c r="T5814" s="27" t="n"/>
    </row>
    <row r="5815" ht="13.8" customFormat="1" customHeight="1" s="70">
      <c r="M5815" s="27" t="n"/>
      <c r="N5815" s="27" t="n"/>
      <c r="O5815" s="27" t="n"/>
      <c r="P5815" s="27" t="n"/>
      <c r="Q5815" s="27" t="n"/>
      <c r="R5815" s="27" t="n"/>
      <c r="S5815" s="27" t="n"/>
      <c r="T5815" s="27" t="n"/>
    </row>
    <row r="5816" ht="13.8" customFormat="1" customHeight="1" s="70">
      <c r="M5816" s="27" t="n"/>
      <c r="N5816" s="27" t="n"/>
      <c r="O5816" s="27" t="n"/>
      <c r="P5816" s="27" t="n"/>
      <c r="Q5816" s="27" t="n"/>
      <c r="R5816" s="27" t="n"/>
      <c r="S5816" s="27" t="n"/>
      <c r="T5816" s="27" t="n"/>
    </row>
    <row r="5817" ht="13.8" customFormat="1" customHeight="1" s="70">
      <c r="M5817" s="27" t="n"/>
      <c r="N5817" s="27" t="n"/>
      <c r="O5817" s="27" t="n"/>
      <c r="P5817" s="27" t="n"/>
      <c r="Q5817" s="27" t="n"/>
      <c r="R5817" s="27" t="n"/>
      <c r="S5817" s="27" t="n"/>
      <c r="T5817" s="27" t="n"/>
    </row>
    <row r="5818" ht="13.8" customFormat="1" customHeight="1" s="70">
      <c r="M5818" s="27" t="n"/>
      <c r="N5818" s="27" t="n"/>
      <c r="O5818" s="27" t="n"/>
      <c r="P5818" s="27" t="n"/>
      <c r="Q5818" s="27" t="n"/>
      <c r="R5818" s="27" t="n"/>
      <c r="S5818" s="27" t="n"/>
      <c r="T5818" s="27" t="n"/>
    </row>
    <row r="5819" ht="13.8" customFormat="1" customHeight="1" s="70">
      <c r="M5819" s="27" t="n"/>
      <c r="N5819" s="27" t="n"/>
      <c r="O5819" s="27" t="n"/>
      <c r="P5819" s="27" t="n"/>
      <c r="Q5819" s="27" t="n"/>
      <c r="R5819" s="27" t="n"/>
      <c r="S5819" s="27" t="n"/>
      <c r="T5819" s="27" t="n"/>
    </row>
    <row r="5820" ht="13.8" customFormat="1" customHeight="1" s="70">
      <c r="M5820" s="27" t="n"/>
      <c r="N5820" s="27" t="n"/>
      <c r="O5820" s="27" t="n"/>
      <c r="P5820" s="27" t="n"/>
      <c r="Q5820" s="27" t="n"/>
      <c r="R5820" s="27" t="n"/>
      <c r="S5820" s="27" t="n"/>
      <c r="T5820" s="27" t="n"/>
    </row>
    <row r="5821" ht="13.8" customFormat="1" customHeight="1" s="70">
      <c r="M5821" s="27" t="n"/>
      <c r="N5821" s="27" t="n"/>
      <c r="O5821" s="27" t="n"/>
      <c r="P5821" s="27" t="n"/>
      <c r="Q5821" s="27" t="n"/>
      <c r="R5821" s="27" t="n"/>
      <c r="S5821" s="27" t="n"/>
      <c r="T5821" s="27" t="n"/>
    </row>
    <row r="5822" ht="13.8" customFormat="1" customHeight="1" s="70">
      <c r="M5822" s="27" t="n"/>
      <c r="N5822" s="27" t="n"/>
      <c r="O5822" s="27" t="n"/>
      <c r="P5822" s="27" t="n"/>
      <c r="Q5822" s="27" t="n"/>
      <c r="R5822" s="27" t="n"/>
      <c r="S5822" s="27" t="n"/>
      <c r="T5822" s="27" t="n"/>
    </row>
    <row r="5823" ht="13.8" customFormat="1" customHeight="1" s="70">
      <c r="M5823" s="27" t="n"/>
      <c r="N5823" s="27" t="n"/>
      <c r="O5823" s="27" t="n"/>
      <c r="P5823" s="27" t="n"/>
      <c r="Q5823" s="27" t="n"/>
      <c r="R5823" s="27" t="n"/>
      <c r="S5823" s="27" t="n"/>
      <c r="T5823" s="27" t="n"/>
    </row>
    <row r="5824" ht="13.8" customFormat="1" customHeight="1" s="70">
      <c r="M5824" s="27" t="n"/>
      <c r="N5824" s="27" t="n"/>
      <c r="O5824" s="27" t="n"/>
      <c r="P5824" s="27" t="n"/>
      <c r="Q5824" s="27" t="n"/>
      <c r="R5824" s="27" t="n"/>
      <c r="S5824" s="27" t="n"/>
      <c r="T5824" s="27" t="n"/>
    </row>
    <row r="5825" ht="13.8" customFormat="1" customHeight="1" s="70">
      <c r="M5825" s="27" t="n"/>
      <c r="N5825" s="27" t="n"/>
      <c r="O5825" s="27" t="n"/>
      <c r="P5825" s="27" t="n"/>
      <c r="Q5825" s="27" t="n"/>
      <c r="R5825" s="27" t="n"/>
      <c r="S5825" s="27" t="n"/>
      <c r="T5825" s="27" t="n"/>
    </row>
    <row r="5826" ht="13.8" customFormat="1" customHeight="1" s="70">
      <c r="M5826" s="27" t="n"/>
      <c r="N5826" s="27" t="n"/>
      <c r="O5826" s="27" t="n"/>
      <c r="P5826" s="27" t="n"/>
      <c r="Q5826" s="27" t="n"/>
      <c r="R5826" s="27" t="n"/>
      <c r="S5826" s="27" t="n"/>
      <c r="T5826" s="27" t="n"/>
    </row>
    <row r="5827" ht="13.8" customFormat="1" customHeight="1" s="70">
      <c r="M5827" s="27" t="n"/>
      <c r="N5827" s="27" t="n"/>
      <c r="O5827" s="27" t="n"/>
      <c r="P5827" s="27" t="n"/>
      <c r="Q5827" s="27" t="n"/>
      <c r="R5827" s="27" t="n"/>
      <c r="S5827" s="27" t="n"/>
      <c r="T5827" s="27" t="n"/>
    </row>
    <row r="5828" ht="13.8" customFormat="1" customHeight="1" s="70">
      <c r="M5828" s="27" t="n"/>
      <c r="N5828" s="27" t="n"/>
      <c r="O5828" s="27" t="n"/>
      <c r="P5828" s="27" t="n"/>
      <c r="Q5828" s="27" t="n"/>
      <c r="R5828" s="27" t="n"/>
      <c r="S5828" s="27" t="n"/>
      <c r="T5828" s="27" t="n"/>
    </row>
    <row r="5829" ht="13.8" customFormat="1" customHeight="1" s="70">
      <c r="M5829" s="27" t="n"/>
      <c r="N5829" s="27" t="n"/>
      <c r="O5829" s="27" t="n"/>
      <c r="P5829" s="27" t="n"/>
      <c r="Q5829" s="27" t="n"/>
      <c r="R5829" s="27" t="n"/>
      <c r="S5829" s="27" t="n"/>
      <c r="T5829" s="27" t="n"/>
    </row>
    <row r="5830" ht="13.8" customFormat="1" customHeight="1" s="70">
      <c r="M5830" s="27" t="n"/>
      <c r="N5830" s="27" t="n"/>
      <c r="O5830" s="27" t="n"/>
      <c r="P5830" s="27" t="n"/>
      <c r="Q5830" s="27" t="n"/>
      <c r="R5830" s="27" t="n"/>
      <c r="S5830" s="27" t="n"/>
      <c r="T5830" s="27" t="n"/>
    </row>
    <row r="5831" ht="13.8" customFormat="1" customHeight="1" s="70">
      <c r="M5831" s="27" t="n"/>
      <c r="N5831" s="27" t="n"/>
      <c r="O5831" s="27" t="n"/>
      <c r="P5831" s="27" t="n"/>
      <c r="Q5831" s="27" t="n"/>
      <c r="R5831" s="27" t="n"/>
      <c r="S5831" s="27" t="n"/>
      <c r="T5831" s="27" t="n"/>
    </row>
    <row r="5832" ht="13.8" customFormat="1" customHeight="1" s="70">
      <c r="M5832" s="27" t="n"/>
      <c r="N5832" s="27" t="n"/>
      <c r="O5832" s="27" t="n"/>
      <c r="P5832" s="27" t="n"/>
      <c r="Q5832" s="27" t="n"/>
      <c r="R5832" s="27" t="n"/>
      <c r="S5832" s="27" t="n"/>
      <c r="T5832" s="27" t="n"/>
    </row>
    <row r="5833" ht="13.8" customFormat="1" customHeight="1" s="70">
      <c r="M5833" s="27" t="n"/>
      <c r="N5833" s="27" t="n"/>
      <c r="O5833" s="27" t="n"/>
      <c r="P5833" s="27" t="n"/>
      <c r="Q5833" s="27" t="n"/>
      <c r="R5833" s="27" t="n"/>
      <c r="S5833" s="27" t="n"/>
      <c r="T5833" s="27" t="n"/>
    </row>
    <row r="5834" ht="13.8" customFormat="1" customHeight="1" s="70">
      <c r="M5834" s="27" t="n"/>
      <c r="N5834" s="27" t="n"/>
      <c r="O5834" s="27" t="n"/>
      <c r="P5834" s="27" t="n"/>
      <c r="Q5834" s="27" t="n"/>
      <c r="R5834" s="27" t="n"/>
      <c r="S5834" s="27" t="n"/>
      <c r="T5834" s="27" t="n"/>
    </row>
    <row r="5835" ht="13.8" customFormat="1" customHeight="1" s="70">
      <c r="M5835" s="27" t="n"/>
      <c r="N5835" s="27" t="n"/>
      <c r="O5835" s="27" t="n"/>
      <c r="P5835" s="27" t="n"/>
      <c r="Q5835" s="27" t="n"/>
      <c r="R5835" s="27" t="n"/>
      <c r="S5835" s="27" t="n"/>
      <c r="T5835" s="27" t="n"/>
    </row>
    <row r="5836" ht="13.8" customFormat="1" customHeight="1" s="70">
      <c r="M5836" s="27" t="n"/>
      <c r="N5836" s="27" t="n"/>
      <c r="O5836" s="27" t="n"/>
      <c r="P5836" s="27" t="n"/>
      <c r="Q5836" s="27" t="n"/>
      <c r="R5836" s="27" t="n"/>
      <c r="S5836" s="27" t="n"/>
      <c r="T5836" s="27" t="n"/>
    </row>
    <row r="5837" ht="13.8" customFormat="1" customHeight="1" s="70">
      <c r="M5837" s="27" t="n"/>
      <c r="N5837" s="27" t="n"/>
      <c r="O5837" s="27" t="n"/>
      <c r="P5837" s="27" t="n"/>
      <c r="Q5837" s="27" t="n"/>
      <c r="R5837" s="27" t="n"/>
      <c r="S5837" s="27" t="n"/>
      <c r="T5837" s="27" t="n"/>
    </row>
    <row r="5838" ht="13.8" customFormat="1" customHeight="1" s="70">
      <c r="M5838" s="27" t="n"/>
      <c r="N5838" s="27" t="n"/>
      <c r="O5838" s="27" t="n"/>
      <c r="P5838" s="27" t="n"/>
      <c r="Q5838" s="27" t="n"/>
      <c r="R5838" s="27" t="n"/>
      <c r="S5838" s="27" t="n"/>
      <c r="T5838" s="27" t="n"/>
    </row>
    <row r="5839" ht="13.8" customFormat="1" customHeight="1" s="70">
      <c r="M5839" s="27" t="n"/>
      <c r="N5839" s="27" t="n"/>
      <c r="O5839" s="27" t="n"/>
      <c r="P5839" s="27" t="n"/>
      <c r="Q5839" s="27" t="n"/>
      <c r="R5839" s="27" t="n"/>
      <c r="S5839" s="27" t="n"/>
      <c r="T5839" s="27" t="n"/>
    </row>
    <row r="5840" ht="13.8" customFormat="1" customHeight="1" s="70">
      <c r="M5840" s="27" t="n"/>
      <c r="N5840" s="27" t="n"/>
      <c r="O5840" s="27" t="n"/>
      <c r="P5840" s="27" t="n"/>
      <c r="Q5840" s="27" t="n"/>
      <c r="R5840" s="27" t="n"/>
      <c r="S5840" s="27" t="n"/>
      <c r="T5840" s="27" t="n"/>
    </row>
    <row r="5841" ht="13.8" customFormat="1" customHeight="1" s="70">
      <c r="M5841" s="27" t="n"/>
      <c r="N5841" s="27" t="n"/>
      <c r="O5841" s="27" t="n"/>
      <c r="P5841" s="27" t="n"/>
      <c r="Q5841" s="27" t="n"/>
      <c r="R5841" s="27" t="n"/>
      <c r="S5841" s="27" t="n"/>
      <c r="T5841" s="27" t="n"/>
    </row>
    <row r="5842" ht="13.8" customFormat="1" customHeight="1" s="70">
      <c r="M5842" s="27" t="n"/>
      <c r="N5842" s="27" t="n"/>
      <c r="O5842" s="27" t="n"/>
      <c r="P5842" s="27" t="n"/>
      <c r="Q5842" s="27" t="n"/>
      <c r="R5842" s="27" t="n"/>
      <c r="S5842" s="27" t="n"/>
      <c r="T5842" s="27" t="n"/>
    </row>
    <row r="5843" ht="13.8" customFormat="1" customHeight="1" s="70">
      <c r="M5843" s="27" t="n"/>
      <c r="N5843" s="27" t="n"/>
      <c r="O5843" s="27" t="n"/>
      <c r="P5843" s="27" t="n"/>
      <c r="Q5843" s="27" t="n"/>
      <c r="R5843" s="27" t="n"/>
      <c r="S5843" s="27" t="n"/>
      <c r="T5843" s="27" t="n"/>
    </row>
    <row r="5844" ht="13.8" customFormat="1" customHeight="1" s="70">
      <c r="M5844" s="27" t="n"/>
      <c r="N5844" s="27" t="n"/>
      <c r="O5844" s="27" t="n"/>
      <c r="P5844" s="27" t="n"/>
      <c r="Q5844" s="27" t="n"/>
      <c r="R5844" s="27" t="n"/>
      <c r="S5844" s="27" t="n"/>
      <c r="T5844" s="27" t="n"/>
    </row>
    <row r="5845" ht="13.8" customFormat="1" customHeight="1" s="70">
      <c r="M5845" s="27" t="n"/>
      <c r="N5845" s="27" t="n"/>
      <c r="O5845" s="27" t="n"/>
      <c r="P5845" s="27" t="n"/>
      <c r="Q5845" s="27" t="n"/>
      <c r="R5845" s="27" t="n"/>
      <c r="S5845" s="27" t="n"/>
      <c r="T5845" s="27" t="n"/>
    </row>
    <row r="5846" ht="13.8" customFormat="1" customHeight="1" s="70">
      <c r="M5846" s="27" t="n"/>
      <c r="N5846" s="27" t="n"/>
      <c r="O5846" s="27" t="n"/>
      <c r="P5846" s="27" t="n"/>
      <c r="Q5846" s="27" t="n"/>
      <c r="R5846" s="27" t="n"/>
      <c r="S5846" s="27" t="n"/>
      <c r="T5846" s="27" t="n"/>
    </row>
    <row r="5847" ht="13.8" customFormat="1" customHeight="1" s="70">
      <c r="M5847" s="27" t="n"/>
      <c r="N5847" s="27" t="n"/>
      <c r="O5847" s="27" t="n"/>
      <c r="P5847" s="27" t="n"/>
      <c r="Q5847" s="27" t="n"/>
      <c r="R5847" s="27" t="n"/>
      <c r="S5847" s="27" t="n"/>
      <c r="T5847" s="27" t="n"/>
    </row>
    <row r="5848" ht="13.8" customFormat="1" customHeight="1" s="70">
      <c r="M5848" s="27" t="n"/>
      <c r="N5848" s="27" t="n"/>
      <c r="O5848" s="27" t="n"/>
      <c r="P5848" s="27" t="n"/>
      <c r="Q5848" s="27" t="n"/>
      <c r="R5848" s="27" t="n"/>
      <c r="S5848" s="27" t="n"/>
      <c r="T5848" s="27" t="n"/>
    </row>
    <row r="5849" ht="13.8" customFormat="1" customHeight="1" s="70">
      <c r="M5849" s="27" t="n"/>
      <c r="N5849" s="27" t="n"/>
      <c r="O5849" s="27" t="n"/>
      <c r="P5849" s="27" t="n"/>
      <c r="Q5849" s="27" t="n"/>
      <c r="R5849" s="27" t="n"/>
      <c r="S5849" s="27" t="n"/>
      <c r="T5849" s="27" t="n"/>
    </row>
    <row r="5850" ht="13.8" customFormat="1" customHeight="1" s="70">
      <c r="M5850" s="27" t="n"/>
      <c r="N5850" s="27" t="n"/>
      <c r="O5850" s="27" t="n"/>
      <c r="P5850" s="27" t="n"/>
      <c r="Q5850" s="27" t="n"/>
      <c r="R5850" s="27" t="n"/>
      <c r="S5850" s="27" t="n"/>
      <c r="T5850" s="27" t="n"/>
    </row>
    <row r="5851" ht="13.8" customFormat="1" customHeight="1" s="70">
      <c r="M5851" s="27" t="n"/>
      <c r="N5851" s="27" t="n"/>
      <c r="O5851" s="27" t="n"/>
      <c r="P5851" s="27" t="n"/>
      <c r="Q5851" s="27" t="n"/>
      <c r="R5851" s="27" t="n"/>
      <c r="S5851" s="27" t="n"/>
      <c r="T5851" s="27" t="n"/>
    </row>
    <row r="5852" ht="13.8" customFormat="1" customHeight="1" s="70">
      <c r="M5852" s="27" t="n"/>
      <c r="N5852" s="27" t="n"/>
      <c r="O5852" s="27" t="n"/>
      <c r="P5852" s="27" t="n"/>
      <c r="Q5852" s="27" t="n"/>
      <c r="R5852" s="27" t="n"/>
      <c r="S5852" s="27" t="n"/>
      <c r="T5852" s="27" t="n"/>
    </row>
    <row r="5853" ht="13.8" customFormat="1" customHeight="1" s="70">
      <c r="M5853" s="27" t="n"/>
      <c r="N5853" s="27" t="n"/>
      <c r="O5853" s="27" t="n"/>
      <c r="P5853" s="27" t="n"/>
      <c r="Q5853" s="27" t="n"/>
      <c r="R5853" s="27" t="n"/>
      <c r="S5853" s="27" t="n"/>
      <c r="T5853" s="27" t="n"/>
    </row>
    <row r="5854" ht="13.8" customFormat="1" customHeight="1" s="70">
      <c r="M5854" s="27" t="n"/>
      <c r="N5854" s="27" t="n"/>
      <c r="O5854" s="27" t="n"/>
      <c r="P5854" s="27" t="n"/>
      <c r="Q5854" s="27" t="n"/>
      <c r="R5854" s="27" t="n"/>
      <c r="S5854" s="27" t="n"/>
      <c r="T5854" s="27" t="n"/>
    </row>
    <row r="5855" ht="13.8" customFormat="1" customHeight="1" s="70">
      <c r="M5855" s="27" t="n"/>
      <c r="N5855" s="27" t="n"/>
      <c r="O5855" s="27" t="n"/>
      <c r="P5855" s="27" t="n"/>
      <c r="Q5855" s="27" t="n"/>
      <c r="R5855" s="27" t="n"/>
      <c r="S5855" s="27" t="n"/>
      <c r="T5855" s="27" t="n"/>
    </row>
    <row r="5856" ht="13.8" customFormat="1" customHeight="1" s="70">
      <c r="M5856" s="27" t="n"/>
      <c r="N5856" s="27" t="n"/>
      <c r="O5856" s="27" t="n"/>
      <c r="P5856" s="27" t="n"/>
      <c r="Q5856" s="27" t="n"/>
      <c r="R5856" s="27" t="n"/>
      <c r="S5856" s="27" t="n"/>
      <c r="T5856" s="27" t="n"/>
    </row>
    <row r="5857" ht="13.8" customFormat="1" customHeight="1" s="70">
      <c r="M5857" s="27" t="n"/>
      <c r="N5857" s="27" t="n"/>
      <c r="O5857" s="27" t="n"/>
      <c r="P5857" s="27" t="n"/>
      <c r="Q5857" s="27" t="n"/>
      <c r="R5857" s="27" t="n"/>
      <c r="S5857" s="27" t="n"/>
      <c r="T5857" s="27" t="n"/>
    </row>
    <row r="5858" ht="13.8" customFormat="1" customHeight="1" s="70">
      <c r="M5858" s="27" t="n"/>
      <c r="N5858" s="27" t="n"/>
      <c r="O5858" s="27" t="n"/>
      <c r="P5858" s="27" t="n"/>
      <c r="Q5858" s="27" t="n"/>
      <c r="R5858" s="27" t="n"/>
      <c r="S5858" s="27" t="n"/>
      <c r="T5858" s="27" t="n"/>
    </row>
    <row r="5859" ht="13.8" customFormat="1" customHeight="1" s="70">
      <c r="M5859" s="27" t="n"/>
      <c r="N5859" s="27" t="n"/>
      <c r="O5859" s="27" t="n"/>
      <c r="P5859" s="27" t="n"/>
      <c r="Q5859" s="27" t="n"/>
      <c r="R5859" s="27" t="n"/>
      <c r="S5859" s="27" t="n"/>
      <c r="T5859" s="27" t="n"/>
    </row>
    <row r="5860" ht="13.8" customFormat="1" customHeight="1" s="70">
      <c r="M5860" s="27" t="n"/>
      <c r="N5860" s="27" t="n"/>
      <c r="O5860" s="27" t="n"/>
      <c r="P5860" s="27" t="n"/>
      <c r="Q5860" s="27" t="n"/>
      <c r="R5860" s="27" t="n"/>
      <c r="S5860" s="27" t="n"/>
      <c r="T5860" s="27" t="n"/>
    </row>
    <row r="5861" ht="13.8" customFormat="1" customHeight="1" s="70">
      <c r="M5861" s="27" t="n"/>
      <c r="N5861" s="27" t="n"/>
      <c r="O5861" s="27" t="n"/>
      <c r="P5861" s="27" t="n"/>
      <c r="Q5861" s="27" t="n"/>
      <c r="R5861" s="27" t="n"/>
      <c r="S5861" s="27" t="n"/>
      <c r="T5861" s="27" t="n"/>
    </row>
    <row r="5862" ht="13.8" customFormat="1" customHeight="1" s="70">
      <c r="M5862" s="27" t="n"/>
      <c r="N5862" s="27" t="n"/>
      <c r="O5862" s="27" t="n"/>
      <c r="P5862" s="27" t="n"/>
      <c r="Q5862" s="27" t="n"/>
      <c r="R5862" s="27" t="n"/>
      <c r="S5862" s="27" t="n"/>
      <c r="T5862" s="27" t="n"/>
    </row>
    <row r="5863" ht="13.8" customFormat="1" customHeight="1" s="70">
      <c r="M5863" s="27" t="n"/>
      <c r="N5863" s="27" t="n"/>
      <c r="O5863" s="27" t="n"/>
      <c r="P5863" s="27" t="n"/>
      <c r="Q5863" s="27" t="n"/>
      <c r="R5863" s="27" t="n"/>
      <c r="S5863" s="27" t="n"/>
      <c r="T5863" s="27" t="n"/>
    </row>
    <row r="5864" ht="13.8" customFormat="1" customHeight="1" s="70">
      <c r="M5864" s="27" t="n"/>
      <c r="N5864" s="27" t="n"/>
      <c r="O5864" s="27" t="n"/>
      <c r="P5864" s="27" t="n"/>
      <c r="Q5864" s="27" t="n"/>
      <c r="R5864" s="27" t="n"/>
      <c r="S5864" s="27" t="n"/>
      <c r="T5864" s="27" t="n"/>
    </row>
    <row r="5865" ht="13.8" customFormat="1" customHeight="1" s="70">
      <c r="M5865" s="27" t="n"/>
      <c r="N5865" s="27" t="n"/>
      <c r="O5865" s="27" t="n"/>
      <c r="P5865" s="27" t="n"/>
      <c r="Q5865" s="27" t="n"/>
      <c r="R5865" s="27" t="n"/>
      <c r="S5865" s="27" t="n"/>
      <c r="T5865" s="27" t="n"/>
    </row>
    <row r="5866" ht="13.8" customFormat="1" customHeight="1" s="70">
      <c r="M5866" s="27" t="n"/>
      <c r="N5866" s="27" t="n"/>
      <c r="O5866" s="27" t="n"/>
      <c r="P5866" s="27" t="n"/>
      <c r="Q5866" s="27" t="n"/>
      <c r="R5866" s="27" t="n"/>
      <c r="S5866" s="27" t="n"/>
      <c r="T5866" s="27" t="n"/>
    </row>
    <row r="5867" ht="13.8" customFormat="1" customHeight="1" s="70">
      <c r="M5867" s="27" t="n"/>
      <c r="N5867" s="27" t="n"/>
      <c r="O5867" s="27" t="n"/>
      <c r="P5867" s="27" t="n"/>
      <c r="Q5867" s="27" t="n"/>
      <c r="R5867" s="27" t="n"/>
      <c r="S5867" s="27" t="n"/>
      <c r="T5867" s="27" t="n"/>
    </row>
    <row r="5868" ht="13.8" customFormat="1" customHeight="1" s="70">
      <c r="M5868" s="27" t="n"/>
      <c r="N5868" s="27" t="n"/>
      <c r="O5868" s="27" t="n"/>
      <c r="P5868" s="27" t="n"/>
      <c r="Q5868" s="27" t="n"/>
      <c r="R5868" s="27" t="n"/>
      <c r="S5868" s="27" t="n"/>
      <c r="T5868" s="27" t="n"/>
    </row>
    <row r="5869" ht="13.8" customFormat="1" customHeight="1" s="70">
      <c r="M5869" s="27" t="n"/>
      <c r="N5869" s="27" t="n"/>
      <c r="O5869" s="27" t="n"/>
      <c r="P5869" s="27" t="n"/>
      <c r="Q5869" s="27" t="n"/>
      <c r="R5869" s="27" t="n"/>
      <c r="S5869" s="27" t="n"/>
      <c r="T5869" s="27" t="n"/>
    </row>
    <row r="5870" ht="13.8" customFormat="1" customHeight="1" s="70">
      <c r="M5870" s="27" t="n"/>
      <c r="N5870" s="27" t="n"/>
      <c r="O5870" s="27" t="n"/>
      <c r="P5870" s="27" t="n"/>
      <c r="Q5870" s="27" t="n"/>
      <c r="R5870" s="27" t="n"/>
      <c r="S5870" s="27" t="n"/>
      <c r="T5870" s="27" t="n"/>
    </row>
    <row r="5871" ht="13.8" customFormat="1" customHeight="1" s="70">
      <c r="M5871" s="27" t="n"/>
      <c r="N5871" s="27" t="n"/>
      <c r="O5871" s="27" t="n"/>
      <c r="P5871" s="27" t="n"/>
      <c r="Q5871" s="27" t="n"/>
      <c r="R5871" s="27" t="n"/>
      <c r="S5871" s="27" t="n"/>
      <c r="T5871" s="27" t="n"/>
    </row>
    <row r="5872" ht="13.8" customFormat="1" customHeight="1" s="70">
      <c r="M5872" s="27" t="n"/>
      <c r="N5872" s="27" t="n"/>
      <c r="O5872" s="27" t="n"/>
      <c r="P5872" s="27" t="n"/>
      <c r="Q5872" s="27" t="n"/>
      <c r="R5872" s="27" t="n"/>
      <c r="S5872" s="27" t="n"/>
      <c r="T5872" s="27" t="n"/>
    </row>
    <row r="5873" ht="13.8" customFormat="1" customHeight="1" s="70">
      <c r="M5873" s="27" t="n"/>
      <c r="N5873" s="27" t="n"/>
      <c r="O5873" s="27" t="n"/>
      <c r="P5873" s="27" t="n"/>
      <c r="Q5873" s="27" t="n"/>
      <c r="R5873" s="27" t="n"/>
      <c r="S5873" s="27" t="n"/>
      <c r="T5873" s="27" t="n"/>
    </row>
    <row r="5874" ht="13.8" customFormat="1" customHeight="1" s="70">
      <c r="M5874" s="27" t="n"/>
      <c r="N5874" s="27" t="n"/>
      <c r="O5874" s="27" t="n"/>
      <c r="P5874" s="27" t="n"/>
      <c r="Q5874" s="27" t="n"/>
      <c r="R5874" s="27" t="n"/>
      <c r="S5874" s="27" t="n"/>
      <c r="T5874" s="27" t="n"/>
    </row>
    <row r="5875" ht="13.8" customFormat="1" customHeight="1" s="70">
      <c r="M5875" s="27" t="n"/>
      <c r="N5875" s="27" t="n"/>
      <c r="O5875" s="27" t="n"/>
      <c r="P5875" s="27" t="n"/>
      <c r="Q5875" s="27" t="n"/>
      <c r="R5875" s="27" t="n"/>
      <c r="S5875" s="27" t="n"/>
      <c r="T5875" s="27" t="n"/>
    </row>
    <row r="5876" ht="13.8" customFormat="1" customHeight="1" s="70">
      <c r="M5876" s="27" t="n"/>
      <c r="N5876" s="27" t="n"/>
      <c r="O5876" s="27" t="n"/>
      <c r="P5876" s="27" t="n"/>
      <c r="Q5876" s="27" t="n"/>
      <c r="R5876" s="27" t="n"/>
      <c r="S5876" s="27" t="n"/>
      <c r="T5876" s="27" t="n"/>
    </row>
    <row r="5877" ht="13.8" customFormat="1" customHeight="1" s="70">
      <c r="M5877" s="27" t="n"/>
      <c r="N5877" s="27" t="n"/>
      <c r="O5877" s="27" t="n"/>
      <c r="P5877" s="27" t="n"/>
      <c r="Q5877" s="27" t="n"/>
      <c r="R5877" s="27" t="n"/>
      <c r="S5877" s="27" t="n"/>
      <c r="T5877" s="27" t="n"/>
    </row>
    <row r="5878" ht="13.8" customFormat="1" customHeight="1" s="70">
      <c r="M5878" s="27" t="n"/>
      <c r="N5878" s="27" t="n"/>
      <c r="O5878" s="27" t="n"/>
      <c r="P5878" s="27" t="n"/>
      <c r="Q5878" s="27" t="n"/>
      <c r="R5878" s="27" t="n"/>
      <c r="S5878" s="27" t="n"/>
      <c r="T5878" s="27" t="n"/>
    </row>
    <row r="5879" ht="13.8" customFormat="1" customHeight="1" s="70">
      <c r="M5879" s="27" t="n"/>
      <c r="N5879" s="27" t="n"/>
      <c r="O5879" s="27" t="n"/>
      <c r="P5879" s="27" t="n"/>
      <c r="Q5879" s="27" t="n"/>
      <c r="R5879" s="27" t="n"/>
      <c r="S5879" s="27" t="n"/>
      <c r="T5879" s="27" t="n"/>
    </row>
    <row r="5880" ht="13.8" customFormat="1" customHeight="1" s="70">
      <c r="M5880" s="27" t="n"/>
      <c r="N5880" s="27" t="n"/>
      <c r="O5880" s="27" t="n"/>
      <c r="P5880" s="27" t="n"/>
      <c r="Q5880" s="27" t="n"/>
      <c r="R5880" s="27" t="n"/>
      <c r="S5880" s="27" t="n"/>
      <c r="T5880" s="27" t="n"/>
    </row>
    <row r="5881" ht="13.8" customFormat="1" customHeight="1" s="70">
      <c r="M5881" s="27" t="n"/>
      <c r="N5881" s="27" t="n"/>
      <c r="O5881" s="27" t="n"/>
      <c r="P5881" s="27" t="n"/>
      <c r="Q5881" s="27" t="n"/>
      <c r="R5881" s="27" t="n"/>
      <c r="S5881" s="27" t="n"/>
      <c r="T5881" s="27" t="n"/>
    </row>
    <row r="5882" ht="13.8" customFormat="1" customHeight="1" s="70">
      <c r="M5882" s="27" t="n"/>
      <c r="N5882" s="27" t="n"/>
      <c r="O5882" s="27" t="n"/>
      <c r="P5882" s="27" t="n"/>
      <c r="Q5882" s="27" t="n"/>
      <c r="R5882" s="27" t="n"/>
      <c r="S5882" s="27" t="n"/>
      <c r="T5882" s="27" t="n"/>
    </row>
    <row r="5883" ht="13.8" customFormat="1" customHeight="1" s="70">
      <c r="M5883" s="27" t="n"/>
      <c r="N5883" s="27" t="n"/>
      <c r="O5883" s="27" t="n"/>
      <c r="P5883" s="27" t="n"/>
      <c r="Q5883" s="27" t="n"/>
      <c r="R5883" s="27" t="n"/>
      <c r="S5883" s="27" t="n"/>
      <c r="T5883" s="27" t="n"/>
    </row>
    <row r="5884" ht="13.8" customFormat="1" customHeight="1" s="70">
      <c r="M5884" s="27" t="n"/>
      <c r="N5884" s="27" t="n"/>
      <c r="O5884" s="27" t="n"/>
      <c r="P5884" s="27" t="n"/>
      <c r="Q5884" s="27" t="n"/>
      <c r="R5884" s="27" t="n"/>
      <c r="S5884" s="27" t="n"/>
      <c r="T5884" s="27" t="n"/>
    </row>
    <row r="5885" ht="13.8" customFormat="1" customHeight="1" s="70">
      <c r="M5885" s="27" t="n"/>
      <c r="N5885" s="27" t="n"/>
      <c r="O5885" s="27" t="n"/>
      <c r="P5885" s="27" t="n"/>
      <c r="Q5885" s="27" t="n"/>
      <c r="R5885" s="27" t="n"/>
      <c r="S5885" s="27" t="n"/>
      <c r="T5885" s="27" t="n"/>
    </row>
    <row r="5886" ht="13.8" customFormat="1" customHeight="1" s="70">
      <c r="M5886" s="27" t="n"/>
      <c r="N5886" s="27" t="n"/>
      <c r="O5886" s="27" t="n"/>
      <c r="P5886" s="27" t="n"/>
      <c r="Q5886" s="27" t="n"/>
      <c r="R5886" s="27" t="n"/>
      <c r="S5886" s="27" t="n"/>
      <c r="T5886" s="27" t="n"/>
    </row>
    <row r="5887" ht="13.8" customFormat="1" customHeight="1" s="70">
      <c r="M5887" s="27" t="n"/>
      <c r="N5887" s="27" t="n"/>
      <c r="O5887" s="27" t="n"/>
      <c r="P5887" s="27" t="n"/>
      <c r="Q5887" s="27" t="n"/>
      <c r="R5887" s="27" t="n"/>
      <c r="S5887" s="27" t="n"/>
      <c r="T5887" s="27" t="n"/>
    </row>
    <row r="5888" ht="13.8" customFormat="1" customHeight="1" s="70">
      <c r="M5888" s="27" t="n"/>
      <c r="N5888" s="27" t="n"/>
      <c r="O5888" s="27" t="n"/>
      <c r="P5888" s="27" t="n"/>
      <c r="Q5888" s="27" t="n"/>
      <c r="R5888" s="27" t="n"/>
      <c r="S5888" s="27" t="n"/>
      <c r="T5888" s="27" t="n"/>
    </row>
    <row r="5889" ht="13.8" customFormat="1" customHeight="1" s="70">
      <c r="M5889" s="27" t="n"/>
      <c r="N5889" s="27" t="n"/>
      <c r="O5889" s="27" t="n"/>
      <c r="P5889" s="27" t="n"/>
      <c r="Q5889" s="27" t="n"/>
      <c r="R5889" s="27" t="n"/>
      <c r="S5889" s="27" t="n"/>
      <c r="T5889" s="27" t="n"/>
    </row>
    <row r="5890" ht="13.8" customFormat="1" customHeight="1" s="70">
      <c r="M5890" s="27" t="n"/>
      <c r="N5890" s="27" t="n"/>
      <c r="O5890" s="27" t="n"/>
      <c r="P5890" s="27" t="n"/>
      <c r="Q5890" s="27" t="n"/>
      <c r="R5890" s="27" t="n"/>
      <c r="S5890" s="27" t="n"/>
      <c r="T5890" s="27" t="n"/>
    </row>
    <row r="5891" ht="13.8" customFormat="1" customHeight="1" s="70">
      <c r="M5891" s="27" t="n"/>
      <c r="N5891" s="27" t="n"/>
      <c r="O5891" s="27" t="n"/>
      <c r="P5891" s="27" t="n"/>
      <c r="Q5891" s="27" t="n"/>
      <c r="R5891" s="27" t="n"/>
      <c r="S5891" s="27" t="n"/>
      <c r="T5891" s="27" t="n"/>
    </row>
    <row r="5892" ht="13.8" customFormat="1" customHeight="1" s="70">
      <c r="M5892" s="27" t="n"/>
      <c r="N5892" s="27" t="n"/>
      <c r="O5892" s="27" t="n"/>
      <c r="P5892" s="27" t="n"/>
      <c r="Q5892" s="27" t="n"/>
      <c r="R5892" s="27" t="n"/>
      <c r="S5892" s="27" t="n"/>
      <c r="T5892" s="27" t="n"/>
    </row>
    <row r="5893" ht="13.8" customFormat="1" customHeight="1" s="70">
      <c r="M5893" s="27" t="n"/>
      <c r="N5893" s="27" t="n"/>
      <c r="O5893" s="27" t="n"/>
      <c r="P5893" s="27" t="n"/>
      <c r="Q5893" s="27" t="n"/>
      <c r="R5893" s="27" t="n"/>
      <c r="S5893" s="27" t="n"/>
      <c r="T5893" s="27" t="n"/>
    </row>
    <row r="5894" ht="13.8" customFormat="1" customHeight="1" s="70">
      <c r="M5894" s="27" t="n"/>
      <c r="N5894" s="27" t="n"/>
      <c r="O5894" s="27" t="n"/>
      <c r="P5894" s="27" t="n"/>
      <c r="Q5894" s="27" t="n"/>
      <c r="R5894" s="27" t="n"/>
      <c r="S5894" s="27" t="n"/>
      <c r="T5894" s="27" t="n"/>
    </row>
    <row r="5895" ht="13.8" customFormat="1" customHeight="1" s="70">
      <c r="M5895" s="27" t="n"/>
      <c r="N5895" s="27" t="n"/>
      <c r="O5895" s="27" t="n"/>
      <c r="P5895" s="27" t="n"/>
      <c r="Q5895" s="27" t="n"/>
      <c r="R5895" s="27" t="n"/>
      <c r="S5895" s="27" t="n"/>
      <c r="T5895" s="27" t="n"/>
    </row>
    <row r="5896" ht="13.8" customFormat="1" customHeight="1" s="70">
      <c r="M5896" s="27" t="n"/>
      <c r="N5896" s="27" t="n"/>
      <c r="O5896" s="27" t="n"/>
      <c r="P5896" s="27" t="n"/>
      <c r="Q5896" s="27" t="n"/>
      <c r="R5896" s="27" t="n"/>
      <c r="S5896" s="27" t="n"/>
      <c r="T5896" s="27" t="n"/>
    </row>
    <row r="5897" ht="13.8" customFormat="1" customHeight="1" s="70">
      <c r="M5897" s="27" t="n"/>
      <c r="N5897" s="27" t="n"/>
      <c r="O5897" s="27" t="n"/>
      <c r="P5897" s="27" t="n"/>
      <c r="Q5897" s="27" t="n"/>
      <c r="R5897" s="27" t="n"/>
      <c r="S5897" s="27" t="n"/>
      <c r="T5897" s="27" t="n"/>
    </row>
    <row r="5898" ht="13.8" customFormat="1" customHeight="1" s="70">
      <c r="M5898" s="27" t="n"/>
      <c r="N5898" s="27" t="n"/>
      <c r="O5898" s="27" t="n"/>
      <c r="P5898" s="27" t="n"/>
      <c r="Q5898" s="27" t="n"/>
      <c r="R5898" s="27" t="n"/>
      <c r="S5898" s="27" t="n"/>
      <c r="T5898" s="27" t="n"/>
    </row>
    <row r="5899" ht="13.8" customFormat="1" customHeight="1" s="70">
      <c r="M5899" s="27" t="n"/>
      <c r="N5899" s="27" t="n"/>
      <c r="O5899" s="27" t="n"/>
      <c r="P5899" s="27" t="n"/>
      <c r="Q5899" s="27" t="n"/>
      <c r="R5899" s="27" t="n"/>
      <c r="S5899" s="27" t="n"/>
      <c r="T5899" s="27" t="n"/>
    </row>
    <row r="5900" ht="13.8" customFormat="1" customHeight="1" s="70">
      <c r="M5900" s="27" t="n"/>
      <c r="N5900" s="27" t="n"/>
      <c r="O5900" s="27" t="n"/>
      <c r="P5900" s="27" t="n"/>
      <c r="Q5900" s="27" t="n"/>
      <c r="R5900" s="27" t="n"/>
      <c r="S5900" s="27" t="n"/>
      <c r="T5900" s="27" t="n"/>
    </row>
    <row r="5901" ht="13.8" customFormat="1" customHeight="1" s="70">
      <c r="M5901" s="27" t="n"/>
      <c r="N5901" s="27" t="n"/>
      <c r="O5901" s="27" t="n"/>
      <c r="P5901" s="27" t="n"/>
      <c r="Q5901" s="27" t="n"/>
      <c r="R5901" s="27" t="n"/>
      <c r="S5901" s="27" t="n"/>
      <c r="T5901" s="27" t="n"/>
    </row>
    <row r="5902" ht="13.8" customFormat="1" customHeight="1" s="70">
      <c r="M5902" s="27" t="n"/>
      <c r="N5902" s="27" t="n"/>
      <c r="O5902" s="27" t="n"/>
      <c r="P5902" s="27" t="n"/>
      <c r="Q5902" s="27" t="n"/>
      <c r="R5902" s="27" t="n"/>
      <c r="S5902" s="27" t="n"/>
      <c r="T5902" s="27" t="n"/>
    </row>
    <row r="5903" ht="13.8" customFormat="1" customHeight="1" s="70">
      <c r="M5903" s="27" t="n"/>
      <c r="N5903" s="27" t="n"/>
      <c r="O5903" s="27" t="n"/>
      <c r="P5903" s="27" t="n"/>
      <c r="Q5903" s="27" t="n"/>
      <c r="R5903" s="27" t="n"/>
      <c r="S5903" s="27" t="n"/>
      <c r="T5903" s="27" t="n"/>
    </row>
    <row r="5904" ht="13.8" customFormat="1" customHeight="1" s="70">
      <c r="M5904" s="27" t="n"/>
      <c r="N5904" s="27" t="n"/>
      <c r="O5904" s="27" t="n"/>
      <c r="P5904" s="27" t="n"/>
      <c r="Q5904" s="27" t="n"/>
      <c r="R5904" s="27" t="n"/>
      <c r="S5904" s="27" t="n"/>
      <c r="T5904" s="27" t="n"/>
    </row>
    <row r="5905" ht="13.8" customFormat="1" customHeight="1" s="70">
      <c r="M5905" s="27" t="n"/>
      <c r="N5905" s="27" t="n"/>
      <c r="O5905" s="27" t="n"/>
      <c r="P5905" s="27" t="n"/>
      <c r="Q5905" s="27" t="n"/>
      <c r="R5905" s="27" t="n"/>
      <c r="S5905" s="27" t="n"/>
      <c r="T5905" s="27" t="n"/>
    </row>
    <row r="5906" ht="13.8" customFormat="1" customHeight="1" s="70">
      <c r="M5906" s="27" t="n"/>
      <c r="N5906" s="27" t="n"/>
      <c r="O5906" s="27" t="n"/>
      <c r="P5906" s="27" t="n"/>
      <c r="Q5906" s="27" t="n"/>
      <c r="R5906" s="27" t="n"/>
      <c r="S5906" s="27" t="n"/>
      <c r="T5906" s="27" t="n"/>
    </row>
    <row r="5907" ht="13.8" customFormat="1" customHeight="1" s="70">
      <c r="M5907" s="27" t="n"/>
      <c r="N5907" s="27" t="n"/>
      <c r="O5907" s="27" t="n"/>
      <c r="P5907" s="27" t="n"/>
      <c r="Q5907" s="27" t="n"/>
      <c r="R5907" s="27" t="n"/>
      <c r="S5907" s="27" t="n"/>
      <c r="T5907" s="27" t="n"/>
    </row>
    <row r="5908" ht="13.8" customFormat="1" customHeight="1" s="70">
      <c r="M5908" s="27" t="n"/>
      <c r="N5908" s="27" t="n"/>
      <c r="O5908" s="27" t="n"/>
      <c r="P5908" s="27" t="n"/>
      <c r="Q5908" s="27" t="n"/>
      <c r="R5908" s="27" t="n"/>
      <c r="S5908" s="27" t="n"/>
      <c r="T5908" s="27" t="n"/>
    </row>
    <row r="5909" ht="13.8" customFormat="1" customHeight="1" s="70">
      <c r="M5909" s="27" t="n"/>
      <c r="N5909" s="27" t="n"/>
      <c r="O5909" s="27" t="n"/>
      <c r="P5909" s="27" t="n"/>
      <c r="Q5909" s="27" t="n"/>
      <c r="R5909" s="27" t="n"/>
      <c r="S5909" s="27" t="n"/>
      <c r="T5909" s="27" t="n"/>
    </row>
    <row r="5910" ht="13.8" customFormat="1" customHeight="1" s="70">
      <c r="M5910" s="27" t="n"/>
      <c r="N5910" s="27" t="n"/>
      <c r="O5910" s="27" t="n"/>
      <c r="P5910" s="27" t="n"/>
      <c r="Q5910" s="27" t="n"/>
      <c r="R5910" s="27" t="n"/>
      <c r="S5910" s="27" t="n"/>
      <c r="T5910" s="27" t="n"/>
    </row>
    <row r="5911" ht="13.8" customFormat="1" customHeight="1" s="70">
      <c r="M5911" s="27" t="n"/>
      <c r="N5911" s="27" t="n"/>
      <c r="O5911" s="27" t="n"/>
      <c r="P5911" s="27" t="n"/>
      <c r="Q5911" s="27" t="n"/>
      <c r="R5911" s="27" t="n"/>
      <c r="S5911" s="27" t="n"/>
      <c r="T5911" s="27" t="n"/>
    </row>
    <row r="5912" ht="13.8" customFormat="1" customHeight="1" s="70">
      <c r="M5912" s="27" t="n"/>
      <c r="N5912" s="27" t="n"/>
      <c r="O5912" s="27" t="n"/>
      <c r="P5912" s="27" t="n"/>
      <c r="Q5912" s="27" t="n"/>
      <c r="R5912" s="27" t="n"/>
      <c r="S5912" s="27" t="n"/>
      <c r="T5912" s="27" t="n"/>
    </row>
    <row r="5913" ht="13.8" customFormat="1" customHeight="1" s="70">
      <c r="M5913" s="27" t="n"/>
      <c r="N5913" s="27" t="n"/>
      <c r="O5913" s="27" t="n"/>
      <c r="P5913" s="27" t="n"/>
      <c r="Q5913" s="27" t="n"/>
      <c r="R5913" s="27" t="n"/>
      <c r="S5913" s="27" t="n"/>
      <c r="T5913" s="27" t="n"/>
    </row>
    <row r="5914" ht="13.8" customFormat="1" customHeight="1" s="70">
      <c r="M5914" s="27" t="n"/>
      <c r="N5914" s="27" t="n"/>
      <c r="O5914" s="27" t="n"/>
      <c r="P5914" s="27" t="n"/>
      <c r="Q5914" s="27" t="n"/>
      <c r="R5914" s="27" t="n"/>
      <c r="S5914" s="27" t="n"/>
      <c r="T5914" s="27" t="n"/>
    </row>
    <row r="5915" ht="13.8" customFormat="1" customHeight="1" s="70">
      <c r="M5915" s="27" t="n"/>
      <c r="N5915" s="27" t="n"/>
      <c r="O5915" s="27" t="n"/>
      <c r="P5915" s="27" t="n"/>
      <c r="Q5915" s="27" t="n"/>
      <c r="R5915" s="27" t="n"/>
      <c r="S5915" s="27" t="n"/>
      <c r="T5915" s="27" t="n"/>
    </row>
    <row r="5916" ht="13.8" customFormat="1" customHeight="1" s="70">
      <c r="M5916" s="27" t="n"/>
      <c r="N5916" s="27" t="n"/>
      <c r="O5916" s="27" t="n"/>
      <c r="P5916" s="27" t="n"/>
      <c r="Q5916" s="27" t="n"/>
      <c r="R5916" s="27" t="n"/>
      <c r="S5916" s="27" t="n"/>
      <c r="T5916" s="27" t="n"/>
    </row>
    <row r="5917" ht="13.8" customFormat="1" customHeight="1" s="70">
      <c r="M5917" s="27" t="n"/>
      <c r="N5917" s="27" t="n"/>
      <c r="O5917" s="27" t="n"/>
      <c r="P5917" s="27" t="n"/>
      <c r="Q5917" s="27" t="n"/>
      <c r="R5917" s="27" t="n"/>
      <c r="S5917" s="27" t="n"/>
      <c r="T5917" s="27" t="n"/>
    </row>
    <row r="5918" ht="13.8" customFormat="1" customHeight="1" s="70">
      <c r="M5918" s="27" t="n"/>
      <c r="N5918" s="27" t="n"/>
      <c r="O5918" s="27" t="n"/>
      <c r="P5918" s="27" t="n"/>
      <c r="Q5918" s="27" t="n"/>
      <c r="R5918" s="27" t="n"/>
      <c r="S5918" s="27" t="n"/>
      <c r="T5918" s="27" t="n"/>
    </row>
    <row r="5919" ht="13.8" customFormat="1" customHeight="1" s="70">
      <c r="M5919" s="27" t="n"/>
      <c r="N5919" s="27" t="n"/>
      <c r="O5919" s="27" t="n"/>
      <c r="P5919" s="27" t="n"/>
      <c r="Q5919" s="27" t="n"/>
      <c r="R5919" s="27" t="n"/>
      <c r="S5919" s="27" t="n"/>
      <c r="T5919" s="27" t="n"/>
    </row>
    <row r="5920" ht="13.8" customFormat="1" customHeight="1" s="70">
      <c r="M5920" s="27" t="n"/>
      <c r="N5920" s="27" t="n"/>
      <c r="O5920" s="27" t="n"/>
      <c r="P5920" s="27" t="n"/>
      <c r="Q5920" s="27" t="n"/>
      <c r="R5920" s="27" t="n"/>
      <c r="S5920" s="27" t="n"/>
      <c r="T5920" s="27" t="n"/>
    </row>
    <row r="5921" ht="13.8" customFormat="1" customHeight="1" s="70">
      <c r="M5921" s="27" t="n"/>
      <c r="N5921" s="27" t="n"/>
      <c r="O5921" s="27" t="n"/>
      <c r="P5921" s="27" t="n"/>
      <c r="Q5921" s="27" t="n"/>
      <c r="R5921" s="27" t="n"/>
      <c r="S5921" s="27" t="n"/>
      <c r="T5921" s="27" t="n"/>
    </row>
    <row r="5922" ht="13.8" customFormat="1" customHeight="1" s="70">
      <c r="M5922" s="27" t="n"/>
      <c r="N5922" s="27" t="n"/>
      <c r="O5922" s="27" t="n"/>
      <c r="P5922" s="27" t="n"/>
      <c r="Q5922" s="27" t="n"/>
      <c r="R5922" s="27" t="n"/>
      <c r="S5922" s="27" t="n"/>
      <c r="T5922" s="27" t="n"/>
    </row>
    <row r="5923" ht="13.8" customFormat="1" customHeight="1" s="70">
      <c r="M5923" s="27" t="n"/>
      <c r="N5923" s="27" t="n"/>
      <c r="O5923" s="27" t="n"/>
      <c r="P5923" s="27" t="n"/>
      <c r="Q5923" s="27" t="n"/>
      <c r="R5923" s="27" t="n"/>
      <c r="S5923" s="27" t="n"/>
      <c r="T5923" s="27" t="n"/>
    </row>
    <row r="5924" ht="13.8" customFormat="1" customHeight="1" s="70">
      <c r="M5924" s="27" t="n"/>
      <c r="N5924" s="27" t="n"/>
      <c r="O5924" s="27" t="n"/>
      <c r="P5924" s="27" t="n"/>
      <c r="Q5924" s="27" t="n"/>
      <c r="R5924" s="27" t="n"/>
      <c r="S5924" s="27" t="n"/>
      <c r="T5924" s="27" t="n"/>
    </row>
    <row r="5925" ht="13.8" customFormat="1" customHeight="1" s="70">
      <c r="M5925" s="27" t="n"/>
      <c r="N5925" s="27" t="n"/>
      <c r="O5925" s="27" t="n"/>
      <c r="P5925" s="27" t="n"/>
      <c r="Q5925" s="27" t="n"/>
      <c r="R5925" s="27" t="n"/>
      <c r="S5925" s="27" t="n"/>
      <c r="T5925" s="27" t="n"/>
    </row>
    <row r="5926" ht="13.8" customFormat="1" customHeight="1" s="70">
      <c r="M5926" s="27" t="n"/>
      <c r="N5926" s="27" t="n"/>
      <c r="O5926" s="27" t="n"/>
      <c r="P5926" s="27" t="n"/>
      <c r="Q5926" s="27" t="n"/>
      <c r="R5926" s="27" t="n"/>
      <c r="S5926" s="27" t="n"/>
      <c r="T5926" s="27" t="n"/>
    </row>
    <row r="5927" ht="13.8" customFormat="1" customHeight="1" s="70">
      <c r="M5927" s="27" t="n"/>
      <c r="N5927" s="27" t="n"/>
      <c r="O5927" s="27" t="n"/>
      <c r="P5927" s="27" t="n"/>
      <c r="Q5927" s="27" t="n"/>
      <c r="R5927" s="27" t="n"/>
      <c r="S5927" s="27" t="n"/>
      <c r="T5927" s="27" t="n"/>
    </row>
    <row r="5928" ht="13.8" customFormat="1" customHeight="1" s="70">
      <c r="M5928" s="27" t="n"/>
      <c r="N5928" s="27" t="n"/>
      <c r="O5928" s="27" t="n"/>
      <c r="P5928" s="27" t="n"/>
      <c r="Q5928" s="27" t="n"/>
      <c r="R5928" s="27" t="n"/>
      <c r="S5928" s="27" t="n"/>
      <c r="T5928" s="27" t="n"/>
    </row>
    <row r="5929" ht="13.8" customFormat="1" customHeight="1" s="70">
      <c r="M5929" s="27" t="n"/>
      <c r="N5929" s="27" t="n"/>
      <c r="O5929" s="27" t="n"/>
      <c r="P5929" s="27" t="n"/>
      <c r="Q5929" s="27" t="n"/>
      <c r="R5929" s="27" t="n"/>
      <c r="S5929" s="27" t="n"/>
      <c r="T5929" s="27" t="n"/>
    </row>
    <row r="5930" ht="13.8" customFormat="1" customHeight="1" s="70">
      <c r="M5930" s="27" t="n"/>
      <c r="N5930" s="27" t="n"/>
      <c r="O5930" s="27" t="n"/>
      <c r="P5930" s="27" t="n"/>
      <c r="Q5930" s="27" t="n"/>
      <c r="R5930" s="27" t="n"/>
      <c r="S5930" s="27" t="n"/>
      <c r="T5930" s="27" t="n"/>
    </row>
    <row r="5931" ht="13.8" customFormat="1" customHeight="1" s="70">
      <c r="M5931" s="27" t="n"/>
      <c r="N5931" s="27" t="n"/>
      <c r="O5931" s="27" t="n"/>
      <c r="P5931" s="27" t="n"/>
      <c r="Q5931" s="27" t="n"/>
      <c r="R5931" s="27" t="n"/>
      <c r="S5931" s="27" t="n"/>
      <c r="T5931" s="27" t="n"/>
    </row>
    <row r="5932" ht="13.8" customFormat="1" customHeight="1" s="70">
      <c r="M5932" s="27" t="n"/>
      <c r="N5932" s="27" t="n"/>
      <c r="O5932" s="27" t="n"/>
      <c r="P5932" s="27" t="n"/>
      <c r="Q5932" s="27" t="n"/>
      <c r="R5932" s="27" t="n"/>
      <c r="S5932" s="27" t="n"/>
      <c r="T5932" s="27" t="n"/>
    </row>
    <row r="5933" ht="13.8" customFormat="1" customHeight="1" s="70">
      <c r="M5933" s="27" t="n"/>
      <c r="N5933" s="27" t="n"/>
      <c r="O5933" s="27" t="n"/>
      <c r="P5933" s="27" t="n"/>
      <c r="Q5933" s="27" t="n"/>
      <c r="R5933" s="27" t="n"/>
      <c r="S5933" s="27" t="n"/>
      <c r="T5933" s="27" t="n"/>
    </row>
    <row r="5934" ht="13.8" customFormat="1" customHeight="1" s="70">
      <c r="M5934" s="27" t="n"/>
      <c r="N5934" s="27" t="n"/>
      <c r="O5934" s="27" t="n"/>
      <c r="P5934" s="27" t="n"/>
      <c r="Q5934" s="27" t="n"/>
      <c r="R5934" s="27" t="n"/>
      <c r="S5934" s="27" t="n"/>
      <c r="T5934" s="27" t="n"/>
    </row>
    <row r="5935" ht="13.8" customFormat="1" customHeight="1" s="70">
      <c r="M5935" s="27" t="n"/>
      <c r="N5935" s="27" t="n"/>
      <c r="O5935" s="27" t="n"/>
      <c r="P5935" s="27" t="n"/>
      <c r="Q5935" s="27" t="n"/>
      <c r="R5935" s="27" t="n"/>
      <c r="S5935" s="27" t="n"/>
      <c r="T5935" s="27" t="n"/>
    </row>
    <row r="5936" ht="13.8" customFormat="1" customHeight="1" s="70">
      <c r="M5936" s="27" t="n"/>
      <c r="N5936" s="27" t="n"/>
      <c r="O5936" s="27" t="n"/>
      <c r="P5936" s="27" t="n"/>
      <c r="Q5936" s="27" t="n"/>
      <c r="R5936" s="27" t="n"/>
      <c r="S5936" s="27" t="n"/>
      <c r="T5936" s="27" t="n"/>
    </row>
    <row r="5937" ht="13.8" customFormat="1" customHeight="1" s="70">
      <c r="M5937" s="27" t="n"/>
      <c r="N5937" s="27" t="n"/>
      <c r="O5937" s="27" t="n"/>
      <c r="P5937" s="27" t="n"/>
      <c r="Q5937" s="27" t="n"/>
      <c r="R5937" s="27" t="n"/>
      <c r="S5937" s="27" t="n"/>
      <c r="T5937" s="27" t="n"/>
    </row>
    <row r="5938" ht="13.8" customFormat="1" customHeight="1" s="70">
      <c r="M5938" s="27" t="n"/>
      <c r="N5938" s="27" t="n"/>
      <c r="O5938" s="27" t="n"/>
      <c r="P5938" s="27" t="n"/>
      <c r="Q5938" s="27" t="n"/>
      <c r="R5938" s="27" t="n"/>
      <c r="S5938" s="27" t="n"/>
      <c r="T5938" s="27" t="n"/>
    </row>
    <row r="5939" ht="13.8" customFormat="1" customHeight="1" s="70">
      <c r="M5939" s="27" t="n"/>
      <c r="N5939" s="27" t="n"/>
      <c r="O5939" s="27" t="n"/>
      <c r="P5939" s="27" t="n"/>
      <c r="Q5939" s="27" t="n"/>
      <c r="R5939" s="27" t="n"/>
      <c r="S5939" s="27" t="n"/>
      <c r="T5939" s="27" t="n"/>
    </row>
    <row r="5940" ht="13.8" customFormat="1" customHeight="1" s="70">
      <c r="M5940" s="27" t="n"/>
      <c r="N5940" s="27" t="n"/>
      <c r="O5940" s="27" t="n"/>
      <c r="P5940" s="27" t="n"/>
      <c r="Q5940" s="27" t="n"/>
      <c r="R5940" s="27" t="n"/>
      <c r="S5940" s="27" t="n"/>
      <c r="T5940" s="27" t="n"/>
    </row>
    <row r="5941" ht="13.8" customFormat="1" customHeight="1" s="70">
      <c r="M5941" s="27" t="n"/>
      <c r="N5941" s="27" t="n"/>
      <c r="O5941" s="27" t="n"/>
      <c r="P5941" s="27" t="n"/>
      <c r="Q5941" s="27" t="n"/>
      <c r="R5941" s="27" t="n"/>
      <c r="S5941" s="27" t="n"/>
      <c r="T5941" s="27" t="n"/>
    </row>
    <row r="5942" ht="13.8" customFormat="1" customHeight="1" s="70">
      <c r="M5942" s="27" t="n"/>
      <c r="N5942" s="27" t="n"/>
      <c r="O5942" s="27" t="n"/>
      <c r="P5942" s="27" t="n"/>
      <c r="Q5942" s="27" t="n"/>
      <c r="R5942" s="27" t="n"/>
      <c r="S5942" s="27" t="n"/>
      <c r="T5942" s="27" t="n"/>
    </row>
    <row r="5943" ht="13.8" customFormat="1" customHeight="1" s="70">
      <c r="M5943" s="27" t="n"/>
      <c r="N5943" s="27" t="n"/>
      <c r="O5943" s="27" t="n"/>
      <c r="P5943" s="27" t="n"/>
      <c r="Q5943" s="27" t="n"/>
      <c r="R5943" s="27" t="n"/>
      <c r="S5943" s="27" t="n"/>
      <c r="T5943" s="27" t="n"/>
    </row>
    <row r="5944" ht="13.8" customFormat="1" customHeight="1" s="70">
      <c r="M5944" s="27" t="n"/>
      <c r="N5944" s="27" t="n"/>
      <c r="O5944" s="27" t="n"/>
      <c r="P5944" s="27" t="n"/>
      <c r="Q5944" s="27" t="n"/>
      <c r="R5944" s="27" t="n"/>
      <c r="S5944" s="27" t="n"/>
      <c r="T5944" s="27" t="n"/>
    </row>
    <row r="5945" ht="13.8" customFormat="1" customHeight="1" s="70">
      <c r="M5945" s="27" t="n"/>
      <c r="N5945" s="27" t="n"/>
      <c r="O5945" s="27" t="n"/>
      <c r="P5945" s="27" t="n"/>
      <c r="Q5945" s="27" t="n"/>
      <c r="R5945" s="27" t="n"/>
      <c r="S5945" s="27" t="n"/>
      <c r="T5945" s="27" t="n"/>
    </row>
    <row r="5946" ht="13.8" customFormat="1" customHeight="1" s="70">
      <c r="M5946" s="27" t="n"/>
      <c r="N5946" s="27" t="n"/>
      <c r="O5946" s="27" t="n"/>
      <c r="P5946" s="27" t="n"/>
      <c r="Q5946" s="27" t="n"/>
      <c r="R5946" s="27" t="n"/>
      <c r="S5946" s="27" t="n"/>
      <c r="T5946" s="27" t="n"/>
    </row>
    <row r="5947" ht="13.8" customFormat="1" customHeight="1" s="70">
      <c r="M5947" s="27" t="n"/>
      <c r="N5947" s="27" t="n"/>
      <c r="O5947" s="27" t="n"/>
      <c r="P5947" s="27" t="n"/>
      <c r="Q5947" s="27" t="n"/>
      <c r="R5947" s="27" t="n"/>
      <c r="S5947" s="27" t="n"/>
      <c r="T5947" s="27" t="n"/>
    </row>
    <row r="5948" ht="13.8" customFormat="1" customHeight="1" s="70">
      <c r="M5948" s="27" t="n"/>
      <c r="N5948" s="27" t="n"/>
      <c r="O5948" s="27" t="n"/>
      <c r="P5948" s="27" t="n"/>
      <c r="Q5948" s="27" t="n"/>
      <c r="R5948" s="27" t="n"/>
      <c r="S5948" s="27" t="n"/>
      <c r="T5948" s="27" t="n"/>
    </row>
    <row r="5949" ht="13.8" customFormat="1" customHeight="1" s="70">
      <c r="M5949" s="27" t="n"/>
      <c r="N5949" s="27" t="n"/>
      <c r="O5949" s="27" t="n"/>
      <c r="P5949" s="27" t="n"/>
      <c r="Q5949" s="27" t="n"/>
      <c r="R5949" s="27" t="n"/>
      <c r="S5949" s="27" t="n"/>
      <c r="T5949" s="27" t="n"/>
    </row>
    <row r="5950" ht="13.8" customFormat="1" customHeight="1" s="70">
      <c r="M5950" s="27" t="n"/>
      <c r="N5950" s="27" t="n"/>
      <c r="O5950" s="27" t="n"/>
      <c r="P5950" s="27" t="n"/>
      <c r="Q5950" s="27" t="n"/>
      <c r="R5950" s="27" t="n"/>
      <c r="S5950" s="27" t="n"/>
      <c r="T5950" s="27" t="n"/>
    </row>
    <row r="5951" ht="13.8" customFormat="1" customHeight="1" s="70">
      <c r="M5951" s="27" t="n"/>
      <c r="N5951" s="27" t="n"/>
      <c r="O5951" s="27" t="n"/>
      <c r="P5951" s="27" t="n"/>
      <c r="Q5951" s="27" t="n"/>
      <c r="R5951" s="27" t="n"/>
      <c r="S5951" s="27" t="n"/>
      <c r="T5951" s="27" t="n"/>
    </row>
    <row r="5952" ht="13.8" customFormat="1" customHeight="1" s="70">
      <c r="M5952" s="27" t="n"/>
      <c r="N5952" s="27" t="n"/>
      <c r="O5952" s="27" t="n"/>
      <c r="P5952" s="27" t="n"/>
      <c r="Q5952" s="27" t="n"/>
      <c r="R5952" s="27" t="n"/>
      <c r="S5952" s="27" t="n"/>
      <c r="T5952" s="27" t="n"/>
    </row>
    <row r="5953" ht="13.8" customFormat="1" customHeight="1" s="70">
      <c r="M5953" s="27" t="n"/>
      <c r="N5953" s="27" t="n"/>
      <c r="O5953" s="27" t="n"/>
      <c r="P5953" s="27" t="n"/>
      <c r="Q5953" s="27" t="n"/>
      <c r="R5953" s="27" t="n"/>
      <c r="S5953" s="27" t="n"/>
      <c r="T5953" s="27" t="n"/>
    </row>
    <row r="5954" ht="13.8" customFormat="1" customHeight="1" s="70">
      <c r="M5954" s="27" t="n"/>
      <c r="N5954" s="27" t="n"/>
      <c r="O5954" s="27" t="n"/>
      <c r="P5954" s="27" t="n"/>
      <c r="Q5954" s="27" t="n"/>
      <c r="R5954" s="27" t="n"/>
      <c r="S5954" s="27" t="n"/>
      <c r="T5954" s="27" t="n"/>
    </row>
    <row r="5955" ht="13.8" customFormat="1" customHeight="1" s="70">
      <c r="M5955" s="27" t="n"/>
      <c r="N5955" s="27" t="n"/>
      <c r="O5955" s="27" t="n"/>
      <c r="P5955" s="27" t="n"/>
      <c r="Q5955" s="27" t="n"/>
      <c r="R5955" s="27" t="n"/>
      <c r="S5955" s="27" t="n"/>
      <c r="T5955" s="27" t="n"/>
    </row>
    <row r="5956" ht="13.8" customFormat="1" customHeight="1" s="70">
      <c r="M5956" s="27" t="n"/>
      <c r="N5956" s="27" t="n"/>
      <c r="O5956" s="27" t="n"/>
      <c r="P5956" s="27" t="n"/>
      <c r="Q5956" s="27" t="n"/>
      <c r="R5956" s="27" t="n"/>
      <c r="S5956" s="27" t="n"/>
      <c r="T5956" s="27" t="n"/>
    </row>
    <row r="5957" ht="13.8" customFormat="1" customHeight="1" s="70">
      <c r="M5957" s="27" t="n"/>
      <c r="N5957" s="27" t="n"/>
      <c r="O5957" s="27" t="n"/>
      <c r="P5957" s="27" t="n"/>
      <c r="Q5957" s="27" t="n"/>
      <c r="R5957" s="27" t="n"/>
      <c r="S5957" s="27" t="n"/>
      <c r="T5957" s="27" t="n"/>
    </row>
    <row r="5958" ht="13.8" customFormat="1" customHeight="1" s="70">
      <c r="M5958" s="27" t="n"/>
      <c r="N5958" s="27" t="n"/>
      <c r="O5958" s="27" t="n"/>
      <c r="P5958" s="27" t="n"/>
      <c r="Q5958" s="27" t="n"/>
      <c r="R5958" s="27" t="n"/>
      <c r="S5958" s="27" t="n"/>
      <c r="T5958" s="27" t="n"/>
    </row>
    <row r="5959" ht="13.8" customFormat="1" customHeight="1" s="70">
      <c r="M5959" s="27" t="n"/>
      <c r="N5959" s="27" t="n"/>
      <c r="O5959" s="27" t="n"/>
      <c r="P5959" s="27" t="n"/>
      <c r="Q5959" s="27" t="n"/>
      <c r="R5959" s="27" t="n"/>
      <c r="S5959" s="27" t="n"/>
      <c r="T5959" s="27" t="n"/>
    </row>
    <row r="5960" ht="13.8" customFormat="1" customHeight="1" s="70">
      <c r="M5960" s="27" t="n"/>
      <c r="N5960" s="27" t="n"/>
      <c r="O5960" s="27" t="n"/>
      <c r="P5960" s="27" t="n"/>
      <c r="Q5960" s="27" t="n"/>
      <c r="R5960" s="27" t="n"/>
      <c r="S5960" s="27" t="n"/>
      <c r="T5960" s="27" t="n"/>
    </row>
    <row r="5961" ht="13.8" customFormat="1" customHeight="1" s="70">
      <c r="M5961" s="27" t="n"/>
      <c r="N5961" s="27" t="n"/>
      <c r="O5961" s="27" t="n"/>
      <c r="P5961" s="27" t="n"/>
      <c r="Q5961" s="27" t="n"/>
      <c r="R5961" s="27" t="n"/>
      <c r="S5961" s="27" t="n"/>
      <c r="T5961" s="27" t="n"/>
    </row>
    <row r="5962" ht="13.8" customFormat="1" customHeight="1" s="70">
      <c r="M5962" s="27" t="n"/>
      <c r="N5962" s="27" t="n"/>
      <c r="O5962" s="27" t="n"/>
      <c r="P5962" s="27" t="n"/>
      <c r="Q5962" s="27" t="n"/>
      <c r="R5962" s="27" t="n"/>
      <c r="S5962" s="27" t="n"/>
      <c r="T5962" s="27" t="n"/>
    </row>
    <row r="5963" ht="13.8" customFormat="1" customHeight="1" s="70">
      <c r="M5963" s="27" t="n"/>
      <c r="N5963" s="27" t="n"/>
      <c r="O5963" s="27" t="n"/>
      <c r="P5963" s="27" t="n"/>
      <c r="Q5963" s="27" t="n"/>
      <c r="R5963" s="27" t="n"/>
      <c r="S5963" s="27" t="n"/>
      <c r="T5963" s="27" t="n"/>
    </row>
    <row r="5964" ht="13.8" customFormat="1" customHeight="1" s="70">
      <c r="M5964" s="27" t="n"/>
      <c r="N5964" s="27" t="n"/>
      <c r="O5964" s="27" t="n"/>
      <c r="P5964" s="27" t="n"/>
      <c r="Q5964" s="27" t="n"/>
      <c r="R5964" s="27" t="n"/>
      <c r="S5964" s="27" t="n"/>
      <c r="T5964" s="27" t="n"/>
    </row>
    <row r="5965" ht="13.8" customFormat="1" customHeight="1" s="70">
      <c r="M5965" s="27" t="n"/>
      <c r="N5965" s="27" t="n"/>
      <c r="O5965" s="27" t="n"/>
      <c r="P5965" s="27" t="n"/>
      <c r="Q5965" s="27" t="n"/>
      <c r="R5965" s="27" t="n"/>
      <c r="S5965" s="27" t="n"/>
      <c r="T5965" s="27" t="n"/>
    </row>
    <row r="5966" ht="13.8" customFormat="1" customHeight="1" s="70">
      <c r="M5966" s="27" t="n"/>
      <c r="N5966" s="27" t="n"/>
      <c r="O5966" s="27" t="n"/>
      <c r="P5966" s="27" t="n"/>
      <c r="Q5966" s="27" t="n"/>
      <c r="R5966" s="27" t="n"/>
      <c r="S5966" s="27" t="n"/>
      <c r="T5966" s="27" t="n"/>
    </row>
    <row r="5967" ht="13.8" customFormat="1" customHeight="1" s="70">
      <c r="M5967" s="27" t="n"/>
      <c r="N5967" s="27" t="n"/>
      <c r="O5967" s="27" t="n"/>
      <c r="P5967" s="27" t="n"/>
      <c r="Q5967" s="27" t="n"/>
      <c r="R5967" s="27" t="n"/>
      <c r="S5967" s="27" t="n"/>
      <c r="T5967" s="27" t="n"/>
    </row>
    <row r="5968" ht="13.8" customFormat="1" customHeight="1" s="70">
      <c r="M5968" s="27" t="n"/>
      <c r="N5968" s="27" t="n"/>
      <c r="O5968" s="27" t="n"/>
      <c r="P5968" s="27" t="n"/>
      <c r="Q5968" s="27" t="n"/>
      <c r="R5968" s="27" t="n"/>
      <c r="S5968" s="27" t="n"/>
      <c r="T5968" s="27" t="n"/>
    </row>
    <row r="5969" ht="13.8" customFormat="1" customHeight="1" s="70">
      <c r="M5969" s="27" t="n"/>
      <c r="N5969" s="27" t="n"/>
      <c r="O5969" s="27" t="n"/>
      <c r="P5969" s="27" t="n"/>
      <c r="Q5969" s="27" t="n"/>
      <c r="R5969" s="27" t="n"/>
      <c r="S5969" s="27" t="n"/>
      <c r="T5969" s="27" t="n"/>
    </row>
    <row r="5970" ht="13.8" customFormat="1" customHeight="1" s="70">
      <c r="M5970" s="27" t="n"/>
      <c r="N5970" s="27" t="n"/>
      <c r="O5970" s="27" t="n"/>
      <c r="P5970" s="27" t="n"/>
      <c r="Q5970" s="27" t="n"/>
      <c r="R5970" s="27" t="n"/>
      <c r="S5970" s="27" t="n"/>
      <c r="T5970" s="27" t="n"/>
    </row>
    <row r="5971" ht="13.8" customFormat="1" customHeight="1" s="70">
      <c r="M5971" s="27" t="n"/>
      <c r="N5971" s="27" t="n"/>
      <c r="O5971" s="27" t="n"/>
      <c r="P5971" s="27" t="n"/>
      <c r="Q5971" s="27" t="n"/>
      <c r="R5971" s="27" t="n"/>
      <c r="S5971" s="27" t="n"/>
      <c r="T5971" s="27" t="n"/>
    </row>
    <row r="5972" ht="13.8" customFormat="1" customHeight="1" s="70">
      <c r="M5972" s="27" t="n"/>
      <c r="N5972" s="27" t="n"/>
      <c r="O5972" s="27" t="n"/>
      <c r="P5972" s="27" t="n"/>
      <c r="Q5972" s="27" t="n"/>
      <c r="R5972" s="27" t="n"/>
      <c r="S5972" s="27" t="n"/>
      <c r="T5972" s="27" t="n"/>
    </row>
    <row r="5973" ht="13.8" customFormat="1" customHeight="1" s="70">
      <c r="M5973" s="27" t="n"/>
      <c r="N5973" s="27" t="n"/>
      <c r="O5973" s="27" t="n"/>
      <c r="P5973" s="27" t="n"/>
      <c r="Q5973" s="27" t="n"/>
      <c r="R5973" s="27" t="n"/>
      <c r="S5973" s="27" t="n"/>
      <c r="T5973" s="27" t="n"/>
    </row>
    <row r="5974" ht="13.8" customFormat="1" customHeight="1" s="70">
      <c r="M5974" s="27" t="n"/>
      <c r="N5974" s="27" t="n"/>
      <c r="O5974" s="27" t="n"/>
      <c r="P5974" s="27" t="n"/>
      <c r="Q5974" s="27" t="n"/>
      <c r="R5974" s="27" t="n"/>
      <c r="S5974" s="27" t="n"/>
      <c r="T5974" s="27" t="n"/>
    </row>
    <row r="5975" ht="13.8" customFormat="1" customHeight="1" s="70">
      <c r="M5975" s="27" t="n"/>
      <c r="N5975" s="27" t="n"/>
      <c r="O5975" s="27" t="n"/>
      <c r="P5975" s="27" t="n"/>
      <c r="Q5975" s="27" t="n"/>
      <c r="R5975" s="27" t="n"/>
      <c r="S5975" s="27" t="n"/>
      <c r="T5975" s="27" t="n"/>
    </row>
    <row r="5976" ht="13.8" customFormat="1" customHeight="1" s="70">
      <c r="M5976" s="27" t="n"/>
      <c r="N5976" s="27" t="n"/>
      <c r="O5976" s="27" t="n"/>
      <c r="P5976" s="27" t="n"/>
      <c r="Q5976" s="27" t="n"/>
      <c r="R5976" s="27" t="n"/>
      <c r="S5976" s="27" t="n"/>
      <c r="T5976" s="27" t="n"/>
    </row>
    <row r="5977" ht="13.8" customFormat="1" customHeight="1" s="70">
      <c r="M5977" s="27" t="n"/>
      <c r="N5977" s="27" t="n"/>
      <c r="O5977" s="27" t="n"/>
      <c r="P5977" s="27" t="n"/>
      <c r="Q5977" s="27" t="n"/>
      <c r="R5977" s="27" t="n"/>
      <c r="S5977" s="27" t="n"/>
      <c r="T5977" s="27" t="n"/>
    </row>
    <row r="5978" ht="13.8" customFormat="1" customHeight="1" s="70">
      <c r="M5978" s="27" t="n"/>
      <c r="N5978" s="27" t="n"/>
      <c r="O5978" s="27" t="n"/>
      <c r="P5978" s="27" t="n"/>
      <c r="Q5978" s="27" t="n"/>
      <c r="R5978" s="27" t="n"/>
      <c r="S5978" s="27" t="n"/>
      <c r="T5978" s="27" t="n"/>
    </row>
    <row r="5979" ht="13.8" customFormat="1" customHeight="1" s="70">
      <c r="M5979" s="27" t="n"/>
      <c r="N5979" s="27" t="n"/>
      <c r="O5979" s="27" t="n"/>
      <c r="P5979" s="27" t="n"/>
      <c r="Q5979" s="27" t="n"/>
      <c r="R5979" s="27" t="n"/>
      <c r="S5979" s="27" t="n"/>
      <c r="T5979" s="27" t="n"/>
    </row>
    <row r="5980" ht="13.8" customFormat="1" customHeight="1" s="70">
      <c r="M5980" s="27" t="n"/>
      <c r="N5980" s="27" t="n"/>
      <c r="O5980" s="27" t="n"/>
      <c r="P5980" s="27" t="n"/>
      <c r="Q5980" s="27" t="n"/>
      <c r="R5980" s="27" t="n"/>
      <c r="S5980" s="27" t="n"/>
      <c r="T5980" s="27" t="n"/>
    </row>
    <row r="5981" ht="13.8" customFormat="1" customHeight="1" s="70">
      <c r="M5981" s="27" t="n"/>
      <c r="N5981" s="27" t="n"/>
      <c r="O5981" s="27" t="n"/>
      <c r="P5981" s="27" t="n"/>
      <c r="Q5981" s="27" t="n"/>
      <c r="R5981" s="27" t="n"/>
      <c r="S5981" s="27" t="n"/>
      <c r="T5981" s="27" t="n"/>
    </row>
    <row r="5982" ht="13.8" customFormat="1" customHeight="1" s="70">
      <c r="M5982" s="27" t="n"/>
      <c r="N5982" s="27" t="n"/>
      <c r="O5982" s="27" t="n"/>
      <c r="P5982" s="27" t="n"/>
      <c r="Q5982" s="27" t="n"/>
      <c r="R5982" s="27" t="n"/>
      <c r="S5982" s="27" t="n"/>
      <c r="T5982" s="27" t="n"/>
    </row>
    <row r="5983" ht="13.8" customFormat="1" customHeight="1" s="70">
      <c r="M5983" s="27" t="n"/>
      <c r="N5983" s="27" t="n"/>
      <c r="O5983" s="27" t="n"/>
      <c r="P5983" s="27" t="n"/>
      <c r="Q5983" s="27" t="n"/>
      <c r="R5983" s="27" t="n"/>
      <c r="S5983" s="27" t="n"/>
      <c r="T5983" s="27" t="n"/>
    </row>
    <row r="5984" ht="13.8" customFormat="1" customHeight="1" s="70">
      <c r="M5984" s="27" t="n"/>
      <c r="N5984" s="27" t="n"/>
      <c r="O5984" s="27" t="n"/>
      <c r="P5984" s="27" t="n"/>
      <c r="Q5984" s="27" t="n"/>
      <c r="R5984" s="27" t="n"/>
      <c r="S5984" s="27" t="n"/>
      <c r="T5984" s="27" t="n"/>
    </row>
    <row r="5985" ht="13.8" customFormat="1" customHeight="1" s="70">
      <c r="M5985" s="27" t="n"/>
      <c r="N5985" s="27" t="n"/>
      <c r="O5985" s="27" t="n"/>
      <c r="P5985" s="27" t="n"/>
      <c r="Q5985" s="27" t="n"/>
      <c r="R5985" s="27" t="n"/>
      <c r="S5985" s="27" t="n"/>
      <c r="T5985" s="27" t="n"/>
    </row>
    <row r="5986" ht="13.8" customFormat="1" customHeight="1" s="70">
      <c r="M5986" s="27" t="n"/>
      <c r="N5986" s="27" t="n"/>
      <c r="O5986" s="27" t="n"/>
      <c r="P5986" s="27" t="n"/>
      <c r="Q5986" s="27" t="n"/>
      <c r="R5986" s="27" t="n"/>
      <c r="S5986" s="27" t="n"/>
      <c r="T5986" s="27" t="n"/>
    </row>
    <row r="5987" ht="13.8" customFormat="1" customHeight="1" s="70">
      <c r="M5987" s="27" t="n"/>
      <c r="N5987" s="27" t="n"/>
      <c r="O5987" s="27" t="n"/>
      <c r="P5987" s="27" t="n"/>
      <c r="Q5987" s="27" t="n"/>
      <c r="R5987" s="27" t="n"/>
      <c r="S5987" s="27" t="n"/>
      <c r="T5987" s="27" t="n"/>
    </row>
    <row r="5988" ht="13.8" customFormat="1" customHeight="1" s="70">
      <c r="M5988" s="27" t="n"/>
      <c r="N5988" s="27" t="n"/>
      <c r="O5988" s="27" t="n"/>
      <c r="P5988" s="27" t="n"/>
      <c r="Q5988" s="27" t="n"/>
      <c r="R5988" s="27" t="n"/>
      <c r="S5988" s="27" t="n"/>
      <c r="T5988" s="27" t="n"/>
    </row>
    <row r="5989" ht="13.8" customFormat="1" customHeight="1" s="70">
      <c r="M5989" s="27" t="n"/>
      <c r="N5989" s="27" t="n"/>
      <c r="O5989" s="27" t="n"/>
      <c r="P5989" s="27" t="n"/>
      <c r="Q5989" s="27" t="n"/>
      <c r="R5989" s="27" t="n"/>
      <c r="S5989" s="27" t="n"/>
      <c r="T5989" s="27" t="n"/>
    </row>
    <row r="5990" ht="13.8" customFormat="1" customHeight="1" s="70">
      <c r="M5990" s="27" t="n"/>
      <c r="N5990" s="27" t="n"/>
      <c r="O5990" s="27" t="n"/>
      <c r="P5990" s="27" t="n"/>
      <c r="Q5990" s="27" t="n"/>
      <c r="R5990" s="27" t="n"/>
      <c r="S5990" s="27" t="n"/>
      <c r="T5990" s="27" t="n"/>
    </row>
    <row r="5991" ht="13.8" customFormat="1" customHeight="1" s="70">
      <c r="M5991" s="27" t="n"/>
      <c r="N5991" s="27" t="n"/>
      <c r="O5991" s="27" t="n"/>
      <c r="P5991" s="27" t="n"/>
      <c r="Q5991" s="27" t="n"/>
      <c r="R5991" s="27" t="n"/>
      <c r="S5991" s="27" t="n"/>
      <c r="T5991" s="27" t="n"/>
    </row>
    <row r="5992" ht="13.8" customFormat="1" customHeight="1" s="70">
      <c r="M5992" s="27" t="n"/>
      <c r="N5992" s="27" t="n"/>
      <c r="O5992" s="27" t="n"/>
      <c r="P5992" s="27" t="n"/>
      <c r="Q5992" s="27" t="n"/>
      <c r="R5992" s="27" t="n"/>
      <c r="S5992" s="27" t="n"/>
      <c r="T5992" s="27" t="n"/>
    </row>
    <row r="5993" ht="13.8" customFormat="1" customHeight="1" s="70">
      <c r="M5993" s="27" t="n"/>
      <c r="N5993" s="27" t="n"/>
      <c r="O5993" s="27" t="n"/>
      <c r="P5993" s="27" t="n"/>
      <c r="Q5993" s="27" t="n"/>
      <c r="R5993" s="27" t="n"/>
      <c r="S5993" s="27" t="n"/>
      <c r="T5993" s="27" t="n"/>
    </row>
    <row r="5994" ht="13.8" customFormat="1" customHeight="1" s="70">
      <c r="M5994" s="27" t="n"/>
      <c r="N5994" s="27" t="n"/>
      <c r="O5994" s="27" t="n"/>
      <c r="P5994" s="27" t="n"/>
      <c r="Q5994" s="27" t="n"/>
      <c r="R5994" s="27" t="n"/>
      <c r="S5994" s="27" t="n"/>
      <c r="T5994" s="27" t="n"/>
    </row>
    <row r="5995" ht="13.8" customFormat="1" customHeight="1" s="70">
      <c r="M5995" s="27" t="n"/>
      <c r="N5995" s="27" t="n"/>
      <c r="O5995" s="27" t="n"/>
      <c r="P5995" s="27" t="n"/>
      <c r="Q5995" s="27" t="n"/>
      <c r="R5995" s="27" t="n"/>
      <c r="S5995" s="27" t="n"/>
      <c r="T5995" s="27" t="n"/>
    </row>
    <row r="5996" ht="13.8" customFormat="1" customHeight="1" s="70">
      <c r="M5996" s="27" t="n"/>
      <c r="N5996" s="27" t="n"/>
      <c r="O5996" s="27" t="n"/>
      <c r="P5996" s="27" t="n"/>
      <c r="Q5996" s="27" t="n"/>
      <c r="R5996" s="27" t="n"/>
      <c r="S5996" s="27" t="n"/>
      <c r="T5996" s="27" t="n"/>
    </row>
    <row r="5997" ht="13.8" customFormat="1" customHeight="1" s="70">
      <c r="M5997" s="27" t="n"/>
      <c r="N5997" s="27" t="n"/>
      <c r="O5997" s="27" t="n"/>
      <c r="P5997" s="27" t="n"/>
      <c r="Q5997" s="27" t="n"/>
      <c r="R5997" s="27" t="n"/>
      <c r="S5997" s="27" t="n"/>
      <c r="T5997" s="27" t="n"/>
    </row>
    <row r="5998" ht="13.8" customFormat="1" customHeight="1" s="70">
      <c r="M5998" s="27" t="n"/>
      <c r="N5998" s="27" t="n"/>
      <c r="O5998" s="27" t="n"/>
      <c r="P5998" s="27" t="n"/>
      <c r="Q5998" s="27" t="n"/>
      <c r="R5998" s="27" t="n"/>
      <c r="S5998" s="27" t="n"/>
      <c r="T5998" s="27" t="n"/>
    </row>
    <row r="5999" ht="13.8" customFormat="1" customHeight="1" s="70">
      <c r="M5999" s="27" t="n"/>
      <c r="N5999" s="27" t="n"/>
      <c r="O5999" s="27" t="n"/>
      <c r="P5999" s="27" t="n"/>
      <c r="Q5999" s="27" t="n"/>
      <c r="R5999" s="27" t="n"/>
      <c r="S5999" s="27" t="n"/>
      <c r="T5999" s="27" t="n"/>
    </row>
    <row r="6000" ht="13.8" customFormat="1" customHeight="1" s="70">
      <c r="M6000" s="27" t="n"/>
      <c r="N6000" s="27" t="n"/>
      <c r="O6000" s="27" t="n"/>
      <c r="P6000" s="27" t="n"/>
      <c r="Q6000" s="27" t="n"/>
      <c r="R6000" s="27" t="n"/>
      <c r="S6000" s="27" t="n"/>
      <c r="T6000" s="27" t="n"/>
    </row>
    <row r="6001" ht="13.8" customFormat="1" customHeight="1" s="70">
      <c r="M6001" s="27" t="n"/>
      <c r="N6001" s="27" t="n"/>
      <c r="O6001" s="27" t="n"/>
      <c r="P6001" s="27" t="n"/>
      <c r="Q6001" s="27" t="n"/>
      <c r="R6001" s="27" t="n"/>
      <c r="S6001" s="27" t="n"/>
      <c r="T6001" s="27" t="n"/>
    </row>
    <row r="6002" ht="13.8" customFormat="1" customHeight="1" s="70">
      <c r="M6002" s="27" t="n"/>
      <c r="N6002" s="27" t="n"/>
      <c r="O6002" s="27" t="n"/>
      <c r="P6002" s="27" t="n"/>
      <c r="Q6002" s="27" t="n"/>
      <c r="R6002" s="27" t="n"/>
      <c r="S6002" s="27" t="n"/>
      <c r="T6002" s="27" t="n"/>
    </row>
    <row r="6003" ht="13.8" customFormat="1" customHeight="1" s="70">
      <c r="M6003" s="27" t="n"/>
      <c r="N6003" s="27" t="n"/>
      <c r="O6003" s="27" t="n"/>
      <c r="P6003" s="27" t="n"/>
      <c r="Q6003" s="27" t="n"/>
      <c r="R6003" s="27" t="n"/>
      <c r="S6003" s="27" t="n"/>
      <c r="T6003" s="27" t="n"/>
    </row>
    <row r="6004" ht="13.8" customFormat="1" customHeight="1" s="70">
      <c r="M6004" s="27" t="n"/>
      <c r="N6004" s="27" t="n"/>
      <c r="O6004" s="27" t="n"/>
      <c r="P6004" s="27" t="n"/>
      <c r="Q6004" s="27" t="n"/>
      <c r="R6004" s="27" t="n"/>
      <c r="S6004" s="27" t="n"/>
      <c r="T6004" s="27" t="n"/>
    </row>
    <row r="6005" ht="13.8" customFormat="1" customHeight="1" s="70">
      <c r="M6005" s="27" t="n"/>
      <c r="N6005" s="27" t="n"/>
      <c r="O6005" s="27" t="n"/>
      <c r="P6005" s="27" t="n"/>
      <c r="Q6005" s="27" t="n"/>
      <c r="R6005" s="27" t="n"/>
      <c r="S6005" s="27" t="n"/>
      <c r="T6005" s="27" t="n"/>
    </row>
    <row r="6006" ht="13.8" customFormat="1" customHeight="1" s="70">
      <c r="M6006" s="27" t="n"/>
      <c r="N6006" s="27" t="n"/>
      <c r="O6006" s="27" t="n"/>
      <c r="P6006" s="27" t="n"/>
      <c r="Q6006" s="27" t="n"/>
      <c r="R6006" s="27" t="n"/>
      <c r="S6006" s="27" t="n"/>
      <c r="T6006" s="27" t="n"/>
    </row>
    <row r="6007" ht="13.8" customFormat="1" customHeight="1" s="70">
      <c r="M6007" s="27" t="n"/>
      <c r="N6007" s="27" t="n"/>
      <c r="O6007" s="27" t="n"/>
      <c r="P6007" s="27" t="n"/>
      <c r="Q6007" s="27" t="n"/>
      <c r="R6007" s="27" t="n"/>
      <c r="S6007" s="27" t="n"/>
      <c r="T6007" s="27" t="n"/>
    </row>
    <row r="6008" ht="13.8" customFormat="1" customHeight="1" s="70">
      <c r="M6008" s="27" t="n"/>
      <c r="N6008" s="27" t="n"/>
      <c r="O6008" s="27" t="n"/>
      <c r="P6008" s="27" t="n"/>
      <c r="Q6008" s="27" t="n"/>
      <c r="R6008" s="27" t="n"/>
      <c r="S6008" s="27" t="n"/>
      <c r="T6008" s="27" t="n"/>
    </row>
    <row r="6009" ht="13.8" customFormat="1" customHeight="1" s="70">
      <c r="M6009" s="27" t="n"/>
      <c r="N6009" s="27" t="n"/>
      <c r="O6009" s="27" t="n"/>
      <c r="P6009" s="27" t="n"/>
      <c r="Q6009" s="27" t="n"/>
      <c r="R6009" s="27" t="n"/>
      <c r="S6009" s="27" t="n"/>
      <c r="T6009" s="27" t="n"/>
    </row>
    <row r="6010" ht="13.8" customFormat="1" customHeight="1" s="70">
      <c r="M6010" s="27" t="n"/>
      <c r="N6010" s="27" t="n"/>
      <c r="O6010" s="27" t="n"/>
      <c r="P6010" s="27" t="n"/>
      <c r="Q6010" s="27" t="n"/>
      <c r="R6010" s="27" t="n"/>
      <c r="S6010" s="27" t="n"/>
      <c r="T6010" s="27" t="n"/>
    </row>
    <row r="6011" ht="13.8" customFormat="1" customHeight="1" s="70">
      <c r="M6011" s="27" t="n"/>
      <c r="N6011" s="27" t="n"/>
      <c r="O6011" s="27" t="n"/>
      <c r="P6011" s="27" t="n"/>
      <c r="Q6011" s="27" t="n"/>
      <c r="R6011" s="27" t="n"/>
      <c r="S6011" s="27" t="n"/>
      <c r="T6011" s="27" t="n"/>
    </row>
    <row r="6012" ht="13.8" customFormat="1" customHeight="1" s="70">
      <c r="M6012" s="27" t="n"/>
      <c r="N6012" s="27" t="n"/>
      <c r="O6012" s="27" t="n"/>
      <c r="P6012" s="27" t="n"/>
      <c r="Q6012" s="27" t="n"/>
      <c r="R6012" s="27" t="n"/>
      <c r="S6012" s="27" t="n"/>
      <c r="T6012" s="27" t="n"/>
    </row>
    <row r="6013" ht="13.8" customFormat="1" customHeight="1" s="70">
      <c r="M6013" s="27" t="n"/>
      <c r="N6013" s="27" t="n"/>
      <c r="O6013" s="27" t="n"/>
      <c r="P6013" s="27" t="n"/>
      <c r="Q6013" s="27" t="n"/>
      <c r="R6013" s="27" t="n"/>
      <c r="S6013" s="27" t="n"/>
      <c r="T6013" s="27" t="n"/>
    </row>
    <row r="6014" ht="13.8" customFormat="1" customHeight="1" s="70">
      <c r="M6014" s="27" t="n"/>
      <c r="N6014" s="27" t="n"/>
      <c r="O6014" s="27" t="n"/>
      <c r="P6014" s="27" t="n"/>
      <c r="Q6014" s="27" t="n"/>
      <c r="R6014" s="27" t="n"/>
      <c r="S6014" s="27" t="n"/>
      <c r="T6014" s="27" t="n"/>
    </row>
    <row r="6015" ht="13.8" customFormat="1" customHeight="1" s="70">
      <c r="M6015" s="27" t="n"/>
      <c r="N6015" s="27" t="n"/>
      <c r="O6015" s="27" t="n"/>
      <c r="P6015" s="27" t="n"/>
      <c r="Q6015" s="27" t="n"/>
      <c r="R6015" s="27" t="n"/>
      <c r="S6015" s="27" t="n"/>
      <c r="T6015" s="27" t="n"/>
    </row>
    <row r="6016" ht="13.8" customFormat="1" customHeight="1" s="70">
      <c r="M6016" s="27" t="n"/>
      <c r="N6016" s="27" t="n"/>
      <c r="O6016" s="27" t="n"/>
      <c r="P6016" s="27" t="n"/>
      <c r="Q6016" s="27" t="n"/>
      <c r="R6016" s="27" t="n"/>
      <c r="S6016" s="27" t="n"/>
      <c r="T6016" s="27" t="n"/>
    </row>
    <row r="6017" ht="13.8" customFormat="1" customHeight="1" s="70">
      <c r="M6017" s="27" t="n"/>
      <c r="N6017" s="27" t="n"/>
      <c r="O6017" s="27" t="n"/>
      <c r="P6017" s="27" t="n"/>
      <c r="Q6017" s="27" t="n"/>
      <c r="R6017" s="27" t="n"/>
      <c r="S6017" s="27" t="n"/>
      <c r="T6017" s="27" t="n"/>
    </row>
    <row r="6018" ht="13.8" customFormat="1" customHeight="1" s="70">
      <c r="M6018" s="27" t="n"/>
      <c r="N6018" s="27" t="n"/>
      <c r="O6018" s="27" t="n"/>
      <c r="P6018" s="27" t="n"/>
      <c r="Q6018" s="27" t="n"/>
      <c r="R6018" s="27" t="n"/>
      <c r="S6018" s="27" t="n"/>
      <c r="T6018" s="27" t="n"/>
    </row>
    <row r="6019" ht="13.8" customFormat="1" customHeight="1" s="70">
      <c r="M6019" s="27" t="n"/>
      <c r="N6019" s="27" t="n"/>
      <c r="O6019" s="27" t="n"/>
      <c r="P6019" s="27" t="n"/>
      <c r="Q6019" s="27" t="n"/>
      <c r="R6019" s="27" t="n"/>
      <c r="S6019" s="27" t="n"/>
      <c r="T6019" s="27" t="n"/>
    </row>
    <row r="6020" ht="13.8" customFormat="1" customHeight="1" s="70">
      <c r="M6020" s="27" t="n"/>
      <c r="N6020" s="27" t="n"/>
      <c r="O6020" s="27" t="n"/>
      <c r="P6020" s="27" t="n"/>
      <c r="Q6020" s="27" t="n"/>
      <c r="R6020" s="27" t="n"/>
      <c r="S6020" s="27" t="n"/>
      <c r="T6020" s="27" t="n"/>
    </row>
    <row r="6021" ht="13.8" customFormat="1" customHeight="1" s="70">
      <c r="M6021" s="27" t="n"/>
      <c r="N6021" s="27" t="n"/>
      <c r="O6021" s="27" t="n"/>
      <c r="P6021" s="27" t="n"/>
      <c r="Q6021" s="27" t="n"/>
      <c r="R6021" s="27" t="n"/>
      <c r="S6021" s="27" t="n"/>
      <c r="T6021" s="27" t="n"/>
    </row>
    <row r="6022" ht="13.8" customFormat="1" customHeight="1" s="70">
      <c r="M6022" s="27" t="n"/>
      <c r="N6022" s="27" t="n"/>
      <c r="O6022" s="27" t="n"/>
      <c r="P6022" s="27" t="n"/>
      <c r="Q6022" s="27" t="n"/>
      <c r="R6022" s="27" t="n"/>
      <c r="S6022" s="27" t="n"/>
      <c r="T6022" s="27" t="n"/>
    </row>
    <row r="6023" ht="13.8" customFormat="1" customHeight="1" s="70">
      <c r="M6023" s="27" t="n"/>
      <c r="N6023" s="27" t="n"/>
      <c r="O6023" s="27" t="n"/>
      <c r="P6023" s="27" t="n"/>
      <c r="Q6023" s="27" t="n"/>
      <c r="R6023" s="27" t="n"/>
      <c r="S6023" s="27" t="n"/>
      <c r="T6023" s="27" t="n"/>
    </row>
    <row r="6024" ht="13.8" customFormat="1" customHeight="1" s="70">
      <c r="M6024" s="27" t="n"/>
      <c r="N6024" s="27" t="n"/>
      <c r="O6024" s="27" t="n"/>
      <c r="P6024" s="27" t="n"/>
      <c r="Q6024" s="27" t="n"/>
      <c r="R6024" s="27" t="n"/>
      <c r="S6024" s="27" t="n"/>
      <c r="T6024" s="27" t="n"/>
    </row>
    <row r="6025" ht="13.8" customFormat="1" customHeight="1" s="70">
      <c r="M6025" s="27" t="n"/>
      <c r="N6025" s="27" t="n"/>
      <c r="O6025" s="27" t="n"/>
      <c r="P6025" s="27" t="n"/>
      <c r="Q6025" s="27" t="n"/>
      <c r="R6025" s="27" t="n"/>
      <c r="S6025" s="27" t="n"/>
      <c r="T6025" s="27" t="n"/>
    </row>
    <row r="6026" ht="13.8" customFormat="1" customHeight="1" s="70">
      <c r="M6026" s="27" t="n"/>
      <c r="N6026" s="27" t="n"/>
      <c r="O6026" s="27" t="n"/>
      <c r="P6026" s="27" t="n"/>
      <c r="Q6026" s="27" t="n"/>
      <c r="R6026" s="27" t="n"/>
      <c r="S6026" s="27" t="n"/>
      <c r="T6026" s="27" t="n"/>
    </row>
    <row r="6027" ht="13.8" customFormat="1" customHeight="1" s="70">
      <c r="M6027" s="27" t="n"/>
      <c r="N6027" s="27" t="n"/>
      <c r="O6027" s="27" t="n"/>
      <c r="P6027" s="27" t="n"/>
      <c r="Q6027" s="27" t="n"/>
      <c r="R6027" s="27" t="n"/>
      <c r="S6027" s="27" t="n"/>
      <c r="T6027" s="27" t="n"/>
    </row>
    <row r="6028" ht="13.8" customFormat="1" customHeight="1" s="70">
      <c r="M6028" s="27" t="n"/>
      <c r="N6028" s="27" t="n"/>
      <c r="O6028" s="27" t="n"/>
      <c r="P6028" s="27" t="n"/>
      <c r="Q6028" s="27" t="n"/>
      <c r="R6028" s="27" t="n"/>
      <c r="S6028" s="27" t="n"/>
      <c r="T6028" s="27" t="n"/>
    </row>
    <row r="6029" ht="13.8" customFormat="1" customHeight="1" s="70">
      <c r="M6029" s="27" t="n"/>
      <c r="N6029" s="27" t="n"/>
      <c r="O6029" s="27" t="n"/>
      <c r="P6029" s="27" t="n"/>
      <c r="Q6029" s="27" t="n"/>
      <c r="R6029" s="27" t="n"/>
      <c r="S6029" s="27" t="n"/>
      <c r="T6029" s="27" t="n"/>
    </row>
    <row r="6030" ht="13.8" customFormat="1" customHeight="1" s="70">
      <c r="M6030" s="27" t="n"/>
      <c r="N6030" s="27" t="n"/>
      <c r="O6030" s="27" t="n"/>
      <c r="P6030" s="27" t="n"/>
      <c r="Q6030" s="27" t="n"/>
      <c r="R6030" s="27" t="n"/>
      <c r="S6030" s="27" t="n"/>
      <c r="T6030" s="27" t="n"/>
    </row>
    <row r="6031" ht="13.8" customFormat="1" customHeight="1" s="70">
      <c r="M6031" s="27" t="n"/>
      <c r="N6031" s="27" t="n"/>
      <c r="O6031" s="27" t="n"/>
      <c r="P6031" s="27" t="n"/>
      <c r="Q6031" s="27" t="n"/>
      <c r="R6031" s="27" t="n"/>
      <c r="S6031" s="27" t="n"/>
      <c r="T6031" s="27" t="n"/>
    </row>
    <row r="6032" ht="13.8" customFormat="1" customHeight="1" s="70">
      <c r="M6032" s="27" t="n"/>
      <c r="N6032" s="27" t="n"/>
      <c r="O6032" s="27" t="n"/>
      <c r="P6032" s="27" t="n"/>
      <c r="Q6032" s="27" t="n"/>
      <c r="R6032" s="27" t="n"/>
      <c r="S6032" s="27" t="n"/>
      <c r="T6032" s="27" t="n"/>
    </row>
    <row r="6033" ht="13.8" customFormat="1" customHeight="1" s="70">
      <c r="M6033" s="27" t="n"/>
      <c r="N6033" s="27" t="n"/>
      <c r="O6033" s="27" t="n"/>
      <c r="P6033" s="27" t="n"/>
      <c r="Q6033" s="27" t="n"/>
      <c r="R6033" s="27" t="n"/>
      <c r="S6033" s="27" t="n"/>
      <c r="T6033" s="27" t="n"/>
    </row>
    <row r="6034" ht="13.8" customFormat="1" customHeight="1" s="70">
      <c r="M6034" s="27" t="n"/>
      <c r="N6034" s="27" t="n"/>
      <c r="O6034" s="27" t="n"/>
      <c r="P6034" s="27" t="n"/>
      <c r="Q6034" s="27" t="n"/>
      <c r="R6034" s="27" t="n"/>
      <c r="S6034" s="27" t="n"/>
      <c r="T6034" s="27" t="n"/>
    </row>
    <row r="6035" ht="13.8" customFormat="1" customHeight="1" s="70">
      <c r="M6035" s="27" t="n"/>
      <c r="N6035" s="27" t="n"/>
      <c r="O6035" s="27" t="n"/>
      <c r="P6035" s="27" t="n"/>
      <c r="Q6035" s="27" t="n"/>
      <c r="R6035" s="27" t="n"/>
      <c r="S6035" s="27" t="n"/>
      <c r="T6035" s="27" t="n"/>
    </row>
    <row r="6036" ht="13.8" customFormat="1" customHeight="1" s="70">
      <c r="M6036" s="27" t="n"/>
      <c r="N6036" s="27" t="n"/>
      <c r="O6036" s="27" t="n"/>
      <c r="P6036" s="27" t="n"/>
      <c r="Q6036" s="27" t="n"/>
      <c r="R6036" s="27" t="n"/>
      <c r="S6036" s="27" t="n"/>
      <c r="T6036" s="27" t="n"/>
    </row>
    <row r="6037" ht="13.8" customFormat="1" customHeight="1" s="70">
      <c r="M6037" s="27" t="n"/>
      <c r="N6037" s="27" t="n"/>
      <c r="O6037" s="27" t="n"/>
      <c r="P6037" s="27" t="n"/>
      <c r="Q6037" s="27" t="n"/>
      <c r="R6037" s="27" t="n"/>
      <c r="S6037" s="27" t="n"/>
      <c r="T6037" s="27" t="n"/>
    </row>
    <row r="6038" ht="13.8" customFormat="1" customHeight="1" s="70">
      <c r="M6038" s="27" t="n"/>
      <c r="N6038" s="27" t="n"/>
      <c r="O6038" s="27" t="n"/>
      <c r="P6038" s="27" t="n"/>
      <c r="Q6038" s="27" t="n"/>
      <c r="R6038" s="27" t="n"/>
      <c r="S6038" s="27" t="n"/>
      <c r="T6038" s="27" t="n"/>
    </row>
    <row r="6039" ht="13.8" customFormat="1" customHeight="1" s="70">
      <c r="M6039" s="27" t="n"/>
      <c r="N6039" s="27" t="n"/>
      <c r="O6039" s="27" t="n"/>
      <c r="P6039" s="27" t="n"/>
      <c r="Q6039" s="27" t="n"/>
      <c r="R6039" s="27" t="n"/>
      <c r="S6039" s="27" t="n"/>
      <c r="T6039" s="27" t="n"/>
    </row>
    <row r="6040" ht="13.8" customFormat="1" customHeight="1" s="70">
      <c r="M6040" s="27" t="n"/>
      <c r="N6040" s="27" t="n"/>
      <c r="O6040" s="27" t="n"/>
      <c r="P6040" s="27" t="n"/>
      <c r="Q6040" s="27" t="n"/>
      <c r="R6040" s="27" t="n"/>
      <c r="S6040" s="27" t="n"/>
      <c r="T6040" s="27" t="n"/>
    </row>
    <row r="6041" ht="13.8" customFormat="1" customHeight="1" s="70">
      <c r="M6041" s="27" t="n"/>
      <c r="N6041" s="27" t="n"/>
      <c r="O6041" s="27" t="n"/>
      <c r="P6041" s="27" t="n"/>
      <c r="Q6041" s="27" t="n"/>
      <c r="R6041" s="27" t="n"/>
      <c r="S6041" s="27" t="n"/>
      <c r="T6041" s="27" t="n"/>
    </row>
    <row r="6042" ht="13.8" customFormat="1" customHeight="1" s="70">
      <c r="M6042" s="27" t="n"/>
      <c r="N6042" s="27" t="n"/>
      <c r="O6042" s="27" t="n"/>
      <c r="P6042" s="27" t="n"/>
      <c r="Q6042" s="27" t="n"/>
      <c r="R6042" s="27" t="n"/>
      <c r="S6042" s="27" t="n"/>
      <c r="T6042" s="27" t="n"/>
    </row>
    <row r="6043" ht="13.8" customFormat="1" customHeight="1" s="70">
      <c r="M6043" s="27" t="n"/>
      <c r="N6043" s="27" t="n"/>
      <c r="O6043" s="27" t="n"/>
      <c r="P6043" s="27" t="n"/>
      <c r="Q6043" s="27" t="n"/>
      <c r="R6043" s="27" t="n"/>
      <c r="S6043" s="27" t="n"/>
      <c r="T6043" s="27" t="n"/>
    </row>
    <row r="6044" ht="13.8" customFormat="1" customHeight="1" s="70">
      <c r="M6044" s="27" t="n"/>
      <c r="N6044" s="27" t="n"/>
      <c r="O6044" s="27" t="n"/>
      <c r="P6044" s="27" t="n"/>
      <c r="Q6044" s="27" t="n"/>
      <c r="R6044" s="27" t="n"/>
      <c r="S6044" s="27" t="n"/>
      <c r="T6044" s="27" t="n"/>
    </row>
    <row r="6045" ht="13.8" customFormat="1" customHeight="1" s="70">
      <c r="M6045" s="27" t="n"/>
      <c r="N6045" s="27" t="n"/>
      <c r="O6045" s="27" t="n"/>
      <c r="P6045" s="27" t="n"/>
      <c r="Q6045" s="27" t="n"/>
      <c r="R6045" s="27" t="n"/>
      <c r="S6045" s="27" t="n"/>
      <c r="T6045" s="27" t="n"/>
    </row>
    <row r="6046" ht="13.8" customFormat="1" customHeight="1" s="70">
      <c r="M6046" s="27" t="n"/>
      <c r="N6046" s="27" t="n"/>
      <c r="O6046" s="27" t="n"/>
      <c r="P6046" s="27" t="n"/>
      <c r="Q6046" s="27" t="n"/>
      <c r="R6046" s="27" t="n"/>
      <c r="S6046" s="27" t="n"/>
      <c r="T6046" s="27" t="n"/>
    </row>
    <row r="6047" ht="13.8" customFormat="1" customHeight="1" s="70">
      <c r="M6047" s="27" t="n"/>
      <c r="N6047" s="27" t="n"/>
      <c r="O6047" s="27" t="n"/>
      <c r="P6047" s="27" t="n"/>
      <c r="Q6047" s="27" t="n"/>
      <c r="R6047" s="27" t="n"/>
      <c r="S6047" s="27" t="n"/>
      <c r="T6047" s="27" t="n"/>
    </row>
    <row r="6048" ht="13.8" customFormat="1" customHeight="1" s="70">
      <c r="M6048" s="27" t="n"/>
      <c r="N6048" s="27" t="n"/>
      <c r="O6048" s="27" t="n"/>
      <c r="P6048" s="27" t="n"/>
      <c r="Q6048" s="27" t="n"/>
      <c r="R6048" s="27" t="n"/>
      <c r="S6048" s="27" t="n"/>
      <c r="T6048" s="27" t="n"/>
    </row>
    <row r="6049" ht="13.8" customFormat="1" customHeight="1" s="70">
      <c r="M6049" s="27" t="n"/>
      <c r="N6049" s="27" t="n"/>
      <c r="O6049" s="27" t="n"/>
      <c r="P6049" s="27" t="n"/>
      <c r="Q6049" s="27" t="n"/>
      <c r="R6049" s="27" t="n"/>
      <c r="S6049" s="27" t="n"/>
      <c r="T6049" s="27" t="n"/>
    </row>
    <row r="6050" ht="13.8" customFormat="1" customHeight="1" s="70">
      <c r="M6050" s="27" t="n"/>
      <c r="N6050" s="27" t="n"/>
      <c r="O6050" s="27" t="n"/>
      <c r="P6050" s="27" t="n"/>
      <c r="Q6050" s="27" t="n"/>
      <c r="R6050" s="27" t="n"/>
      <c r="S6050" s="27" t="n"/>
      <c r="T6050" s="27" t="n"/>
    </row>
    <row r="6051" ht="13.8" customFormat="1" customHeight="1" s="70">
      <c r="M6051" s="27" t="n"/>
      <c r="N6051" s="27" t="n"/>
      <c r="O6051" s="27" t="n"/>
      <c r="P6051" s="27" t="n"/>
      <c r="Q6051" s="27" t="n"/>
      <c r="R6051" s="27" t="n"/>
      <c r="S6051" s="27" t="n"/>
      <c r="T6051" s="27" t="n"/>
    </row>
    <row r="6052" ht="13.8" customFormat="1" customHeight="1" s="70">
      <c r="M6052" s="27" t="n"/>
      <c r="N6052" s="27" t="n"/>
      <c r="O6052" s="27" t="n"/>
      <c r="P6052" s="27" t="n"/>
      <c r="Q6052" s="27" t="n"/>
      <c r="R6052" s="27" t="n"/>
      <c r="S6052" s="27" t="n"/>
      <c r="T6052" s="27" t="n"/>
    </row>
    <row r="6053" ht="13.8" customFormat="1" customHeight="1" s="70">
      <c r="M6053" s="27" t="n"/>
      <c r="N6053" s="27" t="n"/>
      <c r="O6053" s="27" t="n"/>
      <c r="P6053" s="27" t="n"/>
      <c r="Q6053" s="27" t="n"/>
      <c r="R6053" s="27" t="n"/>
      <c r="S6053" s="27" t="n"/>
      <c r="T6053" s="27" t="n"/>
    </row>
    <row r="6054" ht="13.8" customFormat="1" customHeight="1" s="70">
      <c r="M6054" s="27" t="n"/>
      <c r="N6054" s="27" t="n"/>
      <c r="O6054" s="27" t="n"/>
      <c r="P6054" s="27" t="n"/>
      <c r="Q6054" s="27" t="n"/>
      <c r="R6054" s="27" t="n"/>
      <c r="S6054" s="27" t="n"/>
      <c r="T6054" s="27" t="n"/>
    </row>
    <row r="6055" ht="13.8" customFormat="1" customHeight="1" s="70">
      <c r="M6055" s="27" t="n"/>
      <c r="N6055" s="27" t="n"/>
      <c r="O6055" s="27" t="n"/>
      <c r="P6055" s="27" t="n"/>
      <c r="Q6055" s="27" t="n"/>
      <c r="R6055" s="27" t="n"/>
      <c r="S6055" s="27" t="n"/>
      <c r="T6055" s="27" t="n"/>
    </row>
    <row r="6056" ht="13.8" customFormat="1" customHeight="1" s="70">
      <c r="M6056" s="27" t="n"/>
      <c r="N6056" s="27" t="n"/>
      <c r="O6056" s="27" t="n"/>
      <c r="P6056" s="27" t="n"/>
      <c r="Q6056" s="27" t="n"/>
      <c r="R6056" s="27" t="n"/>
      <c r="S6056" s="27" t="n"/>
      <c r="T6056" s="27" t="n"/>
    </row>
    <row r="6057" ht="13.8" customFormat="1" customHeight="1" s="70">
      <c r="M6057" s="27" t="n"/>
      <c r="N6057" s="27" t="n"/>
      <c r="O6057" s="27" t="n"/>
      <c r="P6057" s="27" t="n"/>
      <c r="Q6057" s="27" t="n"/>
      <c r="R6057" s="27" t="n"/>
      <c r="S6057" s="27" t="n"/>
      <c r="T6057" s="27" t="n"/>
    </row>
    <row r="6058" ht="13.8" customFormat="1" customHeight="1" s="70">
      <c r="M6058" s="27" t="n"/>
      <c r="N6058" s="27" t="n"/>
      <c r="O6058" s="27" t="n"/>
      <c r="P6058" s="27" t="n"/>
      <c r="Q6058" s="27" t="n"/>
      <c r="R6058" s="27" t="n"/>
      <c r="S6058" s="27" t="n"/>
      <c r="T6058" s="27" t="n"/>
    </row>
    <row r="6059" ht="13.8" customFormat="1" customHeight="1" s="70">
      <c r="M6059" s="27" t="n"/>
      <c r="N6059" s="27" t="n"/>
      <c r="O6059" s="27" t="n"/>
      <c r="P6059" s="27" t="n"/>
      <c r="Q6059" s="27" t="n"/>
      <c r="R6059" s="27" t="n"/>
      <c r="S6059" s="27" t="n"/>
      <c r="T6059" s="27" t="n"/>
    </row>
    <row r="6060" ht="13.8" customFormat="1" customHeight="1" s="70">
      <c r="M6060" s="27" t="n"/>
      <c r="N6060" s="27" t="n"/>
      <c r="O6060" s="27" t="n"/>
      <c r="P6060" s="27" t="n"/>
      <c r="Q6060" s="27" t="n"/>
      <c r="R6060" s="27" t="n"/>
      <c r="S6060" s="27" t="n"/>
      <c r="T6060" s="27" t="n"/>
    </row>
    <row r="6061" ht="13.8" customFormat="1" customHeight="1" s="70">
      <c r="M6061" s="27" t="n"/>
      <c r="N6061" s="27" t="n"/>
      <c r="O6061" s="27" t="n"/>
      <c r="P6061" s="27" t="n"/>
      <c r="Q6061" s="27" t="n"/>
      <c r="R6061" s="27" t="n"/>
      <c r="S6061" s="27" t="n"/>
      <c r="T6061" s="27" t="n"/>
    </row>
    <row r="6062" ht="13.8" customFormat="1" customHeight="1" s="70">
      <c r="M6062" s="27" t="n"/>
      <c r="N6062" s="27" t="n"/>
      <c r="O6062" s="27" t="n"/>
      <c r="P6062" s="27" t="n"/>
      <c r="Q6062" s="27" t="n"/>
      <c r="R6062" s="27" t="n"/>
      <c r="S6062" s="27" t="n"/>
      <c r="T6062" s="27" t="n"/>
    </row>
    <row r="6063" ht="13.8" customFormat="1" customHeight="1" s="70">
      <c r="M6063" s="27" t="n"/>
      <c r="N6063" s="27" t="n"/>
      <c r="O6063" s="27" t="n"/>
      <c r="P6063" s="27" t="n"/>
      <c r="Q6063" s="27" t="n"/>
      <c r="R6063" s="27" t="n"/>
      <c r="S6063" s="27" t="n"/>
      <c r="T6063" s="27" t="n"/>
    </row>
    <row r="6064" ht="13.8" customFormat="1" customHeight="1" s="70">
      <c r="M6064" s="27" t="n"/>
      <c r="N6064" s="27" t="n"/>
      <c r="O6064" s="27" t="n"/>
      <c r="P6064" s="27" t="n"/>
      <c r="Q6064" s="27" t="n"/>
      <c r="R6064" s="27" t="n"/>
      <c r="S6064" s="27" t="n"/>
      <c r="T6064" s="27" t="n"/>
    </row>
    <row r="6065" ht="13.8" customFormat="1" customHeight="1" s="70">
      <c r="M6065" s="27" t="n"/>
      <c r="N6065" s="27" t="n"/>
      <c r="O6065" s="27" t="n"/>
      <c r="P6065" s="27" t="n"/>
      <c r="Q6065" s="27" t="n"/>
      <c r="R6065" s="27" t="n"/>
      <c r="S6065" s="27" t="n"/>
      <c r="T6065" s="27" t="n"/>
    </row>
    <row r="6066" ht="13.8" customFormat="1" customHeight="1" s="70">
      <c r="M6066" s="27" t="n"/>
      <c r="N6066" s="27" t="n"/>
      <c r="O6066" s="27" t="n"/>
      <c r="P6066" s="27" t="n"/>
      <c r="Q6066" s="27" t="n"/>
      <c r="R6066" s="27" t="n"/>
      <c r="S6066" s="27" t="n"/>
      <c r="T6066" s="27" t="n"/>
    </row>
    <row r="6067" ht="13.8" customFormat="1" customHeight="1" s="70">
      <c r="M6067" s="27" t="n"/>
      <c r="N6067" s="27" t="n"/>
      <c r="O6067" s="27" t="n"/>
      <c r="P6067" s="27" t="n"/>
      <c r="Q6067" s="27" t="n"/>
      <c r="R6067" s="27" t="n"/>
      <c r="S6067" s="27" t="n"/>
      <c r="T6067" s="27" t="n"/>
    </row>
    <row r="6068" ht="13.8" customFormat="1" customHeight="1" s="70">
      <c r="M6068" s="27" t="n"/>
      <c r="N6068" s="27" t="n"/>
      <c r="O6068" s="27" t="n"/>
      <c r="P6068" s="27" t="n"/>
      <c r="Q6068" s="27" t="n"/>
      <c r="R6068" s="27" t="n"/>
      <c r="S6068" s="27" t="n"/>
      <c r="T6068" s="27" t="n"/>
    </row>
    <row r="6069" ht="13.8" customFormat="1" customHeight="1" s="70">
      <c r="M6069" s="27" t="n"/>
      <c r="N6069" s="27" t="n"/>
      <c r="O6069" s="27" t="n"/>
      <c r="P6069" s="27" t="n"/>
      <c r="Q6069" s="27" t="n"/>
      <c r="R6069" s="27" t="n"/>
      <c r="S6069" s="27" t="n"/>
      <c r="T6069" s="27" t="n"/>
    </row>
    <row r="6070" ht="13.8" customFormat="1" customHeight="1" s="70">
      <c r="M6070" s="27" t="n"/>
      <c r="N6070" s="27" t="n"/>
      <c r="O6070" s="27" t="n"/>
      <c r="P6070" s="27" t="n"/>
      <c r="Q6070" s="27" t="n"/>
      <c r="R6070" s="27" t="n"/>
      <c r="S6070" s="27" t="n"/>
      <c r="T6070" s="27" t="n"/>
    </row>
    <row r="6071" ht="13.8" customFormat="1" customHeight="1" s="70">
      <c r="M6071" s="27" t="n"/>
      <c r="N6071" s="27" t="n"/>
      <c r="O6071" s="27" t="n"/>
      <c r="P6071" s="27" t="n"/>
      <c r="Q6071" s="27" t="n"/>
      <c r="R6071" s="27" t="n"/>
      <c r="S6071" s="27" t="n"/>
      <c r="T6071" s="27" t="n"/>
    </row>
    <row r="6072" ht="13.8" customFormat="1" customHeight="1" s="70">
      <c r="M6072" s="27" t="n"/>
      <c r="N6072" s="27" t="n"/>
      <c r="O6072" s="27" t="n"/>
      <c r="P6072" s="27" t="n"/>
      <c r="Q6072" s="27" t="n"/>
      <c r="R6072" s="27" t="n"/>
      <c r="S6072" s="27" t="n"/>
      <c r="T6072" s="27" t="n"/>
    </row>
    <row r="6073" ht="13.8" customFormat="1" customHeight="1" s="70">
      <c r="M6073" s="27" t="n"/>
      <c r="N6073" s="27" t="n"/>
      <c r="O6073" s="27" t="n"/>
      <c r="P6073" s="27" t="n"/>
      <c r="Q6073" s="27" t="n"/>
      <c r="R6073" s="27" t="n"/>
      <c r="S6073" s="27" t="n"/>
      <c r="T6073" s="27" t="n"/>
    </row>
    <row r="6074" ht="13.8" customFormat="1" customHeight="1" s="70">
      <c r="M6074" s="27" t="n"/>
      <c r="N6074" s="27" t="n"/>
      <c r="O6074" s="27" t="n"/>
      <c r="P6074" s="27" t="n"/>
      <c r="Q6074" s="27" t="n"/>
      <c r="R6074" s="27" t="n"/>
      <c r="S6074" s="27" t="n"/>
      <c r="T6074" s="27" t="n"/>
    </row>
    <row r="6075" ht="13.8" customFormat="1" customHeight="1" s="70">
      <c r="M6075" s="27" t="n"/>
      <c r="N6075" s="27" t="n"/>
      <c r="O6075" s="27" t="n"/>
      <c r="P6075" s="27" t="n"/>
      <c r="Q6075" s="27" t="n"/>
      <c r="R6075" s="27" t="n"/>
      <c r="S6075" s="27" t="n"/>
      <c r="T6075" s="27" t="n"/>
    </row>
    <row r="6076" ht="13.8" customFormat="1" customHeight="1" s="70">
      <c r="M6076" s="27" t="n"/>
      <c r="N6076" s="27" t="n"/>
      <c r="O6076" s="27" t="n"/>
      <c r="P6076" s="27" t="n"/>
      <c r="Q6076" s="27" t="n"/>
      <c r="R6076" s="27" t="n"/>
      <c r="S6076" s="27" t="n"/>
      <c r="T6076" s="27" t="n"/>
    </row>
    <row r="6077" ht="13.8" customFormat="1" customHeight="1" s="70">
      <c r="M6077" s="27" t="n"/>
      <c r="N6077" s="27" t="n"/>
      <c r="O6077" s="27" t="n"/>
      <c r="P6077" s="27" t="n"/>
      <c r="Q6077" s="27" t="n"/>
      <c r="R6077" s="27" t="n"/>
      <c r="S6077" s="27" t="n"/>
      <c r="T6077" s="27" t="n"/>
    </row>
    <row r="6078" ht="13.8" customFormat="1" customHeight="1" s="70">
      <c r="M6078" s="27" t="n"/>
      <c r="N6078" s="27" t="n"/>
      <c r="O6078" s="27" t="n"/>
      <c r="P6078" s="27" t="n"/>
      <c r="Q6078" s="27" t="n"/>
      <c r="R6078" s="27" t="n"/>
      <c r="S6078" s="27" t="n"/>
      <c r="T6078" s="27" t="n"/>
    </row>
    <row r="6079" ht="13.8" customFormat="1" customHeight="1" s="70">
      <c r="M6079" s="27" t="n"/>
      <c r="N6079" s="27" t="n"/>
      <c r="O6079" s="27" t="n"/>
      <c r="P6079" s="27" t="n"/>
      <c r="Q6079" s="27" t="n"/>
      <c r="R6079" s="27" t="n"/>
      <c r="S6079" s="27" t="n"/>
      <c r="T6079" s="27" t="n"/>
    </row>
    <row r="6080" ht="13.8" customFormat="1" customHeight="1" s="70">
      <c r="M6080" s="27" t="n"/>
      <c r="N6080" s="27" t="n"/>
      <c r="O6080" s="27" t="n"/>
      <c r="P6080" s="27" t="n"/>
      <c r="Q6080" s="27" t="n"/>
      <c r="R6080" s="27" t="n"/>
      <c r="S6080" s="27" t="n"/>
      <c r="T6080" s="27" t="n"/>
    </row>
    <row r="6081" ht="13.8" customFormat="1" customHeight="1" s="70">
      <c r="M6081" s="27" t="n"/>
      <c r="N6081" s="27" t="n"/>
      <c r="O6081" s="27" t="n"/>
      <c r="P6081" s="27" t="n"/>
      <c r="Q6081" s="27" t="n"/>
      <c r="R6081" s="27" t="n"/>
      <c r="S6081" s="27" t="n"/>
      <c r="T6081" s="27" t="n"/>
    </row>
    <row r="6082" ht="13.8" customFormat="1" customHeight="1" s="70">
      <c r="M6082" s="27" t="n"/>
      <c r="N6082" s="27" t="n"/>
      <c r="O6082" s="27" t="n"/>
      <c r="P6082" s="27" t="n"/>
      <c r="Q6082" s="27" t="n"/>
      <c r="R6082" s="27" t="n"/>
      <c r="S6082" s="27" t="n"/>
      <c r="T6082" s="27" t="n"/>
    </row>
    <row r="6083" ht="13.8" customFormat="1" customHeight="1" s="70">
      <c r="M6083" s="27" t="n"/>
      <c r="N6083" s="27" t="n"/>
      <c r="O6083" s="27" t="n"/>
      <c r="P6083" s="27" t="n"/>
      <c r="Q6083" s="27" t="n"/>
      <c r="R6083" s="27" t="n"/>
      <c r="S6083" s="27" t="n"/>
      <c r="T6083" s="27" t="n"/>
    </row>
    <row r="6084" ht="13.8" customFormat="1" customHeight="1" s="70">
      <c r="M6084" s="27" t="n"/>
      <c r="N6084" s="27" t="n"/>
      <c r="O6084" s="27" t="n"/>
      <c r="P6084" s="27" t="n"/>
      <c r="Q6084" s="27" t="n"/>
      <c r="R6084" s="27" t="n"/>
      <c r="S6084" s="27" t="n"/>
      <c r="T6084" s="27" t="n"/>
    </row>
    <row r="6085" ht="13.8" customFormat="1" customHeight="1" s="70">
      <c r="M6085" s="27" t="n"/>
      <c r="N6085" s="27" t="n"/>
      <c r="O6085" s="27" t="n"/>
      <c r="P6085" s="27" t="n"/>
      <c r="Q6085" s="27" t="n"/>
      <c r="R6085" s="27" t="n"/>
      <c r="S6085" s="27" t="n"/>
      <c r="T6085" s="27" t="n"/>
    </row>
    <row r="6086" ht="13.8" customFormat="1" customHeight="1" s="70">
      <c r="M6086" s="27" t="n"/>
      <c r="N6086" s="27" t="n"/>
      <c r="O6086" s="27" t="n"/>
      <c r="P6086" s="27" t="n"/>
      <c r="Q6086" s="27" t="n"/>
      <c r="R6086" s="27" t="n"/>
      <c r="S6086" s="27" t="n"/>
      <c r="T6086" s="27" t="n"/>
    </row>
    <row r="6087" ht="13.8" customFormat="1" customHeight="1" s="70">
      <c r="M6087" s="27" t="n"/>
      <c r="N6087" s="27" t="n"/>
      <c r="O6087" s="27" t="n"/>
      <c r="P6087" s="27" t="n"/>
      <c r="Q6087" s="27" t="n"/>
      <c r="R6087" s="27" t="n"/>
      <c r="S6087" s="27" t="n"/>
      <c r="T6087" s="27" t="n"/>
    </row>
    <row r="6088" ht="13.8" customFormat="1" customHeight="1" s="70">
      <c r="M6088" s="27" t="n"/>
      <c r="N6088" s="27" t="n"/>
      <c r="O6088" s="27" t="n"/>
      <c r="P6088" s="27" t="n"/>
      <c r="Q6088" s="27" t="n"/>
      <c r="R6088" s="27" t="n"/>
      <c r="S6088" s="27" t="n"/>
      <c r="T6088" s="27" t="n"/>
    </row>
    <row r="6089" ht="13.8" customFormat="1" customHeight="1" s="70">
      <c r="M6089" s="27" t="n"/>
      <c r="N6089" s="27" t="n"/>
      <c r="O6089" s="27" t="n"/>
      <c r="P6089" s="27" t="n"/>
      <c r="Q6089" s="27" t="n"/>
      <c r="R6089" s="27" t="n"/>
      <c r="S6089" s="27" t="n"/>
      <c r="T6089" s="27" t="n"/>
    </row>
    <row r="6090" ht="13.8" customFormat="1" customHeight="1" s="70">
      <c r="M6090" s="27" t="n"/>
      <c r="N6090" s="27" t="n"/>
      <c r="O6090" s="27" t="n"/>
      <c r="P6090" s="27" t="n"/>
      <c r="Q6090" s="27" t="n"/>
      <c r="R6090" s="27" t="n"/>
      <c r="S6090" s="27" t="n"/>
      <c r="T6090" s="27" t="n"/>
    </row>
    <row r="6091" ht="13.8" customFormat="1" customHeight="1" s="70">
      <c r="M6091" s="27" t="n"/>
      <c r="N6091" s="27" t="n"/>
      <c r="O6091" s="27" t="n"/>
      <c r="P6091" s="27" t="n"/>
      <c r="Q6091" s="27" t="n"/>
      <c r="R6091" s="27" t="n"/>
      <c r="S6091" s="27" t="n"/>
      <c r="T6091" s="27" t="n"/>
    </row>
    <row r="6092" ht="13.8" customFormat="1" customHeight="1" s="70">
      <c r="M6092" s="27" t="n"/>
      <c r="N6092" s="27" t="n"/>
      <c r="O6092" s="27" t="n"/>
      <c r="P6092" s="27" t="n"/>
      <c r="Q6092" s="27" t="n"/>
      <c r="R6092" s="27" t="n"/>
      <c r="S6092" s="27" t="n"/>
      <c r="T6092" s="27" t="n"/>
    </row>
    <row r="6093" ht="13.8" customFormat="1" customHeight="1" s="70">
      <c r="M6093" s="27" t="n"/>
      <c r="N6093" s="27" t="n"/>
      <c r="O6093" s="27" t="n"/>
      <c r="P6093" s="27" t="n"/>
      <c r="Q6093" s="27" t="n"/>
      <c r="R6093" s="27" t="n"/>
      <c r="S6093" s="27" t="n"/>
      <c r="T6093" s="27" t="n"/>
    </row>
    <row r="6094" ht="13.8" customFormat="1" customHeight="1" s="70">
      <c r="M6094" s="27" t="n"/>
      <c r="N6094" s="27" t="n"/>
      <c r="O6094" s="27" t="n"/>
      <c r="P6094" s="27" t="n"/>
      <c r="Q6094" s="27" t="n"/>
      <c r="R6094" s="27" t="n"/>
      <c r="S6094" s="27" t="n"/>
      <c r="T6094" s="27" t="n"/>
    </row>
    <row r="6095" ht="13.8" customFormat="1" customHeight="1" s="70">
      <c r="M6095" s="27" t="n"/>
      <c r="N6095" s="27" t="n"/>
      <c r="O6095" s="27" t="n"/>
      <c r="P6095" s="27" t="n"/>
      <c r="Q6095" s="27" t="n"/>
      <c r="R6095" s="27" t="n"/>
      <c r="S6095" s="27" t="n"/>
      <c r="T6095" s="27" t="n"/>
    </row>
    <row r="6096" ht="13.8" customFormat="1" customHeight="1" s="70">
      <c r="M6096" s="27" t="n"/>
      <c r="N6096" s="27" t="n"/>
      <c r="O6096" s="27" t="n"/>
      <c r="P6096" s="27" t="n"/>
      <c r="Q6096" s="27" t="n"/>
      <c r="R6096" s="27" t="n"/>
      <c r="S6096" s="27" t="n"/>
      <c r="T6096" s="27" t="n"/>
    </row>
    <row r="6097" ht="13.8" customFormat="1" customHeight="1" s="70">
      <c r="M6097" s="27" t="n"/>
      <c r="N6097" s="27" t="n"/>
      <c r="O6097" s="27" t="n"/>
      <c r="P6097" s="27" t="n"/>
      <c r="Q6097" s="27" t="n"/>
      <c r="R6097" s="27" t="n"/>
      <c r="S6097" s="27" t="n"/>
      <c r="T6097" s="27" t="n"/>
    </row>
    <row r="6098" ht="13.8" customFormat="1" customHeight="1" s="70">
      <c r="M6098" s="27" t="n"/>
      <c r="N6098" s="27" t="n"/>
      <c r="O6098" s="27" t="n"/>
      <c r="P6098" s="27" t="n"/>
      <c r="Q6098" s="27" t="n"/>
      <c r="R6098" s="27" t="n"/>
      <c r="S6098" s="27" t="n"/>
      <c r="T6098" s="27" t="n"/>
    </row>
    <row r="6099" ht="13.8" customFormat="1" customHeight="1" s="70">
      <c r="M6099" s="27" t="n"/>
      <c r="N6099" s="27" t="n"/>
      <c r="O6099" s="27" t="n"/>
      <c r="P6099" s="27" t="n"/>
      <c r="Q6099" s="27" t="n"/>
      <c r="R6099" s="27" t="n"/>
      <c r="S6099" s="27" t="n"/>
      <c r="T6099" s="27" t="n"/>
    </row>
    <row r="6100" ht="13.8" customFormat="1" customHeight="1" s="70">
      <c r="M6100" s="27" t="n"/>
      <c r="N6100" s="27" t="n"/>
      <c r="O6100" s="27" t="n"/>
      <c r="P6100" s="27" t="n"/>
      <c r="Q6100" s="27" t="n"/>
      <c r="R6100" s="27" t="n"/>
      <c r="S6100" s="27" t="n"/>
      <c r="T6100" s="27" t="n"/>
    </row>
    <row r="6101" ht="13.8" customFormat="1" customHeight="1" s="70">
      <c r="M6101" s="27" t="n"/>
      <c r="N6101" s="27" t="n"/>
      <c r="O6101" s="27" t="n"/>
      <c r="P6101" s="27" t="n"/>
      <c r="Q6101" s="27" t="n"/>
      <c r="R6101" s="27" t="n"/>
      <c r="S6101" s="27" t="n"/>
      <c r="T6101" s="27" t="n"/>
    </row>
    <row r="6102" ht="13.8" customFormat="1" customHeight="1" s="70">
      <c r="M6102" s="27" t="n"/>
      <c r="N6102" s="27" t="n"/>
      <c r="O6102" s="27" t="n"/>
      <c r="P6102" s="27" t="n"/>
      <c r="Q6102" s="27" t="n"/>
      <c r="R6102" s="27" t="n"/>
      <c r="S6102" s="27" t="n"/>
      <c r="T6102" s="27" t="n"/>
    </row>
    <row r="6103" ht="13.8" customFormat="1" customHeight="1" s="70">
      <c r="M6103" s="27" t="n"/>
      <c r="N6103" s="27" t="n"/>
      <c r="O6103" s="27" t="n"/>
      <c r="P6103" s="27" t="n"/>
      <c r="Q6103" s="27" t="n"/>
      <c r="R6103" s="27" t="n"/>
      <c r="S6103" s="27" t="n"/>
      <c r="T6103" s="27" t="n"/>
    </row>
    <row r="6104" ht="13.8" customFormat="1" customHeight="1" s="70">
      <c r="M6104" s="27" t="n"/>
      <c r="N6104" s="27" t="n"/>
      <c r="O6104" s="27" t="n"/>
      <c r="P6104" s="27" t="n"/>
      <c r="Q6104" s="27" t="n"/>
      <c r="R6104" s="27" t="n"/>
      <c r="S6104" s="27" t="n"/>
      <c r="T6104" s="27" t="n"/>
    </row>
    <row r="6105" ht="13.8" customFormat="1" customHeight="1" s="70">
      <c r="M6105" s="27" t="n"/>
      <c r="N6105" s="27" t="n"/>
      <c r="O6105" s="27" t="n"/>
      <c r="P6105" s="27" t="n"/>
      <c r="Q6105" s="27" t="n"/>
      <c r="R6105" s="27" t="n"/>
      <c r="S6105" s="27" t="n"/>
      <c r="T6105" s="27" t="n"/>
    </row>
    <row r="6106" ht="13.8" customFormat="1" customHeight="1" s="70">
      <c r="M6106" s="27" t="n"/>
      <c r="N6106" s="27" t="n"/>
      <c r="O6106" s="27" t="n"/>
      <c r="P6106" s="27" t="n"/>
      <c r="Q6106" s="27" t="n"/>
      <c r="R6106" s="27" t="n"/>
      <c r="S6106" s="27" t="n"/>
      <c r="T6106" s="27" t="n"/>
    </row>
    <row r="6107" ht="13.8" customFormat="1" customHeight="1" s="70">
      <c r="M6107" s="27" t="n"/>
      <c r="N6107" s="27" t="n"/>
      <c r="O6107" s="27" t="n"/>
      <c r="P6107" s="27" t="n"/>
      <c r="Q6107" s="27" t="n"/>
      <c r="R6107" s="27" t="n"/>
      <c r="S6107" s="27" t="n"/>
      <c r="T6107" s="27" t="n"/>
    </row>
    <row r="6108" ht="13.8" customFormat="1" customHeight="1" s="70">
      <c r="M6108" s="27" t="n"/>
      <c r="N6108" s="27" t="n"/>
      <c r="O6108" s="27" t="n"/>
      <c r="P6108" s="27" t="n"/>
      <c r="Q6108" s="27" t="n"/>
      <c r="R6108" s="27" t="n"/>
      <c r="S6108" s="27" t="n"/>
      <c r="T6108" s="27" t="n"/>
    </row>
    <row r="6109" ht="13.8" customFormat="1" customHeight="1" s="70">
      <c r="M6109" s="27" t="n"/>
      <c r="N6109" s="27" t="n"/>
      <c r="O6109" s="27" t="n"/>
      <c r="P6109" s="27" t="n"/>
      <c r="Q6109" s="27" t="n"/>
      <c r="R6109" s="27" t="n"/>
      <c r="S6109" s="27" t="n"/>
      <c r="T6109" s="27" t="n"/>
    </row>
    <row r="6110" ht="13.8" customFormat="1" customHeight="1" s="70">
      <c r="M6110" s="27" t="n"/>
      <c r="N6110" s="27" t="n"/>
      <c r="O6110" s="27" t="n"/>
      <c r="P6110" s="27" t="n"/>
      <c r="Q6110" s="27" t="n"/>
      <c r="R6110" s="27" t="n"/>
      <c r="S6110" s="27" t="n"/>
      <c r="T6110" s="27" t="n"/>
    </row>
    <row r="6111" ht="13.8" customFormat="1" customHeight="1" s="70">
      <c r="M6111" s="27" t="n"/>
      <c r="N6111" s="27" t="n"/>
      <c r="O6111" s="27" t="n"/>
      <c r="P6111" s="27" t="n"/>
      <c r="Q6111" s="27" t="n"/>
      <c r="R6111" s="27" t="n"/>
      <c r="S6111" s="27" t="n"/>
      <c r="T6111" s="27" t="n"/>
    </row>
    <row r="6112" ht="13.8" customFormat="1" customHeight="1" s="70">
      <c r="M6112" s="27" t="n"/>
      <c r="N6112" s="27" t="n"/>
      <c r="O6112" s="27" t="n"/>
      <c r="P6112" s="27" t="n"/>
      <c r="Q6112" s="27" t="n"/>
      <c r="R6112" s="27" t="n"/>
      <c r="S6112" s="27" t="n"/>
      <c r="T6112" s="27" t="n"/>
    </row>
    <row r="6113" ht="13.8" customFormat="1" customHeight="1" s="70">
      <c r="M6113" s="27" t="n"/>
      <c r="N6113" s="27" t="n"/>
      <c r="O6113" s="27" t="n"/>
      <c r="P6113" s="27" t="n"/>
      <c r="Q6113" s="27" t="n"/>
      <c r="R6113" s="27" t="n"/>
      <c r="S6113" s="27" t="n"/>
      <c r="T6113" s="27" t="n"/>
    </row>
    <row r="6114" ht="13.8" customFormat="1" customHeight="1" s="70">
      <c r="M6114" s="27" t="n"/>
      <c r="N6114" s="27" t="n"/>
      <c r="O6114" s="27" t="n"/>
      <c r="P6114" s="27" t="n"/>
      <c r="Q6114" s="27" t="n"/>
      <c r="R6114" s="27" t="n"/>
      <c r="S6114" s="27" t="n"/>
      <c r="T6114" s="27" t="n"/>
    </row>
    <row r="6115" ht="13.8" customFormat="1" customHeight="1" s="70">
      <c r="M6115" s="27" t="n"/>
      <c r="N6115" s="27" t="n"/>
      <c r="O6115" s="27" t="n"/>
      <c r="P6115" s="27" t="n"/>
      <c r="Q6115" s="27" t="n"/>
      <c r="R6115" s="27" t="n"/>
      <c r="S6115" s="27" t="n"/>
      <c r="T6115" s="27" t="n"/>
    </row>
    <row r="6116" ht="13.8" customFormat="1" customHeight="1" s="70">
      <c r="M6116" s="27" t="n"/>
      <c r="N6116" s="27" t="n"/>
      <c r="O6116" s="27" t="n"/>
      <c r="P6116" s="27" t="n"/>
      <c r="Q6116" s="27" t="n"/>
      <c r="R6116" s="27" t="n"/>
      <c r="S6116" s="27" t="n"/>
      <c r="T6116" s="27" t="n"/>
    </row>
    <row r="6117" ht="13.8" customFormat="1" customHeight="1" s="70">
      <c r="M6117" s="27" t="n"/>
      <c r="N6117" s="27" t="n"/>
      <c r="O6117" s="27" t="n"/>
      <c r="P6117" s="27" t="n"/>
      <c r="Q6117" s="27" t="n"/>
      <c r="R6117" s="27" t="n"/>
      <c r="S6117" s="27" t="n"/>
      <c r="T6117" s="27" t="n"/>
    </row>
    <row r="6118" ht="13.8" customFormat="1" customHeight="1" s="70">
      <c r="M6118" s="27" t="n"/>
      <c r="N6118" s="27" t="n"/>
      <c r="O6118" s="27" t="n"/>
      <c r="P6118" s="27" t="n"/>
      <c r="Q6118" s="27" t="n"/>
      <c r="R6118" s="27" t="n"/>
      <c r="S6118" s="27" t="n"/>
      <c r="T6118" s="27" t="n"/>
    </row>
    <row r="6119" ht="13.8" customFormat="1" customHeight="1" s="70">
      <c r="M6119" s="27" t="n"/>
      <c r="N6119" s="27" t="n"/>
      <c r="O6119" s="27" t="n"/>
      <c r="P6119" s="27" t="n"/>
      <c r="Q6119" s="27" t="n"/>
      <c r="R6119" s="27" t="n"/>
      <c r="S6119" s="27" t="n"/>
      <c r="T6119" s="27" t="n"/>
    </row>
    <row r="6120" ht="13.8" customFormat="1" customHeight="1" s="70">
      <c r="M6120" s="27" t="n"/>
      <c r="N6120" s="27" t="n"/>
      <c r="O6120" s="27" t="n"/>
      <c r="P6120" s="27" t="n"/>
      <c r="Q6120" s="27" t="n"/>
      <c r="R6120" s="27" t="n"/>
      <c r="S6120" s="27" t="n"/>
      <c r="T6120" s="27" t="n"/>
    </row>
    <row r="6121" ht="13.8" customFormat="1" customHeight="1" s="70">
      <c r="M6121" s="27" t="n"/>
      <c r="N6121" s="27" t="n"/>
      <c r="O6121" s="27" t="n"/>
      <c r="P6121" s="27" t="n"/>
      <c r="Q6121" s="27" t="n"/>
      <c r="R6121" s="27" t="n"/>
      <c r="S6121" s="27" t="n"/>
      <c r="T6121" s="27" t="n"/>
    </row>
    <row r="6122" ht="13.8" customFormat="1" customHeight="1" s="70">
      <c r="M6122" s="27" t="n"/>
      <c r="N6122" s="27" t="n"/>
      <c r="O6122" s="27" t="n"/>
      <c r="P6122" s="27" t="n"/>
      <c r="Q6122" s="27" t="n"/>
      <c r="R6122" s="27" t="n"/>
      <c r="S6122" s="27" t="n"/>
      <c r="T6122" s="27" t="n"/>
    </row>
    <row r="6123" ht="13.8" customFormat="1" customHeight="1" s="70">
      <c r="M6123" s="27" t="n"/>
      <c r="N6123" s="27" t="n"/>
      <c r="O6123" s="27" t="n"/>
      <c r="P6123" s="27" t="n"/>
      <c r="Q6123" s="27" t="n"/>
      <c r="R6123" s="27" t="n"/>
      <c r="S6123" s="27" t="n"/>
      <c r="T6123" s="27" t="n"/>
    </row>
    <row r="6124" ht="13.8" customFormat="1" customHeight="1" s="70">
      <c r="M6124" s="27" t="n"/>
      <c r="N6124" s="27" t="n"/>
      <c r="O6124" s="27" t="n"/>
      <c r="P6124" s="27" t="n"/>
      <c r="Q6124" s="27" t="n"/>
      <c r="R6124" s="27" t="n"/>
      <c r="S6124" s="27" t="n"/>
      <c r="T6124" s="27" t="n"/>
    </row>
    <row r="6125" ht="13.8" customFormat="1" customHeight="1" s="70">
      <c r="M6125" s="27" t="n"/>
      <c r="N6125" s="27" t="n"/>
      <c r="O6125" s="27" t="n"/>
      <c r="P6125" s="27" t="n"/>
      <c r="Q6125" s="27" t="n"/>
      <c r="R6125" s="27" t="n"/>
      <c r="S6125" s="27" t="n"/>
      <c r="T6125" s="27" t="n"/>
    </row>
    <row r="6126" ht="13.8" customFormat="1" customHeight="1" s="70">
      <c r="M6126" s="27" t="n"/>
      <c r="N6126" s="27" t="n"/>
      <c r="O6126" s="27" t="n"/>
      <c r="P6126" s="27" t="n"/>
      <c r="Q6126" s="27" t="n"/>
      <c r="R6126" s="27" t="n"/>
      <c r="S6126" s="27" t="n"/>
      <c r="T6126" s="27" t="n"/>
    </row>
    <row r="6127" ht="13.8" customFormat="1" customHeight="1" s="70">
      <c r="M6127" s="27" t="n"/>
      <c r="N6127" s="27" t="n"/>
      <c r="O6127" s="27" t="n"/>
      <c r="P6127" s="27" t="n"/>
      <c r="Q6127" s="27" t="n"/>
      <c r="R6127" s="27" t="n"/>
      <c r="S6127" s="27" t="n"/>
      <c r="T6127" s="27" t="n"/>
    </row>
    <row r="6128" ht="13.8" customFormat="1" customHeight="1" s="70">
      <c r="M6128" s="27" t="n"/>
      <c r="N6128" s="27" t="n"/>
      <c r="O6128" s="27" t="n"/>
      <c r="P6128" s="27" t="n"/>
      <c r="Q6128" s="27" t="n"/>
      <c r="R6128" s="27" t="n"/>
      <c r="S6128" s="27" t="n"/>
      <c r="T6128" s="27" t="n"/>
    </row>
    <row r="6129" ht="13.8" customFormat="1" customHeight="1" s="70">
      <c r="M6129" s="27" t="n"/>
      <c r="N6129" s="27" t="n"/>
      <c r="O6129" s="27" t="n"/>
      <c r="P6129" s="27" t="n"/>
      <c r="Q6129" s="27" t="n"/>
      <c r="R6129" s="27" t="n"/>
      <c r="S6129" s="27" t="n"/>
      <c r="T6129" s="27" t="n"/>
    </row>
    <row r="6130" ht="13.8" customFormat="1" customHeight="1" s="70">
      <c r="M6130" s="27" t="n"/>
      <c r="N6130" s="27" t="n"/>
      <c r="O6130" s="27" t="n"/>
      <c r="P6130" s="27" t="n"/>
      <c r="Q6130" s="27" t="n"/>
      <c r="R6130" s="27" t="n"/>
      <c r="S6130" s="27" t="n"/>
      <c r="T6130" s="27" t="n"/>
    </row>
    <row r="6131" ht="13.8" customFormat="1" customHeight="1" s="70">
      <c r="M6131" s="27" t="n"/>
      <c r="N6131" s="27" t="n"/>
      <c r="O6131" s="27" t="n"/>
      <c r="P6131" s="27" t="n"/>
      <c r="Q6131" s="27" t="n"/>
      <c r="R6131" s="27" t="n"/>
      <c r="S6131" s="27" t="n"/>
      <c r="T6131" s="27" t="n"/>
    </row>
    <row r="6132" ht="13.8" customFormat="1" customHeight="1" s="70">
      <c r="M6132" s="27" t="n"/>
      <c r="N6132" s="27" t="n"/>
      <c r="O6132" s="27" t="n"/>
      <c r="P6132" s="27" t="n"/>
      <c r="Q6132" s="27" t="n"/>
      <c r="R6132" s="27" t="n"/>
      <c r="S6132" s="27" t="n"/>
      <c r="T6132" s="27" t="n"/>
    </row>
    <row r="6133" ht="13.8" customFormat="1" customHeight="1" s="70">
      <c r="M6133" s="27" t="n"/>
      <c r="N6133" s="27" t="n"/>
      <c r="O6133" s="27" t="n"/>
      <c r="P6133" s="27" t="n"/>
      <c r="Q6133" s="27" t="n"/>
      <c r="R6133" s="27" t="n"/>
      <c r="S6133" s="27" t="n"/>
      <c r="T6133" s="27" t="n"/>
    </row>
    <row r="6134" ht="13.8" customFormat="1" customHeight="1" s="70">
      <c r="M6134" s="27" t="n"/>
      <c r="N6134" s="27" t="n"/>
      <c r="O6134" s="27" t="n"/>
      <c r="P6134" s="27" t="n"/>
      <c r="Q6134" s="27" t="n"/>
      <c r="R6134" s="27" t="n"/>
      <c r="S6134" s="27" t="n"/>
      <c r="T6134" s="27" t="n"/>
    </row>
    <row r="6135" ht="13.8" customFormat="1" customHeight="1" s="70">
      <c r="M6135" s="27" t="n"/>
      <c r="N6135" s="27" t="n"/>
      <c r="O6135" s="27" t="n"/>
      <c r="P6135" s="27" t="n"/>
      <c r="Q6135" s="27" t="n"/>
      <c r="R6135" s="27" t="n"/>
      <c r="S6135" s="27" t="n"/>
      <c r="T6135" s="27" t="n"/>
    </row>
    <row r="6136" ht="13.8" customFormat="1" customHeight="1" s="70">
      <c r="M6136" s="27" t="n"/>
      <c r="N6136" s="27" t="n"/>
      <c r="O6136" s="27" t="n"/>
      <c r="P6136" s="27" t="n"/>
      <c r="Q6136" s="27" t="n"/>
      <c r="R6136" s="27" t="n"/>
      <c r="S6136" s="27" t="n"/>
      <c r="T6136" s="27" t="n"/>
    </row>
    <row r="6137" ht="13.8" customFormat="1" customHeight="1" s="70">
      <c r="M6137" s="27" t="n"/>
      <c r="N6137" s="27" t="n"/>
      <c r="O6137" s="27" t="n"/>
      <c r="P6137" s="27" t="n"/>
      <c r="Q6137" s="27" t="n"/>
      <c r="R6137" s="27" t="n"/>
      <c r="S6137" s="27" t="n"/>
      <c r="T6137" s="27" t="n"/>
    </row>
    <row r="6138" ht="13.8" customFormat="1" customHeight="1" s="70">
      <c r="M6138" s="27" t="n"/>
      <c r="N6138" s="27" t="n"/>
      <c r="O6138" s="27" t="n"/>
      <c r="P6138" s="27" t="n"/>
      <c r="Q6138" s="27" t="n"/>
      <c r="R6138" s="27" t="n"/>
      <c r="S6138" s="27" t="n"/>
      <c r="T6138" s="27" t="n"/>
    </row>
    <row r="6139" ht="13.8" customFormat="1" customHeight="1" s="70">
      <c r="M6139" s="27" t="n"/>
      <c r="N6139" s="27" t="n"/>
      <c r="O6139" s="27" t="n"/>
      <c r="P6139" s="27" t="n"/>
      <c r="Q6139" s="27" t="n"/>
      <c r="R6139" s="27" t="n"/>
      <c r="S6139" s="27" t="n"/>
      <c r="T6139" s="27" t="n"/>
    </row>
    <row r="6140" ht="13.8" customFormat="1" customHeight="1" s="70">
      <c r="M6140" s="27" t="n"/>
      <c r="N6140" s="27" t="n"/>
      <c r="O6140" s="27" t="n"/>
      <c r="P6140" s="27" t="n"/>
      <c r="Q6140" s="27" t="n"/>
      <c r="R6140" s="27" t="n"/>
      <c r="S6140" s="27" t="n"/>
      <c r="T6140" s="27" t="n"/>
    </row>
    <row r="6141" ht="13.8" customFormat="1" customHeight="1" s="70">
      <c r="M6141" s="27" t="n"/>
      <c r="N6141" s="27" t="n"/>
      <c r="O6141" s="27" t="n"/>
      <c r="P6141" s="27" t="n"/>
      <c r="Q6141" s="27" t="n"/>
      <c r="R6141" s="27" t="n"/>
      <c r="S6141" s="27" t="n"/>
      <c r="T6141" s="27" t="n"/>
    </row>
    <row r="6142" ht="13.8" customFormat="1" customHeight="1" s="70">
      <c r="M6142" s="27" t="n"/>
      <c r="N6142" s="27" t="n"/>
      <c r="O6142" s="27" t="n"/>
      <c r="P6142" s="27" t="n"/>
      <c r="Q6142" s="27" t="n"/>
      <c r="R6142" s="27" t="n"/>
      <c r="S6142" s="27" t="n"/>
      <c r="T6142" s="27" t="n"/>
    </row>
    <row r="6143" ht="13.8" customFormat="1" customHeight="1" s="70">
      <c r="M6143" s="27" t="n"/>
      <c r="N6143" s="27" t="n"/>
      <c r="O6143" s="27" t="n"/>
      <c r="P6143" s="27" t="n"/>
      <c r="Q6143" s="27" t="n"/>
      <c r="R6143" s="27" t="n"/>
      <c r="S6143" s="27" t="n"/>
      <c r="T6143" s="27" t="n"/>
    </row>
    <row r="6144" ht="13.8" customFormat="1" customHeight="1" s="70">
      <c r="M6144" s="27" t="n"/>
      <c r="N6144" s="27" t="n"/>
      <c r="O6144" s="27" t="n"/>
      <c r="P6144" s="27" t="n"/>
      <c r="Q6144" s="27" t="n"/>
      <c r="R6144" s="27" t="n"/>
      <c r="S6144" s="27" t="n"/>
      <c r="T6144" s="27" t="n"/>
    </row>
    <row r="6145" ht="13.8" customFormat="1" customHeight="1" s="70">
      <c r="M6145" s="27" t="n"/>
      <c r="N6145" s="27" t="n"/>
      <c r="O6145" s="27" t="n"/>
      <c r="P6145" s="27" t="n"/>
      <c r="Q6145" s="27" t="n"/>
      <c r="R6145" s="27" t="n"/>
      <c r="S6145" s="27" t="n"/>
      <c r="T6145" s="27" t="n"/>
    </row>
    <row r="6146" ht="13.8" customFormat="1" customHeight="1" s="70">
      <c r="M6146" s="27" t="n"/>
      <c r="N6146" s="27" t="n"/>
      <c r="O6146" s="27" t="n"/>
      <c r="P6146" s="27" t="n"/>
      <c r="Q6146" s="27" t="n"/>
      <c r="R6146" s="27" t="n"/>
      <c r="S6146" s="27" t="n"/>
      <c r="T6146" s="27" t="n"/>
    </row>
    <row r="6147" ht="13.8" customFormat="1" customHeight="1" s="70">
      <c r="M6147" s="27" t="n"/>
      <c r="N6147" s="27" t="n"/>
      <c r="O6147" s="27" t="n"/>
      <c r="P6147" s="27" t="n"/>
      <c r="Q6147" s="27" t="n"/>
      <c r="R6147" s="27" t="n"/>
      <c r="S6147" s="27" t="n"/>
      <c r="T6147" s="27" t="n"/>
    </row>
    <row r="6148" ht="13.8" customFormat="1" customHeight="1" s="70">
      <c r="M6148" s="27" t="n"/>
      <c r="N6148" s="27" t="n"/>
      <c r="O6148" s="27" t="n"/>
      <c r="P6148" s="27" t="n"/>
      <c r="Q6148" s="27" t="n"/>
      <c r="R6148" s="27" t="n"/>
      <c r="S6148" s="27" t="n"/>
      <c r="T6148" s="27" t="n"/>
    </row>
    <row r="6149" ht="13.8" customFormat="1" customHeight="1" s="70">
      <c r="M6149" s="27" t="n"/>
      <c r="N6149" s="27" t="n"/>
      <c r="O6149" s="27" t="n"/>
      <c r="P6149" s="27" t="n"/>
      <c r="Q6149" s="27" t="n"/>
      <c r="R6149" s="27" t="n"/>
      <c r="S6149" s="27" t="n"/>
      <c r="T6149" s="27" t="n"/>
    </row>
    <row r="6150" ht="13.8" customFormat="1" customHeight="1" s="70">
      <c r="M6150" s="27" t="n"/>
      <c r="N6150" s="27" t="n"/>
      <c r="O6150" s="27" t="n"/>
      <c r="P6150" s="27" t="n"/>
      <c r="Q6150" s="27" t="n"/>
      <c r="R6150" s="27" t="n"/>
      <c r="S6150" s="27" t="n"/>
      <c r="T6150" s="27" t="n"/>
    </row>
    <row r="6151" ht="13.8" customFormat="1" customHeight="1" s="70">
      <c r="M6151" s="27" t="n"/>
      <c r="N6151" s="27" t="n"/>
      <c r="O6151" s="27" t="n"/>
      <c r="P6151" s="27" t="n"/>
      <c r="Q6151" s="27" t="n"/>
      <c r="R6151" s="27" t="n"/>
      <c r="S6151" s="27" t="n"/>
      <c r="T6151" s="27" t="n"/>
    </row>
    <row r="6152" ht="13.8" customFormat="1" customHeight="1" s="70">
      <c r="M6152" s="27" t="n"/>
      <c r="N6152" s="27" t="n"/>
      <c r="O6152" s="27" t="n"/>
      <c r="P6152" s="27" t="n"/>
      <c r="Q6152" s="27" t="n"/>
      <c r="R6152" s="27" t="n"/>
      <c r="S6152" s="27" t="n"/>
      <c r="T6152" s="27" t="n"/>
    </row>
    <row r="6153" ht="13.8" customFormat="1" customHeight="1" s="70">
      <c r="M6153" s="27" t="n"/>
      <c r="N6153" s="27" t="n"/>
      <c r="O6153" s="27" t="n"/>
      <c r="P6153" s="27" t="n"/>
      <c r="Q6153" s="27" t="n"/>
      <c r="R6153" s="27" t="n"/>
      <c r="S6153" s="27" t="n"/>
      <c r="T6153" s="27" t="n"/>
    </row>
    <row r="6154" ht="13.8" customFormat="1" customHeight="1" s="70">
      <c r="M6154" s="27" t="n"/>
      <c r="N6154" s="27" t="n"/>
      <c r="O6154" s="27" t="n"/>
      <c r="P6154" s="27" t="n"/>
      <c r="Q6154" s="27" t="n"/>
      <c r="R6154" s="27" t="n"/>
      <c r="S6154" s="27" t="n"/>
      <c r="T6154" s="27" t="n"/>
    </row>
    <row r="6155" ht="13.8" customFormat="1" customHeight="1" s="70">
      <c r="M6155" s="27" t="n"/>
      <c r="N6155" s="27" t="n"/>
      <c r="O6155" s="27" t="n"/>
      <c r="P6155" s="27" t="n"/>
      <c r="Q6155" s="27" t="n"/>
      <c r="R6155" s="27" t="n"/>
      <c r="S6155" s="27" t="n"/>
      <c r="T6155" s="27" t="n"/>
    </row>
    <row r="6156" ht="13.8" customFormat="1" customHeight="1" s="70">
      <c r="M6156" s="27" t="n"/>
      <c r="N6156" s="27" t="n"/>
      <c r="O6156" s="27" t="n"/>
      <c r="P6156" s="27" t="n"/>
      <c r="Q6156" s="27" t="n"/>
      <c r="R6156" s="27" t="n"/>
      <c r="S6156" s="27" t="n"/>
      <c r="T6156" s="27" t="n"/>
    </row>
    <row r="6157" ht="13.8" customFormat="1" customHeight="1" s="70">
      <c r="M6157" s="27" t="n"/>
      <c r="N6157" s="27" t="n"/>
      <c r="O6157" s="27" t="n"/>
      <c r="P6157" s="27" t="n"/>
      <c r="Q6157" s="27" t="n"/>
      <c r="R6157" s="27" t="n"/>
      <c r="S6157" s="27" t="n"/>
      <c r="T6157" s="27" t="n"/>
    </row>
    <row r="6158" ht="13.8" customFormat="1" customHeight="1" s="70">
      <c r="M6158" s="27" t="n"/>
      <c r="N6158" s="27" t="n"/>
      <c r="O6158" s="27" t="n"/>
      <c r="P6158" s="27" t="n"/>
      <c r="Q6158" s="27" t="n"/>
      <c r="R6158" s="27" t="n"/>
      <c r="S6158" s="27" t="n"/>
      <c r="T6158" s="27" t="n"/>
    </row>
    <row r="6159" ht="13.8" customFormat="1" customHeight="1" s="70">
      <c r="M6159" s="27" t="n"/>
      <c r="N6159" s="27" t="n"/>
      <c r="O6159" s="27" t="n"/>
      <c r="P6159" s="27" t="n"/>
      <c r="Q6159" s="27" t="n"/>
      <c r="R6159" s="27" t="n"/>
      <c r="S6159" s="27" t="n"/>
      <c r="T6159" s="27" t="n"/>
    </row>
    <row r="6160" ht="13.8" customFormat="1" customHeight="1" s="70">
      <c r="M6160" s="27" t="n"/>
      <c r="N6160" s="27" t="n"/>
      <c r="O6160" s="27" t="n"/>
      <c r="P6160" s="27" t="n"/>
      <c r="Q6160" s="27" t="n"/>
      <c r="R6160" s="27" t="n"/>
      <c r="S6160" s="27" t="n"/>
      <c r="T6160" s="27" t="n"/>
    </row>
    <row r="6161" ht="13.8" customFormat="1" customHeight="1" s="70">
      <c r="M6161" s="27" t="n"/>
      <c r="N6161" s="27" t="n"/>
      <c r="O6161" s="27" t="n"/>
      <c r="P6161" s="27" t="n"/>
      <c r="Q6161" s="27" t="n"/>
      <c r="R6161" s="27" t="n"/>
      <c r="S6161" s="27" t="n"/>
      <c r="T6161" s="27" t="n"/>
    </row>
    <row r="6162" ht="13.8" customFormat="1" customHeight="1" s="70">
      <c r="M6162" s="27" t="n"/>
      <c r="N6162" s="27" t="n"/>
      <c r="O6162" s="27" t="n"/>
      <c r="P6162" s="27" t="n"/>
      <c r="Q6162" s="27" t="n"/>
      <c r="R6162" s="27" t="n"/>
      <c r="S6162" s="27" t="n"/>
      <c r="T6162" s="27" t="n"/>
    </row>
    <row r="6163" ht="13.8" customFormat="1" customHeight="1" s="70">
      <c r="M6163" s="27" t="n"/>
      <c r="N6163" s="27" t="n"/>
      <c r="O6163" s="27" t="n"/>
      <c r="P6163" s="27" t="n"/>
      <c r="Q6163" s="27" t="n"/>
      <c r="R6163" s="27" t="n"/>
      <c r="S6163" s="27" t="n"/>
      <c r="T6163" s="27" t="n"/>
    </row>
    <row r="6164" ht="13.8" customFormat="1" customHeight="1" s="70">
      <c r="M6164" s="27" t="n"/>
      <c r="N6164" s="27" t="n"/>
      <c r="O6164" s="27" t="n"/>
      <c r="P6164" s="27" t="n"/>
      <c r="Q6164" s="27" t="n"/>
      <c r="R6164" s="27" t="n"/>
      <c r="S6164" s="27" t="n"/>
      <c r="T6164" s="27" t="n"/>
    </row>
    <row r="6165" ht="13.8" customFormat="1" customHeight="1" s="70">
      <c r="M6165" s="27" t="n"/>
      <c r="N6165" s="27" t="n"/>
      <c r="O6165" s="27" t="n"/>
      <c r="P6165" s="27" t="n"/>
      <c r="Q6165" s="27" t="n"/>
      <c r="R6165" s="27" t="n"/>
      <c r="S6165" s="27" t="n"/>
      <c r="T6165" s="27" t="n"/>
    </row>
    <row r="6166" ht="13.8" customFormat="1" customHeight="1" s="70">
      <c r="M6166" s="27" t="n"/>
      <c r="N6166" s="27" t="n"/>
      <c r="O6166" s="27" t="n"/>
      <c r="P6166" s="27" t="n"/>
      <c r="Q6166" s="27" t="n"/>
      <c r="R6166" s="27" t="n"/>
      <c r="S6166" s="27" t="n"/>
      <c r="T6166" s="27" t="n"/>
    </row>
    <row r="6167" ht="13.8" customFormat="1" customHeight="1" s="70">
      <c r="M6167" s="27" t="n"/>
      <c r="N6167" s="27" t="n"/>
      <c r="O6167" s="27" t="n"/>
      <c r="P6167" s="27" t="n"/>
      <c r="Q6167" s="27" t="n"/>
      <c r="R6167" s="27" t="n"/>
      <c r="S6167" s="27" t="n"/>
      <c r="T6167" s="27" t="n"/>
    </row>
    <row r="6168" ht="13.8" customFormat="1" customHeight="1" s="70">
      <c r="M6168" s="27" t="n"/>
      <c r="N6168" s="27" t="n"/>
      <c r="O6168" s="27" t="n"/>
      <c r="P6168" s="27" t="n"/>
      <c r="Q6168" s="27" t="n"/>
      <c r="R6168" s="27" t="n"/>
      <c r="S6168" s="27" t="n"/>
      <c r="T6168" s="27" t="n"/>
    </row>
    <row r="6169" ht="13.8" customFormat="1" customHeight="1" s="70">
      <c r="M6169" s="27" t="n"/>
      <c r="N6169" s="27" t="n"/>
      <c r="O6169" s="27" t="n"/>
      <c r="P6169" s="27" t="n"/>
      <c r="Q6169" s="27" t="n"/>
      <c r="R6169" s="27" t="n"/>
      <c r="S6169" s="27" t="n"/>
      <c r="T6169" s="27" t="n"/>
    </row>
    <row r="6170" ht="13.8" customFormat="1" customHeight="1" s="70">
      <c r="M6170" s="27" t="n"/>
      <c r="N6170" s="27" t="n"/>
      <c r="O6170" s="27" t="n"/>
      <c r="P6170" s="27" t="n"/>
      <c r="Q6170" s="27" t="n"/>
      <c r="R6170" s="27" t="n"/>
      <c r="S6170" s="27" t="n"/>
      <c r="T6170" s="27" t="n"/>
    </row>
    <row r="6171" ht="13.8" customFormat="1" customHeight="1" s="70">
      <c r="M6171" s="27" t="n"/>
      <c r="N6171" s="27" t="n"/>
      <c r="O6171" s="27" t="n"/>
      <c r="P6171" s="27" t="n"/>
      <c r="Q6171" s="27" t="n"/>
      <c r="R6171" s="27" t="n"/>
      <c r="S6171" s="27" t="n"/>
      <c r="T6171" s="27" t="n"/>
    </row>
    <row r="6172" ht="13.8" customFormat="1" customHeight="1" s="70">
      <c r="M6172" s="27" t="n"/>
      <c r="N6172" s="27" t="n"/>
      <c r="O6172" s="27" t="n"/>
      <c r="P6172" s="27" t="n"/>
      <c r="Q6172" s="27" t="n"/>
      <c r="R6172" s="27" t="n"/>
      <c r="S6172" s="27" t="n"/>
      <c r="T6172" s="27" t="n"/>
    </row>
    <row r="6173" ht="13.8" customFormat="1" customHeight="1" s="70">
      <c r="M6173" s="27" t="n"/>
      <c r="N6173" s="27" t="n"/>
      <c r="O6173" s="27" t="n"/>
      <c r="P6173" s="27" t="n"/>
      <c r="Q6173" s="27" t="n"/>
      <c r="R6173" s="27" t="n"/>
      <c r="S6173" s="27" t="n"/>
      <c r="T6173" s="27" t="n"/>
    </row>
    <row r="6174" ht="13.8" customFormat="1" customHeight="1" s="70">
      <c r="M6174" s="27" t="n"/>
      <c r="N6174" s="27" t="n"/>
      <c r="O6174" s="27" t="n"/>
      <c r="P6174" s="27" t="n"/>
      <c r="Q6174" s="27" t="n"/>
      <c r="R6174" s="27" t="n"/>
      <c r="S6174" s="27" t="n"/>
      <c r="T6174" s="27" t="n"/>
    </row>
    <row r="6175" ht="13.8" customFormat="1" customHeight="1" s="70">
      <c r="M6175" s="27" t="n"/>
      <c r="N6175" s="27" t="n"/>
      <c r="O6175" s="27" t="n"/>
      <c r="P6175" s="27" t="n"/>
      <c r="Q6175" s="27" t="n"/>
      <c r="R6175" s="27" t="n"/>
      <c r="S6175" s="27" t="n"/>
      <c r="T6175" s="27" t="n"/>
    </row>
    <row r="6176" ht="13.8" customFormat="1" customHeight="1" s="70">
      <c r="M6176" s="27" t="n"/>
      <c r="N6176" s="27" t="n"/>
      <c r="O6176" s="27" t="n"/>
      <c r="P6176" s="27" t="n"/>
      <c r="Q6176" s="27" t="n"/>
      <c r="R6176" s="27" t="n"/>
      <c r="S6176" s="27" t="n"/>
      <c r="T6176" s="27" t="n"/>
    </row>
    <row r="6177" ht="13.8" customFormat="1" customHeight="1" s="70">
      <c r="M6177" s="27" t="n"/>
      <c r="N6177" s="27" t="n"/>
      <c r="O6177" s="27" t="n"/>
      <c r="P6177" s="27" t="n"/>
      <c r="Q6177" s="27" t="n"/>
      <c r="R6177" s="27" t="n"/>
      <c r="S6177" s="27" t="n"/>
      <c r="T6177" s="27" t="n"/>
    </row>
    <row r="6178" ht="13.8" customFormat="1" customHeight="1" s="70">
      <c r="M6178" s="27" t="n"/>
      <c r="N6178" s="27" t="n"/>
      <c r="O6178" s="27" t="n"/>
      <c r="P6178" s="27" t="n"/>
      <c r="Q6178" s="27" t="n"/>
      <c r="R6178" s="27" t="n"/>
      <c r="S6178" s="27" t="n"/>
      <c r="T6178" s="27" t="n"/>
    </row>
    <row r="6179" ht="13.8" customFormat="1" customHeight="1" s="70">
      <c r="M6179" s="27" t="n"/>
      <c r="N6179" s="27" t="n"/>
      <c r="O6179" s="27" t="n"/>
      <c r="P6179" s="27" t="n"/>
      <c r="Q6179" s="27" t="n"/>
      <c r="R6179" s="27" t="n"/>
      <c r="S6179" s="27" t="n"/>
      <c r="T6179" s="27" t="n"/>
    </row>
    <row r="6180" ht="13.8" customFormat="1" customHeight="1" s="70">
      <c r="M6180" s="27" t="n"/>
      <c r="N6180" s="27" t="n"/>
      <c r="O6180" s="27" t="n"/>
      <c r="P6180" s="27" t="n"/>
      <c r="Q6180" s="27" t="n"/>
      <c r="R6180" s="27" t="n"/>
      <c r="S6180" s="27" t="n"/>
      <c r="T6180" s="27" t="n"/>
    </row>
    <row r="6181" ht="13.8" customFormat="1" customHeight="1" s="70">
      <c r="M6181" s="27" t="n"/>
      <c r="N6181" s="27" t="n"/>
      <c r="O6181" s="27" t="n"/>
      <c r="P6181" s="27" t="n"/>
      <c r="Q6181" s="27" t="n"/>
      <c r="R6181" s="27" t="n"/>
      <c r="S6181" s="27" t="n"/>
      <c r="T6181" s="27" t="n"/>
    </row>
    <row r="6182" ht="13.8" customFormat="1" customHeight="1" s="70">
      <c r="M6182" s="27" t="n"/>
      <c r="N6182" s="27" t="n"/>
      <c r="O6182" s="27" t="n"/>
      <c r="P6182" s="27" t="n"/>
      <c r="Q6182" s="27" t="n"/>
      <c r="R6182" s="27" t="n"/>
      <c r="S6182" s="27" t="n"/>
      <c r="T6182" s="27" t="n"/>
    </row>
    <row r="6183" ht="13.8" customFormat="1" customHeight="1" s="70">
      <c r="M6183" s="27" t="n"/>
      <c r="N6183" s="27" t="n"/>
      <c r="O6183" s="27" t="n"/>
      <c r="P6183" s="27" t="n"/>
      <c r="Q6183" s="27" t="n"/>
      <c r="R6183" s="27" t="n"/>
      <c r="S6183" s="27" t="n"/>
      <c r="T6183" s="27" t="n"/>
    </row>
    <row r="6184" ht="13.8" customFormat="1" customHeight="1" s="70">
      <c r="M6184" s="27" t="n"/>
      <c r="N6184" s="27" t="n"/>
      <c r="O6184" s="27" t="n"/>
      <c r="P6184" s="27" t="n"/>
      <c r="Q6184" s="27" t="n"/>
      <c r="R6184" s="27" t="n"/>
      <c r="S6184" s="27" t="n"/>
      <c r="T6184" s="27" t="n"/>
    </row>
    <row r="6185" ht="13.8" customFormat="1" customHeight="1" s="70">
      <c r="M6185" s="27" t="n"/>
      <c r="N6185" s="27" t="n"/>
      <c r="O6185" s="27" t="n"/>
      <c r="P6185" s="27" t="n"/>
      <c r="Q6185" s="27" t="n"/>
      <c r="R6185" s="27" t="n"/>
      <c r="S6185" s="27" t="n"/>
      <c r="T6185" s="27" t="n"/>
    </row>
    <row r="6186" ht="13.8" customFormat="1" customHeight="1" s="70">
      <c r="M6186" s="27" t="n"/>
      <c r="N6186" s="27" t="n"/>
      <c r="O6186" s="27" t="n"/>
      <c r="P6186" s="27" t="n"/>
      <c r="Q6186" s="27" t="n"/>
      <c r="R6186" s="27" t="n"/>
      <c r="S6186" s="27" t="n"/>
      <c r="T6186" s="27" t="n"/>
    </row>
    <row r="6187" ht="13.8" customFormat="1" customHeight="1" s="70">
      <c r="M6187" s="27" t="n"/>
      <c r="N6187" s="27" t="n"/>
      <c r="O6187" s="27" t="n"/>
      <c r="P6187" s="27" t="n"/>
      <c r="Q6187" s="27" t="n"/>
      <c r="R6187" s="27" t="n"/>
      <c r="S6187" s="27" t="n"/>
      <c r="T6187" s="27" t="n"/>
    </row>
    <row r="6188" ht="13.8" customFormat="1" customHeight="1" s="70">
      <c r="M6188" s="27" t="n"/>
      <c r="N6188" s="27" t="n"/>
      <c r="O6188" s="27" t="n"/>
      <c r="P6188" s="27" t="n"/>
      <c r="Q6188" s="27" t="n"/>
      <c r="R6188" s="27" t="n"/>
      <c r="S6188" s="27" t="n"/>
      <c r="T6188" s="27" t="n"/>
    </row>
    <row r="6189" ht="13.8" customFormat="1" customHeight="1" s="70">
      <c r="M6189" s="27" t="n"/>
      <c r="N6189" s="27" t="n"/>
      <c r="O6189" s="27" t="n"/>
      <c r="P6189" s="27" t="n"/>
      <c r="Q6189" s="27" t="n"/>
      <c r="R6189" s="27" t="n"/>
      <c r="S6189" s="27" t="n"/>
      <c r="T6189" s="27" t="n"/>
    </row>
    <row r="6190" ht="13.8" customFormat="1" customHeight="1" s="70">
      <c r="M6190" s="27" t="n"/>
      <c r="N6190" s="27" t="n"/>
      <c r="O6190" s="27" t="n"/>
      <c r="P6190" s="27" t="n"/>
      <c r="Q6190" s="27" t="n"/>
      <c r="R6190" s="27" t="n"/>
      <c r="S6190" s="27" t="n"/>
      <c r="T6190" s="27" t="n"/>
    </row>
    <row r="6191" ht="13.8" customFormat="1" customHeight="1" s="70">
      <c r="M6191" s="27" t="n"/>
      <c r="N6191" s="27" t="n"/>
      <c r="O6191" s="27" t="n"/>
      <c r="P6191" s="27" t="n"/>
      <c r="Q6191" s="27" t="n"/>
      <c r="R6191" s="27" t="n"/>
      <c r="S6191" s="27" t="n"/>
      <c r="T6191" s="27" t="n"/>
    </row>
    <row r="6192" ht="13.8" customFormat="1" customHeight="1" s="70">
      <c r="M6192" s="27" t="n"/>
      <c r="N6192" s="27" t="n"/>
      <c r="O6192" s="27" t="n"/>
      <c r="P6192" s="27" t="n"/>
      <c r="Q6192" s="27" t="n"/>
      <c r="R6192" s="27" t="n"/>
      <c r="S6192" s="27" t="n"/>
      <c r="T6192" s="27" t="n"/>
    </row>
    <row r="6193" ht="13.8" customFormat="1" customHeight="1" s="70">
      <c r="M6193" s="27" t="n"/>
      <c r="N6193" s="27" t="n"/>
      <c r="O6193" s="27" t="n"/>
      <c r="P6193" s="27" t="n"/>
      <c r="Q6193" s="27" t="n"/>
      <c r="R6193" s="27" t="n"/>
      <c r="S6193" s="27" t="n"/>
      <c r="T6193" s="27" t="n"/>
    </row>
    <row r="6194" ht="13.8" customFormat="1" customHeight="1" s="70">
      <c r="M6194" s="27" t="n"/>
      <c r="N6194" s="27" t="n"/>
      <c r="O6194" s="27" t="n"/>
      <c r="P6194" s="27" t="n"/>
      <c r="Q6194" s="27" t="n"/>
      <c r="R6194" s="27" t="n"/>
      <c r="S6194" s="27" t="n"/>
      <c r="T6194" s="27" t="n"/>
    </row>
    <row r="6195" ht="13.8" customFormat="1" customHeight="1" s="70">
      <c r="M6195" s="27" t="n"/>
      <c r="N6195" s="27" t="n"/>
      <c r="O6195" s="27" t="n"/>
      <c r="P6195" s="27" t="n"/>
      <c r="Q6195" s="27" t="n"/>
      <c r="R6195" s="27" t="n"/>
      <c r="S6195" s="27" t="n"/>
      <c r="T6195" s="27" t="n"/>
    </row>
    <row r="6196" ht="13.8" customFormat="1" customHeight="1" s="70">
      <c r="M6196" s="27" t="n"/>
      <c r="N6196" s="27" t="n"/>
      <c r="O6196" s="27" t="n"/>
      <c r="P6196" s="27" t="n"/>
      <c r="Q6196" s="27" t="n"/>
      <c r="R6196" s="27" t="n"/>
      <c r="S6196" s="27" t="n"/>
      <c r="T6196" s="27" t="n"/>
    </row>
    <row r="6197" ht="13.8" customFormat="1" customHeight="1" s="70">
      <c r="M6197" s="27" t="n"/>
      <c r="N6197" s="27" t="n"/>
      <c r="O6197" s="27" t="n"/>
      <c r="P6197" s="27" t="n"/>
      <c r="Q6197" s="27" t="n"/>
      <c r="R6197" s="27" t="n"/>
      <c r="S6197" s="27" t="n"/>
      <c r="T6197" s="27" t="n"/>
    </row>
    <row r="6198" ht="13.8" customFormat="1" customHeight="1" s="70">
      <c r="M6198" s="27" t="n"/>
      <c r="N6198" s="27" t="n"/>
      <c r="O6198" s="27" t="n"/>
      <c r="P6198" s="27" t="n"/>
      <c r="Q6198" s="27" t="n"/>
      <c r="R6198" s="27" t="n"/>
      <c r="S6198" s="27" t="n"/>
      <c r="T6198" s="27" t="n"/>
    </row>
    <row r="6199" ht="13.8" customFormat="1" customHeight="1" s="70">
      <c r="M6199" s="27" t="n"/>
      <c r="N6199" s="27" t="n"/>
      <c r="O6199" s="27" t="n"/>
      <c r="P6199" s="27" t="n"/>
      <c r="Q6199" s="27" t="n"/>
      <c r="R6199" s="27" t="n"/>
      <c r="S6199" s="27" t="n"/>
      <c r="T6199" s="27" t="n"/>
    </row>
    <row r="6200" ht="13.8" customFormat="1" customHeight="1" s="70">
      <c r="M6200" s="27" t="n"/>
      <c r="N6200" s="27" t="n"/>
      <c r="O6200" s="27" t="n"/>
      <c r="P6200" s="27" t="n"/>
      <c r="Q6200" s="27" t="n"/>
      <c r="R6200" s="27" t="n"/>
      <c r="S6200" s="27" t="n"/>
      <c r="T6200" s="27" t="n"/>
    </row>
    <row r="6201" ht="13.8" customFormat="1" customHeight="1" s="70">
      <c r="M6201" s="27" t="n"/>
      <c r="N6201" s="27" t="n"/>
      <c r="O6201" s="27" t="n"/>
      <c r="P6201" s="27" t="n"/>
      <c r="Q6201" s="27" t="n"/>
      <c r="R6201" s="27" t="n"/>
      <c r="S6201" s="27" t="n"/>
      <c r="T6201" s="27" t="n"/>
    </row>
    <row r="6202" ht="13.8" customFormat="1" customHeight="1" s="70">
      <c r="M6202" s="27" t="n"/>
      <c r="N6202" s="27" t="n"/>
      <c r="O6202" s="27" t="n"/>
      <c r="P6202" s="27" t="n"/>
      <c r="Q6202" s="27" t="n"/>
      <c r="R6202" s="27" t="n"/>
      <c r="S6202" s="27" t="n"/>
      <c r="T6202" s="27" t="n"/>
    </row>
    <row r="6203" ht="13.8" customFormat="1" customHeight="1" s="70">
      <c r="M6203" s="27" t="n"/>
      <c r="N6203" s="27" t="n"/>
      <c r="O6203" s="27" t="n"/>
      <c r="P6203" s="27" t="n"/>
      <c r="Q6203" s="27" t="n"/>
      <c r="R6203" s="27" t="n"/>
      <c r="S6203" s="27" t="n"/>
      <c r="T6203" s="27" t="n"/>
    </row>
    <row r="6204" ht="13.8" customFormat="1" customHeight="1" s="70">
      <c r="M6204" s="27" t="n"/>
      <c r="N6204" s="27" t="n"/>
      <c r="O6204" s="27" t="n"/>
      <c r="P6204" s="27" t="n"/>
      <c r="Q6204" s="27" t="n"/>
      <c r="R6204" s="27" t="n"/>
      <c r="S6204" s="27" t="n"/>
      <c r="T6204" s="27" t="n"/>
    </row>
    <row r="6205" ht="13.8" customFormat="1" customHeight="1" s="70">
      <c r="M6205" s="27" t="n"/>
      <c r="N6205" s="27" t="n"/>
      <c r="O6205" s="27" t="n"/>
      <c r="P6205" s="27" t="n"/>
      <c r="Q6205" s="27" t="n"/>
      <c r="R6205" s="27" t="n"/>
      <c r="S6205" s="27" t="n"/>
      <c r="T6205" s="27" t="n"/>
    </row>
    <row r="6206" ht="13.8" customFormat="1" customHeight="1" s="70">
      <c r="M6206" s="27" t="n"/>
      <c r="N6206" s="27" t="n"/>
      <c r="O6206" s="27" t="n"/>
      <c r="P6206" s="27" t="n"/>
      <c r="Q6206" s="27" t="n"/>
      <c r="R6206" s="27" t="n"/>
      <c r="S6206" s="27" t="n"/>
      <c r="T6206" s="27" t="n"/>
    </row>
    <row r="6207" ht="13.8" customFormat="1" customHeight="1" s="70">
      <c r="M6207" s="27" t="n"/>
      <c r="N6207" s="27" t="n"/>
      <c r="O6207" s="27" t="n"/>
      <c r="P6207" s="27" t="n"/>
      <c r="Q6207" s="27" t="n"/>
      <c r="R6207" s="27" t="n"/>
      <c r="S6207" s="27" t="n"/>
      <c r="T6207" s="27" t="n"/>
    </row>
    <row r="6208" ht="13.8" customFormat="1" customHeight="1" s="70">
      <c r="M6208" s="27" t="n"/>
      <c r="N6208" s="27" t="n"/>
      <c r="O6208" s="27" t="n"/>
      <c r="P6208" s="27" t="n"/>
      <c r="Q6208" s="27" t="n"/>
      <c r="R6208" s="27" t="n"/>
      <c r="S6208" s="27" t="n"/>
      <c r="T6208" s="27" t="n"/>
    </row>
    <row r="6209" ht="13.8" customFormat="1" customHeight="1" s="70">
      <c r="M6209" s="27" t="n"/>
      <c r="N6209" s="27" t="n"/>
      <c r="O6209" s="27" t="n"/>
      <c r="P6209" s="27" t="n"/>
      <c r="Q6209" s="27" t="n"/>
      <c r="R6209" s="27" t="n"/>
      <c r="S6209" s="27" t="n"/>
      <c r="T6209" s="27" t="n"/>
    </row>
    <row r="6210" ht="13.8" customFormat="1" customHeight="1" s="70">
      <c r="M6210" s="27" t="n"/>
      <c r="N6210" s="27" t="n"/>
      <c r="O6210" s="27" t="n"/>
      <c r="P6210" s="27" t="n"/>
      <c r="Q6210" s="27" t="n"/>
      <c r="R6210" s="27" t="n"/>
      <c r="S6210" s="27" t="n"/>
      <c r="T6210" s="27" t="n"/>
    </row>
    <row r="6211" ht="13.8" customFormat="1" customHeight="1" s="70">
      <c r="M6211" s="27" t="n"/>
      <c r="N6211" s="27" t="n"/>
      <c r="O6211" s="27" t="n"/>
      <c r="P6211" s="27" t="n"/>
      <c r="Q6211" s="27" t="n"/>
      <c r="R6211" s="27" t="n"/>
      <c r="S6211" s="27" t="n"/>
      <c r="T6211" s="27" t="n"/>
    </row>
    <row r="6212" ht="13.8" customFormat="1" customHeight="1" s="70">
      <c r="M6212" s="27" t="n"/>
      <c r="N6212" s="27" t="n"/>
      <c r="O6212" s="27" t="n"/>
      <c r="P6212" s="27" t="n"/>
      <c r="Q6212" s="27" t="n"/>
      <c r="R6212" s="27" t="n"/>
      <c r="S6212" s="27" t="n"/>
      <c r="T6212" s="27" t="n"/>
    </row>
    <row r="6213" ht="13.8" customFormat="1" customHeight="1" s="70">
      <c r="M6213" s="27" t="n"/>
      <c r="N6213" s="27" t="n"/>
      <c r="O6213" s="27" t="n"/>
      <c r="P6213" s="27" t="n"/>
      <c r="Q6213" s="27" t="n"/>
      <c r="R6213" s="27" t="n"/>
      <c r="S6213" s="27" t="n"/>
      <c r="T6213" s="27" t="n"/>
    </row>
    <row r="6214" ht="13.8" customFormat="1" customHeight="1" s="70">
      <c r="M6214" s="27" t="n"/>
      <c r="N6214" s="27" t="n"/>
      <c r="O6214" s="27" t="n"/>
      <c r="P6214" s="27" t="n"/>
      <c r="Q6214" s="27" t="n"/>
      <c r="R6214" s="27" t="n"/>
      <c r="S6214" s="27" t="n"/>
      <c r="T6214" s="27" t="n"/>
    </row>
    <row r="6215" ht="13.8" customFormat="1" customHeight="1" s="70">
      <c r="M6215" s="27" t="n"/>
      <c r="N6215" s="27" t="n"/>
      <c r="O6215" s="27" t="n"/>
      <c r="P6215" s="27" t="n"/>
      <c r="Q6215" s="27" t="n"/>
      <c r="R6215" s="27" t="n"/>
      <c r="S6215" s="27" t="n"/>
      <c r="T6215" s="27" t="n"/>
    </row>
    <row r="6216" ht="13.8" customFormat="1" customHeight="1" s="70">
      <c r="M6216" s="27" t="n"/>
      <c r="N6216" s="27" t="n"/>
      <c r="O6216" s="27" t="n"/>
      <c r="P6216" s="27" t="n"/>
      <c r="Q6216" s="27" t="n"/>
      <c r="R6216" s="27" t="n"/>
      <c r="S6216" s="27" t="n"/>
      <c r="T6216" s="27" t="n"/>
    </row>
    <row r="6217" ht="13.8" customFormat="1" customHeight="1" s="70">
      <c r="M6217" s="27" t="n"/>
      <c r="N6217" s="27" t="n"/>
      <c r="O6217" s="27" t="n"/>
      <c r="P6217" s="27" t="n"/>
      <c r="Q6217" s="27" t="n"/>
      <c r="R6217" s="27" t="n"/>
      <c r="S6217" s="27" t="n"/>
      <c r="T6217" s="27" t="n"/>
    </row>
    <row r="6218" ht="13.8" customFormat="1" customHeight="1" s="70">
      <c r="M6218" s="27" t="n"/>
      <c r="N6218" s="27" t="n"/>
      <c r="O6218" s="27" t="n"/>
      <c r="P6218" s="27" t="n"/>
      <c r="Q6218" s="27" t="n"/>
      <c r="R6218" s="27" t="n"/>
      <c r="S6218" s="27" t="n"/>
      <c r="T6218" s="27" t="n"/>
    </row>
    <row r="6219" ht="13.8" customFormat="1" customHeight="1" s="70">
      <c r="M6219" s="27" t="n"/>
      <c r="N6219" s="27" t="n"/>
      <c r="O6219" s="27" t="n"/>
      <c r="P6219" s="27" t="n"/>
      <c r="Q6219" s="27" t="n"/>
      <c r="R6219" s="27" t="n"/>
      <c r="S6219" s="27" t="n"/>
      <c r="T6219" s="27" t="n"/>
    </row>
    <row r="6220" ht="13.8" customFormat="1" customHeight="1" s="70">
      <c r="M6220" s="27" t="n"/>
      <c r="N6220" s="27" t="n"/>
      <c r="O6220" s="27" t="n"/>
      <c r="P6220" s="27" t="n"/>
      <c r="Q6220" s="27" t="n"/>
      <c r="R6220" s="27" t="n"/>
      <c r="S6220" s="27" t="n"/>
      <c r="T6220" s="27" t="n"/>
    </row>
    <row r="6221" ht="13.8" customFormat="1" customHeight="1" s="70">
      <c r="M6221" s="27" t="n"/>
      <c r="N6221" s="27" t="n"/>
      <c r="O6221" s="27" t="n"/>
      <c r="P6221" s="27" t="n"/>
      <c r="Q6221" s="27" t="n"/>
      <c r="R6221" s="27" t="n"/>
      <c r="S6221" s="27" t="n"/>
      <c r="T6221" s="27" t="n"/>
    </row>
    <row r="6222" ht="13.8" customFormat="1" customHeight="1" s="70">
      <c r="M6222" s="27" t="n"/>
      <c r="N6222" s="27" t="n"/>
      <c r="O6222" s="27" t="n"/>
      <c r="P6222" s="27" t="n"/>
      <c r="Q6222" s="27" t="n"/>
      <c r="R6222" s="27" t="n"/>
      <c r="S6222" s="27" t="n"/>
      <c r="T6222" s="27" t="n"/>
    </row>
    <row r="6223" ht="13.8" customFormat="1" customHeight="1" s="70">
      <c r="M6223" s="27" t="n"/>
      <c r="N6223" s="27" t="n"/>
      <c r="O6223" s="27" t="n"/>
      <c r="P6223" s="27" t="n"/>
      <c r="Q6223" s="27" t="n"/>
      <c r="R6223" s="27" t="n"/>
      <c r="S6223" s="27" t="n"/>
      <c r="T6223" s="27" t="n"/>
    </row>
    <row r="6224" ht="13.8" customFormat="1" customHeight="1" s="70">
      <c r="M6224" s="27" t="n"/>
      <c r="N6224" s="27" t="n"/>
      <c r="O6224" s="27" t="n"/>
      <c r="P6224" s="27" t="n"/>
      <c r="Q6224" s="27" t="n"/>
      <c r="R6224" s="27" t="n"/>
      <c r="S6224" s="27" t="n"/>
      <c r="T6224" s="27" t="n"/>
    </row>
    <row r="6225" ht="13.8" customFormat="1" customHeight="1" s="70">
      <c r="M6225" s="27" t="n"/>
      <c r="N6225" s="27" t="n"/>
      <c r="O6225" s="27" t="n"/>
      <c r="P6225" s="27" t="n"/>
      <c r="Q6225" s="27" t="n"/>
      <c r="R6225" s="27" t="n"/>
      <c r="S6225" s="27" t="n"/>
      <c r="T6225" s="27" t="n"/>
    </row>
    <row r="6226" ht="13.8" customFormat="1" customHeight="1" s="70">
      <c r="M6226" s="27" t="n"/>
      <c r="N6226" s="27" t="n"/>
      <c r="O6226" s="27" t="n"/>
      <c r="P6226" s="27" t="n"/>
      <c r="Q6226" s="27" t="n"/>
      <c r="R6226" s="27" t="n"/>
      <c r="S6226" s="27" t="n"/>
      <c r="T6226" s="27" t="n"/>
    </row>
    <row r="6227" ht="13.8" customFormat="1" customHeight="1" s="70">
      <c r="M6227" s="27" t="n"/>
      <c r="N6227" s="27" t="n"/>
      <c r="O6227" s="27" t="n"/>
      <c r="P6227" s="27" t="n"/>
      <c r="Q6227" s="27" t="n"/>
      <c r="R6227" s="27" t="n"/>
      <c r="S6227" s="27" t="n"/>
      <c r="T6227" s="27" t="n"/>
    </row>
    <row r="6228" ht="13.8" customFormat="1" customHeight="1" s="70">
      <c r="M6228" s="27" t="n"/>
      <c r="N6228" s="27" t="n"/>
      <c r="O6228" s="27" t="n"/>
      <c r="P6228" s="27" t="n"/>
      <c r="Q6228" s="27" t="n"/>
      <c r="R6228" s="27" t="n"/>
      <c r="S6228" s="27" t="n"/>
      <c r="T6228" s="27" t="n"/>
    </row>
    <row r="6229" ht="13.8" customFormat="1" customHeight="1" s="70">
      <c r="M6229" s="27" t="n"/>
      <c r="N6229" s="27" t="n"/>
      <c r="O6229" s="27" t="n"/>
      <c r="P6229" s="27" t="n"/>
      <c r="Q6229" s="27" t="n"/>
      <c r="R6229" s="27" t="n"/>
      <c r="S6229" s="27" t="n"/>
      <c r="T6229" s="27" t="n"/>
    </row>
    <row r="6230" ht="13.8" customFormat="1" customHeight="1" s="70">
      <c r="M6230" s="27" t="n"/>
      <c r="N6230" s="27" t="n"/>
      <c r="O6230" s="27" t="n"/>
      <c r="P6230" s="27" t="n"/>
      <c r="Q6230" s="27" t="n"/>
      <c r="R6230" s="27" t="n"/>
      <c r="S6230" s="27" t="n"/>
      <c r="T6230" s="27" t="n"/>
    </row>
    <row r="6231" ht="13.8" customFormat="1" customHeight="1" s="70">
      <c r="M6231" s="27" t="n"/>
      <c r="N6231" s="27" t="n"/>
      <c r="O6231" s="27" t="n"/>
      <c r="P6231" s="27" t="n"/>
      <c r="Q6231" s="27" t="n"/>
      <c r="R6231" s="27" t="n"/>
      <c r="S6231" s="27" t="n"/>
      <c r="T6231" s="27" t="n"/>
    </row>
    <row r="6232" ht="13.8" customFormat="1" customHeight="1" s="70">
      <c r="M6232" s="27" t="n"/>
      <c r="N6232" s="27" t="n"/>
      <c r="O6232" s="27" t="n"/>
      <c r="P6232" s="27" t="n"/>
      <c r="Q6232" s="27" t="n"/>
      <c r="R6232" s="27" t="n"/>
      <c r="S6232" s="27" t="n"/>
      <c r="T6232" s="27" t="n"/>
    </row>
    <row r="6233" ht="13.8" customFormat="1" customHeight="1" s="70">
      <c r="M6233" s="27" t="n"/>
      <c r="N6233" s="27" t="n"/>
      <c r="O6233" s="27" t="n"/>
      <c r="P6233" s="27" t="n"/>
      <c r="Q6233" s="27" t="n"/>
      <c r="R6233" s="27" t="n"/>
      <c r="S6233" s="27" t="n"/>
      <c r="T6233" s="27" t="n"/>
    </row>
    <row r="6234" ht="13.8" customFormat="1" customHeight="1" s="70">
      <c r="M6234" s="27" t="n"/>
      <c r="N6234" s="27" t="n"/>
      <c r="O6234" s="27" t="n"/>
      <c r="P6234" s="27" t="n"/>
      <c r="Q6234" s="27" t="n"/>
      <c r="R6234" s="27" t="n"/>
      <c r="S6234" s="27" t="n"/>
      <c r="T6234" s="27" t="n"/>
    </row>
    <row r="6235" ht="13.8" customFormat="1" customHeight="1" s="70">
      <c r="M6235" s="27" t="n"/>
      <c r="N6235" s="27" t="n"/>
      <c r="O6235" s="27" t="n"/>
      <c r="P6235" s="27" t="n"/>
      <c r="Q6235" s="27" t="n"/>
      <c r="R6235" s="27" t="n"/>
      <c r="S6235" s="27" t="n"/>
      <c r="T6235" s="27" t="n"/>
    </row>
    <row r="6236" ht="13.8" customFormat="1" customHeight="1" s="70">
      <c r="M6236" s="27" t="n"/>
      <c r="N6236" s="27" t="n"/>
      <c r="O6236" s="27" t="n"/>
      <c r="P6236" s="27" t="n"/>
      <c r="Q6236" s="27" t="n"/>
      <c r="R6236" s="27" t="n"/>
      <c r="S6236" s="27" t="n"/>
      <c r="T6236" s="27" t="n"/>
    </row>
    <row r="6237" ht="13.8" customFormat="1" customHeight="1" s="70">
      <c r="M6237" s="27" t="n"/>
      <c r="N6237" s="27" t="n"/>
      <c r="O6237" s="27" t="n"/>
      <c r="P6237" s="27" t="n"/>
      <c r="Q6237" s="27" t="n"/>
      <c r="R6237" s="27" t="n"/>
      <c r="S6237" s="27" t="n"/>
      <c r="T6237" s="27" t="n"/>
    </row>
    <row r="6238" ht="13.8" customFormat="1" customHeight="1" s="70">
      <c r="M6238" s="27" t="n"/>
      <c r="N6238" s="27" t="n"/>
      <c r="O6238" s="27" t="n"/>
      <c r="P6238" s="27" t="n"/>
      <c r="Q6238" s="27" t="n"/>
      <c r="R6238" s="27" t="n"/>
      <c r="S6238" s="27" t="n"/>
      <c r="T6238" s="27" t="n"/>
    </row>
    <row r="6239" ht="13.8" customFormat="1" customHeight="1" s="70">
      <c r="M6239" s="27" t="n"/>
      <c r="N6239" s="27" t="n"/>
      <c r="O6239" s="27" t="n"/>
      <c r="P6239" s="27" t="n"/>
      <c r="Q6239" s="27" t="n"/>
      <c r="R6239" s="27" t="n"/>
      <c r="S6239" s="27" t="n"/>
      <c r="T6239" s="27" t="n"/>
    </row>
    <row r="6240" ht="13.8" customFormat="1" customHeight="1" s="70">
      <c r="M6240" s="27" t="n"/>
      <c r="N6240" s="27" t="n"/>
      <c r="O6240" s="27" t="n"/>
      <c r="P6240" s="27" t="n"/>
      <c r="Q6240" s="27" t="n"/>
      <c r="R6240" s="27" t="n"/>
      <c r="S6240" s="27" t="n"/>
      <c r="T6240" s="27" t="n"/>
    </row>
    <row r="6241" ht="13.8" customFormat="1" customHeight="1" s="70">
      <c r="M6241" s="27" t="n"/>
      <c r="N6241" s="27" t="n"/>
      <c r="O6241" s="27" t="n"/>
      <c r="P6241" s="27" t="n"/>
      <c r="Q6241" s="27" t="n"/>
      <c r="R6241" s="27" t="n"/>
      <c r="S6241" s="27" t="n"/>
      <c r="T6241" s="27" t="n"/>
    </row>
    <row r="6242" ht="13.8" customFormat="1" customHeight="1" s="70">
      <c r="M6242" s="27" t="n"/>
      <c r="N6242" s="27" t="n"/>
      <c r="O6242" s="27" t="n"/>
      <c r="P6242" s="27" t="n"/>
      <c r="Q6242" s="27" t="n"/>
      <c r="R6242" s="27" t="n"/>
      <c r="S6242" s="27" t="n"/>
      <c r="T6242" s="27" t="n"/>
    </row>
    <row r="6243" ht="13.8" customFormat="1" customHeight="1" s="70">
      <c r="M6243" s="27" t="n"/>
      <c r="N6243" s="27" t="n"/>
      <c r="O6243" s="27" t="n"/>
      <c r="P6243" s="27" t="n"/>
      <c r="Q6243" s="27" t="n"/>
      <c r="R6243" s="27" t="n"/>
      <c r="S6243" s="27" t="n"/>
      <c r="T6243" s="27" t="n"/>
    </row>
    <row r="6244" ht="13.8" customFormat="1" customHeight="1" s="70">
      <c r="M6244" s="27" t="n"/>
      <c r="N6244" s="27" t="n"/>
      <c r="O6244" s="27" t="n"/>
      <c r="P6244" s="27" t="n"/>
      <c r="Q6244" s="27" t="n"/>
      <c r="R6244" s="27" t="n"/>
      <c r="S6244" s="27" t="n"/>
      <c r="T6244" s="27" t="n"/>
    </row>
    <row r="6245" ht="13.8" customFormat="1" customHeight="1" s="70">
      <c r="M6245" s="27" t="n"/>
      <c r="N6245" s="27" t="n"/>
      <c r="O6245" s="27" t="n"/>
      <c r="P6245" s="27" t="n"/>
      <c r="Q6245" s="27" t="n"/>
      <c r="R6245" s="27" t="n"/>
      <c r="S6245" s="27" t="n"/>
      <c r="T6245" s="27" t="n"/>
    </row>
    <row r="6246" ht="13.8" customFormat="1" customHeight="1" s="70">
      <c r="M6246" s="27" t="n"/>
      <c r="N6246" s="27" t="n"/>
      <c r="O6246" s="27" t="n"/>
      <c r="P6246" s="27" t="n"/>
      <c r="Q6246" s="27" t="n"/>
      <c r="R6246" s="27" t="n"/>
      <c r="S6246" s="27" t="n"/>
      <c r="T6246" s="27" t="n"/>
    </row>
    <row r="6247" ht="13.8" customFormat="1" customHeight="1" s="70">
      <c r="M6247" s="27" t="n"/>
      <c r="N6247" s="27" t="n"/>
      <c r="O6247" s="27" t="n"/>
      <c r="P6247" s="27" t="n"/>
      <c r="Q6247" s="27" t="n"/>
      <c r="R6247" s="27" t="n"/>
      <c r="S6247" s="27" t="n"/>
      <c r="T6247" s="27" t="n"/>
    </row>
    <row r="6248" ht="13.8" customFormat="1" customHeight="1" s="70">
      <c r="M6248" s="27" t="n"/>
      <c r="N6248" s="27" t="n"/>
      <c r="O6248" s="27" t="n"/>
      <c r="P6248" s="27" t="n"/>
      <c r="Q6248" s="27" t="n"/>
      <c r="R6248" s="27" t="n"/>
      <c r="S6248" s="27" t="n"/>
      <c r="T6248" s="27" t="n"/>
    </row>
    <row r="6249" ht="13.8" customFormat="1" customHeight="1" s="70">
      <c r="M6249" s="27" t="n"/>
      <c r="N6249" s="27" t="n"/>
      <c r="O6249" s="27" t="n"/>
      <c r="P6249" s="27" t="n"/>
      <c r="Q6249" s="27" t="n"/>
      <c r="R6249" s="27" t="n"/>
      <c r="S6249" s="27" t="n"/>
      <c r="T6249" s="27" t="n"/>
    </row>
    <row r="6250" ht="13.8" customFormat="1" customHeight="1" s="70">
      <c r="M6250" s="27" t="n"/>
      <c r="N6250" s="27" t="n"/>
      <c r="O6250" s="27" t="n"/>
      <c r="P6250" s="27" t="n"/>
      <c r="Q6250" s="27" t="n"/>
      <c r="R6250" s="27" t="n"/>
      <c r="S6250" s="27" t="n"/>
      <c r="T6250" s="27" t="n"/>
    </row>
    <row r="6251" ht="13.8" customFormat="1" customHeight="1" s="70">
      <c r="M6251" s="27" t="n"/>
      <c r="N6251" s="27" t="n"/>
      <c r="O6251" s="27" t="n"/>
      <c r="P6251" s="27" t="n"/>
      <c r="Q6251" s="27" t="n"/>
      <c r="R6251" s="27" t="n"/>
      <c r="S6251" s="27" t="n"/>
      <c r="T6251" s="27" t="n"/>
    </row>
    <row r="6252" ht="13.8" customFormat="1" customHeight="1" s="70">
      <c r="M6252" s="27" t="n"/>
      <c r="N6252" s="27" t="n"/>
      <c r="O6252" s="27" t="n"/>
      <c r="P6252" s="27" t="n"/>
      <c r="Q6252" s="27" t="n"/>
      <c r="R6252" s="27" t="n"/>
      <c r="S6252" s="27" t="n"/>
      <c r="T6252" s="27" t="n"/>
    </row>
    <row r="6253" ht="13.8" customFormat="1" customHeight="1" s="70">
      <c r="M6253" s="27" t="n"/>
      <c r="N6253" s="27" t="n"/>
      <c r="O6253" s="27" t="n"/>
      <c r="P6253" s="27" t="n"/>
      <c r="Q6253" s="27" t="n"/>
      <c r="R6253" s="27" t="n"/>
      <c r="S6253" s="27" t="n"/>
      <c r="T6253" s="27" t="n"/>
    </row>
    <row r="6254" ht="13.8" customFormat="1" customHeight="1" s="70">
      <c r="M6254" s="27" t="n"/>
      <c r="N6254" s="27" t="n"/>
      <c r="O6254" s="27" t="n"/>
      <c r="P6254" s="27" t="n"/>
      <c r="Q6254" s="27" t="n"/>
      <c r="R6254" s="27" t="n"/>
      <c r="S6254" s="27" t="n"/>
      <c r="T6254" s="27" t="n"/>
    </row>
    <row r="6255" ht="13.8" customFormat="1" customHeight="1" s="70">
      <c r="M6255" s="27" t="n"/>
      <c r="N6255" s="27" t="n"/>
      <c r="O6255" s="27" t="n"/>
      <c r="P6255" s="27" t="n"/>
      <c r="Q6255" s="27" t="n"/>
      <c r="R6255" s="27" t="n"/>
      <c r="S6255" s="27" t="n"/>
      <c r="T6255" s="27" t="n"/>
    </row>
    <row r="6256" ht="13.8" customFormat="1" customHeight="1" s="70">
      <c r="M6256" s="27" t="n"/>
      <c r="N6256" s="27" t="n"/>
      <c r="O6256" s="27" t="n"/>
      <c r="P6256" s="27" t="n"/>
      <c r="Q6256" s="27" t="n"/>
      <c r="R6256" s="27" t="n"/>
      <c r="S6256" s="27" t="n"/>
      <c r="T6256" s="27" t="n"/>
    </row>
    <row r="6257" ht="13.8" customFormat="1" customHeight="1" s="70">
      <c r="M6257" s="27" t="n"/>
      <c r="N6257" s="27" t="n"/>
      <c r="O6257" s="27" t="n"/>
      <c r="P6257" s="27" t="n"/>
      <c r="Q6257" s="27" t="n"/>
      <c r="R6257" s="27" t="n"/>
      <c r="S6257" s="27" t="n"/>
      <c r="T6257" s="27" t="n"/>
    </row>
    <row r="6258" ht="13.8" customFormat="1" customHeight="1" s="70">
      <c r="M6258" s="27" t="n"/>
      <c r="N6258" s="27" t="n"/>
      <c r="O6258" s="27" t="n"/>
      <c r="P6258" s="27" t="n"/>
      <c r="Q6258" s="27" t="n"/>
      <c r="R6258" s="27" t="n"/>
      <c r="S6258" s="27" t="n"/>
      <c r="T6258" s="27" t="n"/>
    </row>
    <row r="6259" ht="13.8" customFormat="1" customHeight="1" s="70">
      <c r="M6259" s="27" t="n"/>
      <c r="N6259" s="27" t="n"/>
      <c r="O6259" s="27" t="n"/>
      <c r="P6259" s="27" t="n"/>
      <c r="Q6259" s="27" t="n"/>
      <c r="R6259" s="27" t="n"/>
      <c r="S6259" s="27" t="n"/>
      <c r="T6259" s="27" t="n"/>
    </row>
    <row r="6260" ht="13.8" customFormat="1" customHeight="1" s="70">
      <c r="M6260" s="27" t="n"/>
      <c r="N6260" s="27" t="n"/>
      <c r="O6260" s="27" t="n"/>
      <c r="P6260" s="27" t="n"/>
      <c r="Q6260" s="27" t="n"/>
      <c r="R6260" s="27" t="n"/>
      <c r="S6260" s="27" t="n"/>
      <c r="T6260" s="27" t="n"/>
    </row>
    <row r="6261" ht="13.8" customFormat="1" customHeight="1" s="70">
      <c r="M6261" s="27" t="n"/>
      <c r="N6261" s="27" t="n"/>
      <c r="O6261" s="27" t="n"/>
      <c r="P6261" s="27" t="n"/>
      <c r="Q6261" s="27" t="n"/>
      <c r="R6261" s="27" t="n"/>
      <c r="S6261" s="27" t="n"/>
      <c r="T6261" s="27" t="n"/>
    </row>
    <row r="6262" ht="13.8" customFormat="1" customHeight="1" s="70">
      <c r="M6262" s="27" t="n"/>
      <c r="N6262" s="27" t="n"/>
      <c r="O6262" s="27" t="n"/>
      <c r="P6262" s="27" t="n"/>
      <c r="Q6262" s="27" t="n"/>
      <c r="R6262" s="27" t="n"/>
      <c r="S6262" s="27" t="n"/>
      <c r="T6262" s="27" t="n"/>
    </row>
    <row r="6263" ht="13.8" customFormat="1" customHeight="1" s="70">
      <c r="M6263" s="27" t="n"/>
      <c r="N6263" s="27" t="n"/>
      <c r="O6263" s="27" t="n"/>
      <c r="P6263" s="27" t="n"/>
      <c r="Q6263" s="27" t="n"/>
      <c r="R6263" s="27" t="n"/>
      <c r="S6263" s="27" t="n"/>
      <c r="T6263" s="27" t="n"/>
    </row>
    <row r="6264" ht="13.8" customFormat="1" customHeight="1" s="70">
      <c r="M6264" s="27" t="n"/>
      <c r="N6264" s="27" t="n"/>
      <c r="O6264" s="27" t="n"/>
      <c r="P6264" s="27" t="n"/>
      <c r="Q6264" s="27" t="n"/>
      <c r="R6264" s="27" t="n"/>
      <c r="S6264" s="27" t="n"/>
      <c r="T6264" s="27" t="n"/>
    </row>
    <row r="6265" ht="13.8" customFormat="1" customHeight="1" s="70">
      <c r="M6265" s="27" t="n"/>
      <c r="N6265" s="27" t="n"/>
      <c r="O6265" s="27" t="n"/>
      <c r="P6265" s="27" t="n"/>
      <c r="Q6265" s="27" t="n"/>
      <c r="R6265" s="27" t="n"/>
      <c r="S6265" s="27" t="n"/>
      <c r="T6265" s="27" t="n"/>
    </row>
    <row r="6266" ht="13.8" customFormat="1" customHeight="1" s="70">
      <c r="M6266" s="27" t="n"/>
      <c r="N6266" s="27" t="n"/>
      <c r="O6266" s="27" t="n"/>
      <c r="P6266" s="27" t="n"/>
      <c r="Q6266" s="27" t="n"/>
      <c r="R6266" s="27" t="n"/>
      <c r="S6266" s="27" t="n"/>
      <c r="T6266" s="27" t="n"/>
    </row>
    <row r="6267" ht="13.8" customFormat="1" customHeight="1" s="70">
      <c r="M6267" s="27" t="n"/>
      <c r="N6267" s="27" t="n"/>
      <c r="O6267" s="27" t="n"/>
      <c r="P6267" s="27" t="n"/>
      <c r="Q6267" s="27" t="n"/>
      <c r="R6267" s="27" t="n"/>
      <c r="S6267" s="27" t="n"/>
      <c r="T6267" s="27" t="n"/>
    </row>
    <row r="6268" ht="13.8" customFormat="1" customHeight="1" s="70">
      <c r="M6268" s="27" t="n"/>
      <c r="N6268" s="27" t="n"/>
      <c r="O6268" s="27" t="n"/>
      <c r="P6268" s="27" t="n"/>
      <c r="Q6268" s="27" t="n"/>
      <c r="R6268" s="27" t="n"/>
      <c r="S6268" s="27" t="n"/>
      <c r="T6268" s="27" t="n"/>
    </row>
    <row r="6269" ht="13.8" customFormat="1" customHeight="1" s="70">
      <c r="M6269" s="27" t="n"/>
      <c r="N6269" s="27" t="n"/>
      <c r="O6269" s="27" t="n"/>
      <c r="P6269" s="27" t="n"/>
      <c r="Q6269" s="27" t="n"/>
      <c r="R6269" s="27" t="n"/>
      <c r="S6269" s="27" t="n"/>
      <c r="T6269" s="27" t="n"/>
    </row>
    <row r="6270" ht="13.8" customFormat="1" customHeight="1" s="70">
      <c r="M6270" s="27" t="n"/>
      <c r="N6270" s="27" t="n"/>
      <c r="O6270" s="27" t="n"/>
      <c r="P6270" s="27" t="n"/>
      <c r="Q6270" s="27" t="n"/>
      <c r="R6270" s="27" t="n"/>
      <c r="S6270" s="27" t="n"/>
      <c r="T6270" s="27" t="n"/>
    </row>
    <row r="6271" ht="13.8" customFormat="1" customHeight="1" s="70">
      <c r="M6271" s="27" t="n"/>
      <c r="N6271" s="27" t="n"/>
      <c r="O6271" s="27" t="n"/>
      <c r="P6271" s="27" t="n"/>
      <c r="Q6271" s="27" t="n"/>
      <c r="R6271" s="27" t="n"/>
      <c r="S6271" s="27" t="n"/>
      <c r="T6271" s="27" t="n"/>
    </row>
    <row r="6272" ht="13.8" customFormat="1" customHeight="1" s="70">
      <c r="M6272" s="27" t="n"/>
      <c r="N6272" s="27" t="n"/>
      <c r="O6272" s="27" t="n"/>
      <c r="P6272" s="27" t="n"/>
      <c r="Q6272" s="27" t="n"/>
      <c r="R6272" s="27" t="n"/>
      <c r="S6272" s="27" t="n"/>
      <c r="T6272" s="27" t="n"/>
    </row>
    <row r="6273" ht="13.8" customFormat="1" customHeight="1" s="70">
      <c r="M6273" s="27" t="n"/>
      <c r="N6273" s="27" t="n"/>
      <c r="O6273" s="27" t="n"/>
      <c r="P6273" s="27" t="n"/>
      <c r="Q6273" s="27" t="n"/>
      <c r="R6273" s="27" t="n"/>
      <c r="S6273" s="27" t="n"/>
      <c r="T6273" s="27" t="n"/>
    </row>
    <row r="6274" ht="13.8" customFormat="1" customHeight="1" s="70">
      <c r="M6274" s="27" t="n"/>
      <c r="N6274" s="27" t="n"/>
      <c r="O6274" s="27" t="n"/>
      <c r="P6274" s="27" t="n"/>
      <c r="Q6274" s="27" t="n"/>
      <c r="R6274" s="27" t="n"/>
      <c r="S6274" s="27" t="n"/>
      <c r="T6274" s="27" t="n"/>
    </row>
    <row r="6275" ht="13.8" customFormat="1" customHeight="1" s="70">
      <c r="M6275" s="27" t="n"/>
      <c r="N6275" s="27" t="n"/>
      <c r="O6275" s="27" t="n"/>
      <c r="P6275" s="27" t="n"/>
      <c r="Q6275" s="27" t="n"/>
      <c r="R6275" s="27" t="n"/>
      <c r="S6275" s="27" t="n"/>
      <c r="T6275" s="27" t="n"/>
    </row>
    <row r="6276" ht="13.8" customFormat="1" customHeight="1" s="70">
      <c r="M6276" s="27" t="n"/>
      <c r="N6276" s="27" t="n"/>
      <c r="O6276" s="27" t="n"/>
      <c r="P6276" s="27" t="n"/>
      <c r="Q6276" s="27" t="n"/>
      <c r="R6276" s="27" t="n"/>
      <c r="S6276" s="27" t="n"/>
      <c r="T6276" s="27" t="n"/>
    </row>
    <row r="6277" ht="13.8" customFormat="1" customHeight="1" s="70">
      <c r="M6277" s="27" t="n"/>
      <c r="N6277" s="27" t="n"/>
      <c r="O6277" s="27" t="n"/>
      <c r="P6277" s="27" t="n"/>
      <c r="Q6277" s="27" t="n"/>
      <c r="R6277" s="27" t="n"/>
      <c r="S6277" s="27" t="n"/>
      <c r="T6277" s="27" t="n"/>
    </row>
    <row r="6278" ht="13.8" customFormat="1" customHeight="1" s="70">
      <c r="M6278" s="27" t="n"/>
      <c r="N6278" s="27" t="n"/>
      <c r="O6278" s="27" t="n"/>
      <c r="P6278" s="27" t="n"/>
      <c r="Q6278" s="27" t="n"/>
      <c r="R6278" s="27" t="n"/>
      <c r="S6278" s="27" t="n"/>
      <c r="T6278" s="27" t="n"/>
    </row>
    <row r="6279" ht="13.8" customFormat="1" customHeight="1" s="70">
      <c r="M6279" s="27" t="n"/>
      <c r="N6279" s="27" t="n"/>
      <c r="O6279" s="27" t="n"/>
      <c r="P6279" s="27" t="n"/>
      <c r="Q6279" s="27" t="n"/>
      <c r="R6279" s="27" t="n"/>
      <c r="S6279" s="27" t="n"/>
      <c r="T6279" s="27" t="n"/>
    </row>
    <row r="6280" ht="13.8" customFormat="1" customHeight="1" s="70">
      <c r="M6280" s="27" t="n"/>
      <c r="N6280" s="27" t="n"/>
      <c r="O6280" s="27" t="n"/>
      <c r="P6280" s="27" t="n"/>
      <c r="Q6280" s="27" t="n"/>
      <c r="R6280" s="27" t="n"/>
      <c r="S6280" s="27" t="n"/>
      <c r="T6280" s="27" t="n"/>
    </row>
    <row r="6281" ht="13.8" customFormat="1" customHeight="1" s="70">
      <c r="M6281" s="27" t="n"/>
      <c r="N6281" s="27" t="n"/>
      <c r="O6281" s="27" t="n"/>
      <c r="P6281" s="27" t="n"/>
      <c r="Q6281" s="27" t="n"/>
      <c r="R6281" s="27" t="n"/>
      <c r="S6281" s="27" t="n"/>
      <c r="T6281" s="27" t="n"/>
    </row>
    <row r="6282" ht="13.8" customFormat="1" customHeight="1" s="70">
      <c r="M6282" s="27" t="n"/>
      <c r="N6282" s="27" t="n"/>
      <c r="O6282" s="27" t="n"/>
      <c r="P6282" s="27" t="n"/>
      <c r="Q6282" s="27" t="n"/>
      <c r="R6282" s="27" t="n"/>
      <c r="S6282" s="27" t="n"/>
      <c r="T6282" s="27" t="n"/>
    </row>
    <row r="6283" ht="13.8" customFormat="1" customHeight="1" s="70">
      <c r="M6283" s="27" t="n"/>
      <c r="N6283" s="27" t="n"/>
      <c r="O6283" s="27" t="n"/>
      <c r="P6283" s="27" t="n"/>
      <c r="Q6283" s="27" t="n"/>
      <c r="R6283" s="27" t="n"/>
      <c r="S6283" s="27" t="n"/>
      <c r="T6283" s="27" t="n"/>
    </row>
    <row r="6284" ht="13.8" customFormat="1" customHeight="1" s="70">
      <c r="M6284" s="27" t="n"/>
      <c r="N6284" s="27" t="n"/>
      <c r="O6284" s="27" t="n"/>
      <c r="P6284" s="27" t="n"/>
      <c r="Q6284" s="27" t="n"/>
      <c r="R6284" s="27" t="n"/>
      <c r="S6284" s="27" t="n"/>
      <c r="T6284" s="27" t="n"/>
    </row>
    <row r="6285" ht="13.8" customFormat="1" customHeight="1" s="70">
      <c r="M6285" s="27" t="n"/>
      <c r="N6285" s="27" t="n"/>
      <c r="O6285" s="27" t="n"/>
      <c r="P6285" s="27" t="n"/>
      <c r="Q6285" s="27" t="n"/>
      <c r="R6285" s="27" t="n"/>
      <c r="S6285" s="27" t="n"/>
      <c r="T6285" s="27" t="n"/>
    </row>
    <row r="6286" ht="13.8" customFormat="1" customHeight="1" s="70">
      <c r="M6286" s="27" t="n"/>
      <c r="N6286" s="27" t="n"/>
      <c r="O6286" s="27" t="n"/>
      <c r="P6286" s="27" t="n"/>
      <c r="Q6286" s="27" t="n"/>
      <c r="R6286" s="27" t="n"/>
      <c r="S6286" s="27" t="n"/>
      <c r="T6286" s="27" t="n"/>
    </row>
    <row r="6287" ht="13.8" customFormat="1" customHeight="1" s="70">
      <c r="M6287" s="27" t="n"/>
      <c r="N6287" s="27" t="n"/>
      <c r="O6287" s="27" t="n"/>
      <c r="P6287" s="27" t="n"/>
      <c r="Q6287" s="27" t="n"/>
      <c r="R6287" s="27" t="n"/>
      <c r="S6287" s="27" t="n"/>
      <c r="T6287" s="27" t="n"/>
    </row>
    <row r="6288" ht="13.8" customFormat="1" customHeight="1" s="70">
      <c r="M6288" s="27" t="n"/>
      <c r="N6288" s="27" t="n"/>
      <c r="O6288" s="27" t="n"/>
      <c r="P6288" s="27" t="n"/>
      <c r="Q6288" s="27" t="n"/>
      <c r="R6288" s="27" t="n"/>
      <c r="S6288" s="27" t="n"/>
      <c r="T6288" s="27" t="n"/>
    </row>
    <row r="6289" ht="13.8" customFormat="1" customHeight="1" s="70">
      <c r="M6289" s="27" t="n"/>
      <c r="N6289" s="27" t="n"/>
      <c r="O6289" s="27" t="n"/>
      <c r="P6289" s="27" t="n"/>
      <c r="Q6289" s="27" t="n"/>
      <c r="R6289" s="27" t="n"/>
      <c r="S6289" s="27" t="n"/>
      <c r="T6289" s="27" t="n"/>
    </row>
    <row r="6290" ht="13.8" customFormat="1" customHeight="1" s="70">
      <c r="M6290" s="27" t="n"/>
      <c r="N6290" s="27" t="n"/>
      <c r="O6290" s="27" t="n"/>
      <c r="P6290" s="27" t="n"/>
      <c r="Q6290" s="27" t="n"/>
      <c r="R6290" s="27" t="n"/>
      <c r="S6290" s="27" t="n"/>
      <c r="T6290" s="27" t="n"/>
    </row>
    <row r="6291" ht="13.8" customFormat="1" customHeight="1" s="70">
      <c r="M6291" s="27" t="n"/>
      <c r="N6291" s="27" t="n"/>
      <c r="O6291" s="27" t="n"/>
      <c r="P6291" s="27" t="n"/>
      <c r="Q6291" s="27" t="n"/>
      <c r="R6291" s="27" t="n"/>
      <c r="S6291" s="27" t="n"/>
      <c r="T6291" s="27" t="n"/>
    </row>
    <row r="6292" ht="13.8" customFormat="1" customHeight="1" s="70">
      <c r="M6292" s="27" t="n"/>
      <c r="N6292" s="27" t="n"/>
      <c r="O6292" s="27" t="n"/>
      <c r="P6292" s="27" t="n"/>
      <c r="Q6292" s="27" t="n"/>
      <c r="R6292" s="27" t="n"/>
      <c r="S6292" s="27" t="n"/>
      <c r="T6292" s="27" t="n"/>
    </row>
    <row r="6293" ht="13.8" customFormat="1" customHeight="1" s="70">
      <c r="M6293" s="27" t="n"/>
      <c r="N6293" s="27" t="n"/>
      <c r="O6293" s="27" t="n"/>
      <c r="P6293" s="27" t="n"/>
      <c r="Q6293" s="27" t="n"/>
      <c r="R6293" s="27" t="n"/>
      <c r="S6293" s="27" t="n"/>
      <c r="T6293" s="27" t="n"/>
    </row>
    <row r="6294" ht="13.8" customFormat="1" customHeight="1" s="70">
      <c r="M6294" s="27" t="n"/>
      <c r="N6294" s="27" t="n"/>
      <c r="O6294" s="27" t="n"/>
      <c r="P6294" s="27" t="n"/>
      <c r="Q6294" s="27" t="n"/>
      <c r="R6294" s="27" t="n"/>
      <c r="S6294" s="27" t="n"/>
      <c r="T6294" s="27" t="n"/>
    </row>
    <row r="6295" ht="13.8" customFormat="1" customHeight="1" s="70">
      <c r="M6295" s="27" t="n"/>
      <c r="N6295" s="27" t="n"/>
      <c r="O6295" s="27" t="n"/>
      <c r="P6295" s="27" t="n"/>
      <c r="Q6295" s="27" t="n"/>
      <c r="R6295" s="27" t="n"/>
      <c r="S6295" s="27" t="n"/>
      <c r="T6295" s="27" t="n"/>
    </row>
    <row r="6296" ht="13.8" customFormat="1" customHeight="1" s="70">
      <c r="M6296" s="27" t="n"/>
      <c r="N6296" s="27" t="n"/>
      <c r="O6296" s="27" t="n"/>
      <c r="P6296" s="27" t="n"/>
      <c r="Q6296" s="27" t="n"/>
      <c r="R6296" s="27" t="n"/>
      <c r="S6296" s="27" t="n"/>
      <c r="T6296" s="27" t="n"/>
    </row>
    <row r="6297" ht="13.8" customFormat="1" customHeight="1" s="70">
      <c r="M6297" s="27" t="n"/>
      <c r="N6297" s="27" t="n"/>
      <c r="O6297" s="27" t="n"/>
      <c r="P6297" s="27" t="n"/>
      <c r="Q6297" s="27" t="n"/>
      <c r="R6297" s="27" t="n"/>
      <c r="S6297" s="27" t="n"/>
      <c r="T6297" s="27" t="n"/>
    </row>
    <row r="6298" ht="13.8" customFormat="1" customHeight="1" s="70">
      <c r="M6298" s="27" t="n"/>
      <c r="N6298" s="27" t="n"/>
      <c r="O6298" s="27" t="n"/>
      <c r="P6298" s="27" t="n"/>
      <c r="Q6298" s="27" t="n"/>
      <c r="R6298" s="27" t="n"/>
      <c r="S6298" s="27" t="n"/>
      <c r="T6298" s="27" t="n"/>
    </row>
    <row r="6299" ht="13.8" customFormat="1" customHeight="1" s="70">
      <c r="M6299" s="27" t="n"/>
      <c r="N6299" s="27" t="n"/>
      <c r="O6299" s="27" t="n"/>
      <c r="P6299" s="27" t="n"/>
      <c r="Q6299" s="27" t="n"/>
      <c r="R6299" s="27" t="n"/>
      <c r="S6299" s="27" t="n"/>
      <c r="T6299" s="27" t="n"/>
    </row>
    <row r="6300" ht="13.8" customFormat="1" customHeight="1" s="70">
      <c r="M6300" s="27" t="n"/>
      <c r="N6300" s="27" t="n"/>
      <c r="O6300" s="27" t="n"/>
      <c r="P6300" s="27" t="n"/>
      <c r="Q6300" s="27" t="n"/>
      <c r="R6300" s="27" t="n"/>
      <c r="S6300" s="27" t="n"/>
      <c r="T6300" s="27" t="n"/>
    </row>
    <row r="6301" ht="13.8" customFormat="1" customHeight="1" s="70">
      <c r="M6301" s="27" t="n"/>
      <c r="N6301" s="27" t="n"/>
      <c r="O6301" s="27" t="n"/>
      <c r="P6301" s="27" t="n"/>
      <c r="Q6301" s="27" t="n"/>
      <c r="R6301" s="27" t="n"/>
      <c r="S6301" s="27" t="n"/>
      <c r="T6301" s="27" t="n"/>
    </row>
    <row r="6302" ht="13.8" customFormat="1" customHeight="1" s="70">
      <c r="M6302" s="27" t="n"/>
      <c r="N6302" s="27" t="n"/>
      <c r="O6302" s="27" t="n"/>
      <c r="P6302" s="27" t="n"/>
      <c r="Q6302" s="27" t="n"/>
      <c r="R6302" s="27" t="n"/>
      <c r="S6302" s="27" t="n"/>
      <c r="T6302" s="27" t="n"/>
    </row>
    <row r="6303" ht="13.8" customFormat="1" customHeight="1" s="70">
      <c r="M6303" s="27" t="n"/>
      <c r="N6303" s="27" t="n"/>
      <c r="O6303" s="27" t="n"/>
      <c r="P6303" s="27" t="n"/>
      <c r="Q6303" s="27" t="n"/>
      <c r="R6303" s="27" t="n"/>
      <c r="S6303" s="27" t="n"/>
      <c r="T6303" s="27" t="n"/>
    </row>
    <row r="6304" ht="13.8" customFormat="1" customHeight="1" s="70">
      <c r="M6304" s="27" t="n"/>
      <c r="N6304" s="27" t="n"/>
      <c r="O6304" s="27" t="n"/>
      <c r="P6304" s="27" t="n"/>
      <c r="Q6304" s="27" t="n"/>
      <c r="R6304" s="27" t="n"/>
      <c r="S6304" s="27" t="n"/>
      <c r="T6304" s="27" t="n"/>
    </row>
    <row r="6305" ht="13.8" customFormat="1" customHeight="1" s="70">
      <c r="M6305" s="27" t="n"/>
      <c r="N6305" s="27" t="n"/>
      <c r="O6305" s="27" t="n"/>
      <c r="P6305" s="27" t="n"/>
      <c r="Q6305" s="27" t="n"/>
      <c r="R6305" s="27" t="n"/>
      <c r="S6305" s="27" t="n"/>
      <c r="T6305" s="27" t="n"/>
    </row>
    <row r="6306" ht="13.8" customFormat="1" customHeight="1" s="70">
      <c r="M6306" s="27" t="n"/>
      <c r="N6306" s="27" t="n"/>
      <c r="O6306" s="27" t="n"/>
      <c r="P6306" s="27" t="n"/>
      <c r="Q6306" s="27" t="n"/>
      <c r="R6306" s="27" t="n"/>
      <c r="S6306" s="27" t="n"/>
      <c r="T6306" s="27" t="n"/>
    </row>
    <row r="6307" ht="13.8" customFormat="1" customHeight="1" s="70">
      <c r="M6307" s="27" t="n"/>
      <c r="N6307" s="27" t="n"/>
      <c r="O6307" s="27" t="n"/>
      <c r="P6307" s="27" t="n"/>
      <c r="Q6307" s="27" t="n"/>
      <c r="R6307" s="27" t="n"/>
      <c r="S6307" s="27" t="n"/>
      <c r="T6307" s="27" t="n"/>
    </row>
    <row r="6308" ht="13.8" customFormat="1" customHeight="1" s="70">
      <c r="M6308" s="27" t="n"/>
      <c r="N6308" s="27" t="n"/>
      <c r="O6308" s="27" t="n"/>
      <c r="P6308" s="27" t="n"/>
      <c r="Q6308" s="27" t="n"/>
      <c r="R6308" s="27" t="n"/>
      <c r="S6308" s="27" t="n"/>
      <c r="T6308" s="27" t="n"/>
    </row>
    <row r="6309" ht="13.8" customFormat="1" customHeight="1" s="70">
      <c r="M6309" s="27" t="n"/>
      <c r="N6309" s="27" t="n"/>
      <c r="O6309" s="27" t="n"/>
      <c r="P6309" s="27" t="n"/>
      <c r="Q6309" s="27" t="n"/>
      <c r="R6309" s="27" t="n"/>
      <c r="S6309" s="27" t="n"/>
      <c r="T6309" s="27" t="n"/>
    </row>
    <row r="6310" ht="13.8" customFormat="1" customHeight="1" s="70">
      <c r="M6310" s="27" t="n"/>
      <c r="N6310" s="27" t="n"/>
      <c r="O6310" s="27" t="n"/>
      <c r="P6310" s="27" t="n"/>
      <c r="Q6310" s="27" t="n"/>
      <c r="R6310" s="27" t="n"/>
      <c r="S6310" s="27" t="n"/>
      <c r="T6310" s="27" t="n"/>
    </row>
    <row r="6311" ht="13.8" customFormat="1" customHeight="1" s="70">
      <c r="M6311" s="27" t="n"/>
      <c r="N6311" s="27" t="n"/>
      <c r="O6311" s="27" t="n"/>
      <c r="P6311" s="27" t="n"/>
      <c r="Q6311" s="27" t="n"/>
      <c r="R6311" s="27" t="n"/>
      <c r="S6311" s="27" t="n"/>
      <c r="T6311" s="27" t="n"/>
    </row>
    <row r="6312" ht="13.8" customFormat="1" customHeight="1" s="70">
      <c r="M6312" s="27" t="n"/>
      <c r="N6312" s="27" t="n"/>
      <c r="O6312" s="27" t="n"/>
      <c r="P6312" s="27" t="n"/>
      <c r="Q6312" s="27" t="n"/>
      <c r="R6312" s="27" t="n"/>
      <c r="S6312" s="27" t="n"/>
      <c r="T6312" s="27" t="n"/>
    </row>
    <row r="6313" ht="13.8" customFormat="1" customHeight="1" s="70">
      <c r="M6313" s="27" t="n"/>
      <c r="N6313" s="27" t="n"/>
      <c r="O6313" s="27" t="n"/>
      <c r="P6313" s="27" t="n"/>
      <c r="Q6313" s="27" t="n"/>
      <c r="R6313" s="27" t="n"/>
      <c r="S6313" s="27" t="n"/>
      <c r="T6313" s="27" t="n"/>
    </row>
    <row r="6314" ht="13.8" customFormat="1" customHeight="1" s="70">
      <c r="M6314" s="27" t="n"/>
      <c r="N6314" s="27" t="n"/>
      <c r="O6314" s="27" t="n"/>
      <c r="P6314" s="27" t="n"/>
      <c r="Q6314" s="27" t="n"/>
      <c r="R6314" s="27" t="n"/>
      <c r="S6314" s="27" t="n"/>
      <c r="T6314" s="27" t="n"/>
    </row>
    <row r="6315" ht="13.8" customFormat="1" customHeight="1" s="70">
      <c r="M6315" s="27" t="n"/>
      <c r="N6315" s="27" t="n"/>
      <c r="O6315" s="27" t="n"/>
      <c r="P6315" s="27" t="n"/>
      <c r="Q6315" s="27" t="n"/>
      <c r="R6315" s="27" t="n"/>
      <c r="S6315" s="27" t="n"/>
      <c r="T6315" s="27" t="n"/>
    </row>
    <row r="6316" ht="13.8" customFormat="1" customHeight="1" s="70">
      <c r="M6316" s="27" t="n"/>
      <c r="N6316" s="27" t="n"/>
      <c r="O6316" s="27" t="n"/>
      <c r="P6316" s="27" t="n"/>
      <c r="Q6316" s="27" t="n"/>
      <c r="R6316" s="27" t="n"/>
      <c r="S6316" s="27" t="n"/>
      <c r="T6316" s="27" t="n"/>
    </row>
    <row r="6317" ht="13.8" customFormat="1" customHeight="1" s="70">
      <c r="M6317" s="27" t="n"/>
      <c r="N6317" s="27" t="n"/>
      <c r="O6317" s="27" t="n"/>
      <c r="P6317" s="27" t="n"/>
      <c r="Q6317" s="27" t="n"/>
      <c r="R6317" s="27" t="n"/>
      <c r="S6317" s="27" t="n"/>
      <c r="T6317" s="27" t="n"/>
    </row>
    <row r="6318" ht="13.8" customFormat="1" customHeight="1" s="70">
      <c r="M6318" s="27" t="n"/>
      <c r="N6318" s="27" t="n"/>
      <c r="O6318" s="27" t="n"/>
      <c r="P6318" s="27" t="n"/>
      <c r="Q6318" s="27" t="n"/>
      <c r="R6318" s="27" t="n"/>
      <c r="S6318" s="27" t="n"/>
      <c r="T6318" s="27" t="n"/>
    </row>
    <row r="6319" ht="13.8" customFormat="1" customHeight="1" s="70">
      <c r="M6319" s="27" t="n"/>
      <c r="N6319" s="27" t="n"/>
      <c r="O6319" s="27" t="n"/>
      <c r="P6319" s="27" t="n"/>
      <c r="Q6319" s="27" t="n"/>
      <c r="R6319" s="27" t="n"/>
      <c r="S6319" s="27" t="n"/>
      <c r="T6319" s="27" t="n"/>
    </row>
    <row r="6320" ht="13.8" customFormat="1" customHeight="1" s="70">
      <c r="M6320" s="27" t="n"/>
      <c r="N6320" s="27" t="n"/>
      <c r="O6320" s="27" t="n"/>
      <c r="P6320" s="27" t="n"/>
      <c r="Q6320" s="27" t="n"/>
      <c r="R6320" s="27" t="n"/>
      <c r="S6320" s="27" t="n"/>
      <c r="T6320" s="27" t="n"/>
    </row>
    <row r="6321" ht="13.8" customFormat="1" customHeight="1" s="70">
      <c r="M6321" s="27" t="n"/>
      <c r="N6321" s="27" t="n"/>
      <c r="O6321" s="27" t="n"/>
      <c r="P6321" s="27" t="n"/>
      <c r="Q6321" s="27" t="n"/>
      <c r="R6321" s="27" t="n"/>
      <c r="S6321" s="27" t="n"/>
      <c r="T6321" s="27" t="n"/>
    </row>
    <row r="6322" ht="13.8" customFormat="1" customHeight="1" s="70">
      <c r="M6322" s="27" t="n"/>
      <c r="N6322" s="27" t="n"/>
      <c r="O6322" s="27" t="n"/>
      <c r="P6322" s="27" t="n"/>
      <c r="Q6322" s="27" t="n"/>
      <c r="R6322" s="27" t="n"/>
      <c r="S6322" s="27" t="n"/>
      <c r="T6322" s="27" t="n"/>
    </row>
    <row r="6323" ht="13.8" customFormat="1" customHeight="1" s="70">
      <c r="M6323" s="27" t="n"/>
      <c r="N6323" s="27" t="n"/>
      <c r="O6323" s="27" t="n"/>
      <c r="P6323" s="27" t="n"/>
      <c r="Q6323" s="27" t="n"/>
      <c r="R6323" s="27" t="n"/>
      <c r="S6323" s="27" t="n"/>
      <c r="T6323" s="27" t="n"/>
    </row>
    <row r="6324" ht="13.8" customFormat="1" customHeight="1" s="70">
      <c r="M6324" s="27" t="n"/>
      <c r="N6324" s="27" t="n"/>
      <c r="O6324" s="27" t="n"/>
      <c r="P6324" s="27" t="n"/>
      <c r="Q6324" s="27" t="n"/>
      <c r="R6324" s="27" t="n"/>
      <c r="S6324" s="27" t="n"/>
      <c r="T6324" s="27" t="n"/>
    </row>
    <row r="6325" ht="13.8" customFormat="1" customHeight="1" s="70">
      <c r="M6325" s="27" t="n"/>
      <c r="N6325" s="27" t="n"/>
      <c r="O6325" s="27" t="n"/>
      <c r="P6325" s="27" t="n"/>
      <c r="Q6325" s="27" t="n"/>
      <c r="R6325" s="27" t="n"/>
      <c r="S6325" s="27" t="n"/>
      <c r="T6325" s="27" t="n"/>
    </row>
    <row r="6326" ht="13.8" customFormat="1" customHeight="1" s="70">
      <c r="M6326" s="27" t="n"/>
      <c r="N6326" s="27" t="n"/>
      <c r="O6326" s="27" t="n"/>
      <c r="P6326" s="27" t="n"/>
      <c r="Q6326" s="27" t="n"/>
      <c r="R6326" s="27" t="n"/>
      <c r="S6326" s="27" t="n"/>
      <c r="T6326" s="27" t="n"/>
    </row>
    <row r="6327" ht="13.8" customFormat="1" customHeight="1" s="70">
      <c r="M6327" s="27" t="n"/>
      <c r="N6327" s="27" t="n"/>
      <c r="O6327" s="27" t="n"/>
      <c r="P6327" s="27" t="n"/>
      <c r="Q6327" s="27" t="n"/>
      <c r="R6327" s="27" t="n"/>
      <c r="S6327" s="27" t="n"/>
      <c r="T6327" s="27" t="n"/>
    </row>
    <row r="6328" ht="13.8" customFormat="1" customHeight="1" s="70">
      <c r="M6328" s="27" t="n"/>
      <c r="N6328" s="27" t="n"/>
      <c r="O6328" s="27" t="n"/>
      <c r="P6328" s="27" t="n"/>
      <c r="Q6328" s="27" t="n"/>
      <c r="R6328" s="27" t="n"/>
      <c r="S6328" s="27" t="n"/>
      <c r="T6328" s="27" t="n"/>
    </row>
    <row r="6329" ht="13.8" customFormat="1" customHeight="1" s="70">
      <c r="M6329" s="27" t="n"/>
      <c r="N6329" s="27" t="n"/>
      <c r="O6329" s="27" t="n"/>
      <c r="P6329" s="27" t="n"/>
      <c r="Q6329" s="27" t="n"/>
      <c r="R6329" s="27" t="n"/>
      <c r="S6329" s="27" t="n"/>
      <c r="T6329" s="27" t="n"/>
    </row>
    <row r="6330" ht="13.8" customFormat="1" customHeight="1" s="70">
      <c r="M6330" s="27" t="n"/>
      <c r="N6330" s="27" t="n"/>
      <c r="O6330" s="27" t="n"/>
      <c r="P6330" s="27" t="n"/>
      <c r="Q6330" s="27" t="n"/>
      <c r="R6330" s="27" t="n"/>
      <c r="S6330" s="27" t="n"/>
      <c r="T6330" s="27" t="n"/>
    </row>
    <row r="6331" ht="13.8" customFormat="1" customHeight="1" s="70">
      <c r="M6331" s="27" t="n"/>
      <c r="N6331" s="27" t="n"/>
      <c r="O6331" s="27" t="n"/>
      <c r="P6331" s="27" t="n"/>
      <c r="Q6331" s="27" t="n"/>
      <c r="R6331" s="27" t="n"/>
      <c r="S6331" s="27" t="n"/>
      <c r="T6331" s="27" t="n"/>
    </row>
    <row r="6332" ht="13.8" customFormat="1" customHeight="1" s="70">
      <c r="M6332" s="27" t="n"/>
      <c r="N6332" s="27" t="n"/>
      <c r="O6332" s="27" t="n"/>
      <c r="P6332" s="27" t="n"/>
      <c r="Q6332" s="27" t="n"/>
      <c r="R6332" s="27" t="n"/>
      <c r="S6332" s="27" t="n"/>
      <c r="T6332" s="27" t="n"/>
    </row>
    <row r="6333" ht="13.8" customFormat="1" customHeight="1" s="70">
      <c r="M6333" s="27" t="n"/>
      <c r="N6333" s="27" t="n"/>
      <c r="O6333" s="27" t="n"/>
      <c r="P6333" s="27" t="n"/>
      <c r="Q6333" s="27" t="n"/>
      <c r="R6333" s="27" t="n"/>
      <c r="S6333" s="27" t="n"/>
      <c r="T6333" s="27" t="n"/>
    </row>
    <row r="6334" ht="13.8" customFormat="1" customHeight="1" s="70">
      <c r="M6334" s="27" t="n"/>
      <c r="N6334" s="27" t="n"/>
      <c r="O6334" s="27" t="n"/>
      <c r="P6334" s="27" t="n"/>
      <c r="Q6334" s="27" t="n"/>
      <c r="R6334" s="27" t="n"/>
      <c r="S6334" s="27" t="n"/>
      <c r="T6334" s="27" t="n"/>
    </row>
    <row r="6335" ht="13.8" customFormat="1" customHeight="1" s="70">
      <c r="M6335" s="27" t="n"/>
      <c r="N6335" s="27" t="n"/>
      <c r="O6335" s="27" t="n"/>
      <c r="P6335" s="27" t="n"/>
      <c r="Q6335" s="27" t="n"/>
      <c r="R6335" s="27" t="n"/>
      <c r="S6335" s="27" t="n"/>
      <c r="T6335" s="27" t="n"/>
    </row>
    <row r="6336" ht="13.8" customFormat="1" customHeight="1" s="70">
      <c r="M6336" s="27" t="n"/>
      <c r="N6336" s="27" t="n"/>
      <c r="O6336" s="27" t="n"/>
      <c r="P6336" s="27" t="n"/>
      <c r="Q6336" s="27" t="n"/>
      <c r="R6336" s="27" t="n"/>
      <c r="S6336" s="27" t="n"/>
      <c r="T6336" s="27" t="n"/>
    </row>
    <row r="6337" ht="13.8" customFormat="1" customHeight="1" s="70">
      <c r="M6337" s="27" t="n"/>
      <c r="N6337" s="27" t="n"/>
      <c r="O6337" s="27" t="n"/>
      <c r="P6337" s="27" t="n"/>
      <c r="Q6337" s="27" t="n"/>
      <c r="R6337" s="27" t="n"/>
      <c r="S6337" s="27" t="n"/>
      <c r="T6337" s="27" t="n"/>
    </row>
    <row r="6338" ht="13.8" customFormat="1" customHeight="1" s="70">
      <c r="M6338" s="27" t="n"/>
      <c r="N6338" s="27" t="n"/>
      <c r="O6338" s="27" t="n"/>
      <c r="P6338" s="27" t="n"/>
      <c r="Q6338" s="27" t="n"/>
      <c r="R6338" s="27" t="n"/>
      <c r="S6338" s="27" t="n"/>
      <c r="T6338" s="27" t="n"/>
    </row>
    <row r="6339" ht="13.8" customFormat="1" customHeight="1" s="70">
      <c r="M6339" s="27" t="n"/>
      <c r="N6339" s="27" t="n"/>
      <c r="O6339" s="27" t="n"/>
      <c r="P6339" s="27" t="n"/>
      <c r="Q6339" s="27" t="n"/>
      <c r="R6339" s="27" t="n"/>
      <c r="S6339" s="27" t="n"/>
      <c r="T6339" s="27" t="n"/>
    </row>
    <row r="6340" ht="13.8" customFormat="1" customHeight="1" s="70">
      <c r="M6340" s="27" t="n"/>
      <c r="N6340" s="27" t="n"/>
      <c r="O6340" s="27" t="n"/>
      <c r="P6340" s="27" t="n"/>
      <c r="Q6340" s="27" t="n"/>
      <c r="R6340" s="27" t="n"/>
      <c r="S6340" s="27" t="n"/>
      <c r="T6340" s="27" t="n"/>
    </row>
    <row r="6341" ht="13.8" customFormat="1" customHeight="1" s="70">
      <c r="M6341" s="27" t="n"/>
      <c r="N6341" s="27" t="n"/>
      <c r="O6341" s="27" t="n"/>
      <c r="P6341" s="27" t="n"/>
      <c r="Q6341" s="27" t="n"/>
      <c r="R6341" s="27" t="n"/>
      <c r="S6341" s="27" t="n"/>
      <c r="T6341" s="27" t="n"/>
    </row>
    <row r="6342" ht="13.8" customFormat="1" customHeight="1" s="70">
      <c r="M6342" s="27" t="n"/>
      <c r="N6342" s="27" t="n"/>
      <c r="O6342" s="27" t="n"/>
      <c r="P6342" s="27" t="n"/>
      <c r="Q6342" s="27" t="n"/>
      <c r="R6342" s="27" t="n"/>
      <c r="S6342" s="27" t="n"/>
      <c r="T6342" s="27" t="n"/>
    </row>
    <row r="6343" ht="13.8" customFormat="1" customHeight="1" s="70">
      <c r="M6343" s="27" t="n"/>
      <c r="N6343" s="27" t="n"/>
      <c r="O6343" s="27" t="n"/>
      <c r="P6343" s="27" t="n"/>
      <c r="Q6343" s="27" t="n"/>
      <c r="R6343" s="27" t="n"/>
      <c r="S6343" s="27" t="n"/>
      <c r="T6343" s="27" t="n"/>
    </row>
    <row r="6344" ht="13.8" customFormat="1" customHeight="1" s="70">
      <c r="M6344" s="27" t="n"/>
      <c r="N6344" s="27" t="n"/>
      <c r="O6344" s="27" t="n"/>
      <c r="P6344" s="27" t="n"/>
      <c r="Q6344" s="27" t="n"/>
      <c r="R6344" s="27" t="n"/>
      <c r="S6344" s="27" t="n"/>
      <c r="T6344" s="27" t="n"/>
    </row>
    <row r="6345" ht="13.8" customFormat="1" customHeight="1" s="70">
      <c r="M6345" s="27" t="n"/>
      <c r="N6345" s="27" t="n"/>
      <c r="O6345" s="27" t="n"/>
      <c r="P6345" s="27" t="n"/>
      <c r="Q6345" s="27" t="n"/>
      <c r="R6345" s="27" t="n"/>
      <c r="S6345" s="27" t="n"/>
      <c r="T6345" s="27" t="n"/>
    </row>
    <row r="6346" ht="13.8" customFormat="1" customHeight="1" s="70">
      <c r="M6346" s="27" t="n"/>
      <c r="N6346" s="27" t="n"/>
      <c r="O6346" s="27" t="n"/>
      <c r="P6346" s="27" t="n"/>
      <c r="Q6346" s="27" t="n"/>
      <c r="R6346" s="27" t="n"/>
      <c r="S6346" s="27" t="n"/>
      <c r="T6346" s="27" t="n"/>
    </row>
    <row r="6347" ht="13.8" customFormat="1" customHeight="1" s="70">
      <c r="M6347" s="27" t="n"/>
      <c r="N6347" s="27" t="n"/>
      <c r="O6347" s="27" t="n"/>
      <c r="P6347" s="27" t="n"/>
      <c r="Q6347" s="27" t="n"/>
      <c r="R6347" s="27" t="n"/>
      <c r="S6347" s="27" t="n"/>
      <c r="T6347" s="27" t="n"/>
    </row>
    <row r="6348" ht="13.8" customFormat="1" customHeight="1" s="70">
      <c r="M6348" s="27" t="n"/>
      <c r="N6348" s="27" t="n"/>
      <c r="O6348" s="27" t="n"/>
      <c r="P6348" s="27" t="n"/>
      <c r="Q6348" s="27" t="n"/>
      <c r="R6348" s="27" t="n"/>
      <c r="S6348" s="27" t="n"/>
      <c r="T6348" s="27" t="n"/>
    </row>
    <row r="6349" ht="13.8" customFormat="1" customHeight="1" s="70">
      <c r="M6349" s="27" t="n"/>
      <c r="N6349" s="27" t="n"/>
      <c r="O6349" s="27" t="n"/>
      <c r="P6349" s="27" t="n"/>
      <c r="Q6349" s="27" t="n"/>
      <c r="R6349" s="27" t="n"/>
      <c r="S6349" s="27" t="n"/>
      <c r="T6349" s="27" t="n"/>
    </row>
    <row r="6350" ht="13.8" customFormat="1" customHeight="1" s="70">
      <c r="M6350" s="27" t="n"/>
      <c r="N6350" s="27" t="n"/>
      <c r="O6350" s="27" t="n"/>
      <c r="P6350" s="27" t="n"/>
      <c r="Q6350" s="27" t="n"/>
      <c r="R6350" s="27" t="n"/>
      <c r="S6350" s="27" t="n"/>
      <c r="T6350" s="27" t="n"/>
    </row>
    <row r="6351" ht="13.8" customFormat="1" customHeight="1" s="70">
      <c r="M6351" s="27" t="n"/>
      <c r="N6351" s="27" t="n"/>
      <c r="O6351" s="27" t="n"/>
      <c r="P6351" s="27" t="n"/>
      <c r="Q6351" s="27" t="n"/>
      <c r="R6351" s="27" t="n"/>
      <c r="S6351" s="27" t="n"/>
      <c r="T6351" s="27" t="n"/>
    </row>
    <row r="6352" ht="13.8" customFormat="1" customHeight="1" s="70">
      <c r="M6352" s="27" t="n"/>
      <c r="N6352" s="27" t="n"/>
      <c r="O6352" s="27" t="n"/>
      <c r="P6352" s="27" t="n"/>
      <c r="Q6352" s="27" t="n"/>
      <c r="R6352" s="27" t="n"/>
      <c r="S6352" s="27" t="n"/>
      <c r="T6352" s="27" t="n"/>
    </row>
    <row r="6353" ht="13.8" customFormat="1" customHeight="1" s="70">
      <c r="M6353" s="27" t="n"/>
      <c r="N6353" s="27" t="n"/>
      <c r="O6353" s="27" t="n"/>
      <c r="P6353" s="27" t="n"/>
      <c r="Q6353" s="27" t="n"/>
      <c r="R6353" s="27" t="n"/>
      <c r="S6353" s="27" t="n"/>
      <c r="T6353" s="27" t="n"/>
    </row>
    <row r="6354" ht="13.8" customFormat="1" customHeight="1" s="70">
      <c r="M6354" s="27" t="n"/>
      <c r="N6354" s="27" t="n"/>
      <c r="O6354" s="27" t="n"/>
      <c r="P6354" s="27" t="n"/>
      <c r="Q6354" s="27" t="n"/>
      <c r="R6354" s="27" t="n"/>
      <c r="S6354" s="27" t="n"/>
      <c r="T6354" s="27" t="n"/>
    </row>
    <row r="6355" ht="13.8" customFormat="1" customHeight="1" s="70">
      <c r="M6355" s="27" t="n"/>
      <c r="N6355" s="27" t="n"/>
      <c r="O6355" s="27" t="n"/>
      <c r="P6355" s="27" t="n"/>
      <c r="Q6355" s="27" t="n"/>
      <c r="R6355" s="27" t="n"/>
      <c r="S6355" s="27" t="n"/>
      <c r="T6355" s="27" t="n"/>
    </row>
    <row r="6356" ht="13.8" customFormat="1" customHeight="1" s="70">
      <c r="M6356" s="27" t="n"/>
      <c r="N6356" s="27" t="n"/>
      <c r="O6356" s="27" t="n"/>
      <c r="P6356" s="27" t="n"/>
      <c r="Q6356" s="27" t="n"/>
      <c r="R6356" s="27" t="n"/>
      <c r="S6356" s="27" t="n"/>
      <c r="T6356" s="27" t="n"/>
    </row>
    <row r="6357" ht="13.8" customFormat="1" customHeight="1" s="70">
      <c r="M6357" s="27" t="n"/>
      <c r="N6357" s="27" t="n"/>
      <c r="O6357" s="27" t="n"/>
      <c r="P6357" s="27" t="n"/>
      <c r="Q6357" s="27" t="n"/>
      <c r="R6357" s="27" t="n"/>
      <c r="S6357" s="27" t="n"/>
      <c r="T6357" s="27" t="n"/>
    </row>
    <row r="6358" ht="13.8" customFormat="1" customHeight="1" s="70">
      <c r="M6358" s="27" t="n"/>
      <c r="N6358" s="27" t="n"/>
      <c r="O6358" s="27" t="n"/>
      <c r="P6358" s="27" t="n"/>
      <c r="Q6358" s="27" t="n"/>
      <c r="R6358" s="27" t="n"/>
      <c r="S6358" s="27" t="n"/>
      <c r="T6358" s="27" t="n"/>
    </row>
    <row r="6359" ht="13.8" customFormat="1" customHeight="1" s="70">
      <c r="M6359" s="27" t="n"/>
      <c r="N6359" s="27" t="n"/>
      <c r="O6359" s="27" t="n"/>
      <c r="P6359" s="27" t="n"/>
      <c r="Q6359" s="27" t="n"/>
      <c r="R6359" s="27" t="n"/>
      <c r="S6359" s="27" t="n"/>
      <c r="T6359" s="27" t="n"/>
    </row>
    <row r="6360" ht="13.8" customFormat="1" customHeight="1" s="70">
      <c r="M6360" s="27" t="n"/>
      <c r="N6360" s="27" t="n"/>
      <c r="O6360" s="27" t="n"/>
      <c r="P6360" s="27" t="n"/>
      <c r="Q6360" s="27" t="n"/>
      <c r="R6360" s="27" t="n"/>
      <c r="S6360" s="27" t="n"/>
      <c r="T6360" s="27" t="n"/>
    </row>
    <row r="6361" ht="13.8" customFormat="1" customHeight="1" s="70">
      <c r="M6361" s="27" t="n"/>
      <c r="N6361" s="27" t="n"/>
      <c r="O6361" s="27" t="n"/>
      <c r="P6361" s="27" t="n"/>
      <c r="Q6361" s="27" t="n"/>
      <c r="R6361" s="27" t="n"/>
      <c r="S6361" s="27" t="n"/>
      <c r="T6361" s="27" t="n"/>
    </row>
    <row r="6362" ht="13.8" customFormat="1" customHeight="1" s="70">
      <c r="M6362" s="27" t="n"/>
      <c r="N6362" s="27" t="n"/>
      <c r="O6362" s="27" t="n"/>
      <c r="P6362" s="27" t="n"/>
      <c r="Q6362" s="27" t="n"/>
      <c r="R6362" s="27" t="n"/>
      <c r="S6362" s="27" t="n"/>
      <c r="T6362" s="27" t="n"/>
    </row>
    <row r="6363" ht="13.8" customFormat="1" customHeight="1" s="70">
      <c r="M6363" s="27" t="n"/>
      <c r="N6363" s="27" t="n"/>
      <c r="O6363" s="27" t="n"/>
      <c r="P6363" s="27" t="n"/>
      <c r="Q6363" s="27" t="n"/>
      <c r="R6363" s="27" t="n"/>
      <c r="S6363" s="27" t="n"/>
      <c r="T6363" s="27" t="n"/>
    </row>
    <row r="6364" ht="13.8" customFormat="1" customHeight="1" s="70">
      <c r="M6364" s="27" t="n"/>
      <c r="N6364" s="27" t="n"/>
      <c r="O6364" s="27" t="n"/>
      <c r="P6364" s="27" t="n"/>
      <c r="Q6364" s="27" t="n"/>
      <c r="R6364" s="27" t="n"/>
      <c r="S6364" s="27" t="n"/>
      <c r="T6364" s="27" t="n"/>
    </row>
    <row r="6365" ht="13.8" customFormat="1" customHeight="1" s="70">
      <c r="M6365" s="27" t="n"/>
      <c r="N6365" s="27" t="n"/>
      <c r="O6365" s="27" t="n"/>
      <c r="P6365" s="27" t="n"/>
      <c r="Q6365" s="27" t="n"/>
      <c r="R6365" s="27" t="n"/>
      <c r="S6365" s="27" t="n"/>
      <c r="T6365" s="27" t="n"/>
    </row>
    <row r="6366" ht="13.8" customFormat="1" customHeight="1" s="70">
      <c r="M6366" s="27" t="n"/>
      <c r="N6366" s="27" t="n"/>
      <c r="O6366" s="27" t="n"/>
      <c r="P6366" s="27" t="n"/>
      <c r="Q6366" s="27" t="n"/>
      <c r="R6366" s="27" t="n"/>
      <c r="S6366" s="27" t="n"/>
      <c r="T6366" s="27" t="n"/>
    </row>
    <row r="6367" ht="13.8" customFormat="1" customHeight="1" s="70">
      <c r="M6367" s="27" t="n"/>
      <c r="N6367" s="27" t="n"/>
      <c r="O6367" s="27" t="n"/>
      <c r="P6367" s="27" t="n"/>
      <c r="Q6367" s="27" t="n"/>
      <c r="R6367" s="27" t="n"/>
      <c r="S6367" s="27" t="n"/>
      <c r="T6367" s="27" t="n"/>
    </row>
    <row r="6368" ht="13.8" customFormat="1" customHeight="1" s="70">
      <c r="M6368" s="27" t="n"/>
      <c r="N6368" s="27" t="n"/>
      <c r="O6368" s="27" t="n"/>
      <c r="P6368" s="27" t="n"/>
      <c r="Q6368" s="27" t="n"/>
      <c r="R6368" s="27" t="n"/>
      <c r="S6368" s="27" t="n"/>
      <c r="T6368" s="27" t="n"/>
    </row>
    <row r="6369" ht="13.8" customFormat="1" customHeight="1" s="70">
      <c r="M6369" s="27" t="n"/>
      <c r="N6369" s="27" t="n"/>
      <c r="O6369" s="27" t="n"/>
      <c r="P6369" s="27" t="n"/>
      <c r="Q6369" s="27" t="n"/>
      <c r="R6369" s="27" t="n"/>
      <c r="S6369" s="27" t="n"/>
      <c r="T6369" s="27" t="n"/>
    </row>
    <row r="6370" ht="13.8" customFormat="1" customHeight="1" s="70">
      <c r="M6370" s="27" t="n"/>
      <c r="N6370" s="27" t="n"/>
      <c r="O6370" s="27" t="n"/>
      <c r="P6370" s="27" t="n"/>
      <c r="Q6370" s="27" t="n"/>
      <c r="R6370" s="27" t="n"/>
      <c r="S6370" s="27" t="n"/>
      <c r="T6370" s="27" t="n"/>
    </row>
    <row r="6371" ht="13.8" customFormat="1" customHeight="1" s="70">
      <c r="M6371" s="27" t="n"/>
      <c r="N6371" s="27" t="n"/>
      <c r="O6371" s="27" t="n"/>
      <c r="P6371" s="27" t="n"/>
      <c r="Q6371" s="27" t="n"/>
      <c r="R6371" s="27" t="n"/>
      <c r="S6371" s="27" t="n"/>
      <c r="T6371" s="27" t="n"/>
    </row>
    <row r="6372" ht="13.8" customFormat="1" customHeight="1" s="70">
      <c r="M6372" s="27" t="n"/>
      <c r="N6372" s="27" t="n"/>
      <c r="O6372" s="27" t="n"/>
      <c r="P6372" s="27" t="n"/>
      <c r="Q6372" s="27" t="n"/>
      <c r="R6372" s="27" t="n"/>
      <c r="S6372" s="27" t="n"/>
      <c r="T6372" s="27" t="n"/>
    </row>
    <row r="6373" ht="13.8" customFormat="1" customHeight="1" s="70">
      <c r="M6373" s="27" t="n"/>
      <c r="N6373" s="27" t="n"/>
      <c r="O6373" s="27" t="n"/>
      <c r="P6373" s="27" t="n"/>
      <c r="Q6373" s="27" t="n"/>
      <c r="R6373" s="27" t="n"/>
      <c r="S6373" s="27" t="n"/>
      <c r="T6373" s="27" t="n"/>
    </row>
    <row r="6374" ht="13.8" customFormat="1" customHeight="1" s="70">
      <c r="M6374" s="27" t="n"/>
      <c r="N6374" s="27" t="n"/>
      <c r="O6374" s="27" t="n"/>
      <c r="P6374" s="27" t="n"/>
      <c r="Q6374" s="27" t="n"/>
      <c r="R6374" s="27" t="n"/>
      <c r="S6374" s="27" t="n"/>
      <c r="T6374" s="27" t="n"/>
    </row>
    <row r="6375" ht="13.8" customFormat="1" customHeight="1" s="70">
      <c r="M6375" s="27" t="n"/>
      <c r="N6375" s="27" t="n"/>
      <c r="O6375" s="27" t="n"/>
      <c r="P6375" s="27" t="n"/>
      <c r="Q6375" s="27" t="n"/>
      <c r="R6375" s="27" t="n"/>
      <c r="S6375" s="27" t="n"/>
      <c r="T6375" s="27" t="n"/>
    </row>
    <row r="6376" ht="13.8" customFormat="1" customHeight="1" s="70">
      <c r="M6376" s="27" t="n"/>
      <c r="N6376" s="27" t="n"/>
      <c r="O6376" s="27" t="n"/>
      <c r="P6376" s="27" t="n"/>
      <c r="Q6376" s="27" t="n"/>
      <c r="R6376" s="27" t="n"/>
      <c r="S6376" s="27" t="n"/>
      <c r="T6376" s="27" t="n"/>
    </row>
    <row r="6377" ht="13.8" customFormat="1" customHeight="1" s="70">
      <c r="M6377" s="27" t="n"/>
      <c r="N6377" s="27" t="n"/>
      <c r="O6377" s="27" t="n"/>
      <c r="P6377" s="27" t="n"/>
      <c r="Q6377" s="27" t="n"/>
      <c r="R6377" s="27" t="n"/>
      <c r="S6377" s="27" t="n"/>
      <c r="T6377" s="27" t="n"/>
    </row>
    <row r="6378" ht="13.8" customFormat="1" customHeight="1" s="70">
      <c r="M6378" s="27" t="n"/>
      <c r="N6378" s="27" t="n"/>
      <c r="O6378" s="27" t="n"/>
      <c r="P6378" s="27" t="n"/>
      <c r="Q6378" s="27" t="n"/>
      <c r="R6378" s="27" t="n"/>
      <c r="S6378" s="27" t="n"/>
      <c r="T6378" s="27" t="n"/>
    </row>
    <row r="6379" ht="13.8" customFormat="1" customHeight="1" s="70">
      <c r="M6379" s="27" t="n"/>
      <c r="N6379" s="27" t="n"/>
      <c r="O6379" s="27" t="n"/>
      <c r="P6379" s="27" t="n"/>
      <c r="Q6379" s="27" t="n"/>
      <c r="R6379" s="27" t="n"/>
      <c r="S6379" s="27" t="n"/>
      <c r="T6379" s="27" t="n"/>
    </row>
    <row r="6380" ht="13.8" customFormat="1" customHeight="1" s="70">
      <c r="M6380" s="27" t="n"/>
      <c r="N6380" s="27" t="n"/>
      <c r="O6380" s="27" t="n"/>
      <c r="P6380" s="27" t="n"/>
      <c r="Q6380" s="27" t="n"/>
      <c r="R6380" s="27" t="n"/>
      <c r="S6380" s="27" t="n"/>
      <c r="T6380" s="27" t="n"/>
    </row>
    <row r="6381" ht="13.8" customFormat="1" customHeight="1" s="70">
      <c r="M6381" s="27" t="n"/>
      <c r="N6381" s="27" t="n"/>
      <c r="O6381" s="27" t="n"/>
      <c r="P6381" s="27" t="n"/>
      <c r="Q6381" s="27" t="n"/>
      <c r="R6381" s="27" t="n"/>
      <c r="S6381" s="27" t="n"/>
      <c r="T6381" s="27" t="n"/>
    </row>
    <row r="6382" ht="13.8" customFormat="1" customHeight="1" s="70">
      <c r="M6382" s="27" t="n"/>
      <c r="N6382" s="27" t="n"/>
      <c r="O6382" s="27" t="n"/>
      <c r="P6382" s="27" t="n"/>
      <c r="Q6382" s="27" t="n"/>
      <c r="R6382" s="27" t="n"/>
      <c r="S6382" s="27" t="n"/>
      <c r="T6382" s="27" t="n"/>
    </row>
    <row r="6383" ht="13.8" customFormat="1" customHeight="1" s="70">
      <c r="M6383" s="27" t="n"/>
      <c r="N6383" s="27" t="n"/>
      <c r="O6383" s="27" t="n"/>
      <c r="P6383" s="27" t="n"/>
      <c r="Q6383" s="27" t="n"/>
      <c r="R6383" s="27" t="n"/>
      <c r="S6383" s="27" t="n"/>
      <c r="T6383" s="27" t="n"/>
    </row>
    <row r="6384" ht="13.8" customFormat="1" customHeight="1" s="70">
      <c r="M6384" s="27" t="n"/>
      <c r="N6384" s="27" t="n"/>
      <c r="O6384" s="27" t="n"/>
      <c r="P6384" s="27" t="n"/>
      <c r="Q6384" s="27" t="n"/>
      <c r="R6384" s="27" t="n"/>
      <c r="S6384" s="27" t="n"/>
      <c r="T6384" s="27" t="n"/>
    </row>
    <row r="6385" ht="13.8" customFormat="1" customHeight="1" s="70">
      <c r="M6385" s="27" t="n"/>
      <c r="N6385" s="27" t="n"/>
      <c r="O6385" s="27" t="n"/>
      <c r="P6385" s="27" t="n"/>
      <c r="Q6385" s="27" t="n"/>
      <c r="R6385" s="27" t="n"/>
      <c r="S6385" s="27" t="n"/>
      <c r="T6385" s="27" t="n"/>
    </row>
    <row r="6386" ht="13.8" customFormat="1" customHeight="1" s="70">
      <c r="M6386" s="27" t="n"/>
      <c r="N6386" s="27" t="n"/>
      <c r="O6386" s="27" t="n"/>
      <c r="P6386" s="27" t="n"/>
      <c r="Q6386" s="27" t="n"/>
      <c r="R6386" s="27" t="n"/>
      <c r="S6386" s="27" t="n"/>
      <c r="T6386" s="27" t="n"/>
    </row>
    <row r="6387" ht="13.8" customFormat="1" customHeight="1" s="70">
      <c r="M6387" s="27" t="n"/>
      <c r="N6387" s="27" t="n"/>
      <c r="O6387" s="27" t="n"/>
      <c r="P6387" s="27" t="n"/>
      <c r="Q6387" s="27" t="n"/>
      <c r="R6387" s="27" t="n"/>
      <c r="S6387" s="27" t="n"/>
      <c r="T6387" s="27" t="n"/>
    </row>
    <row r="6388" ht="13.8" customFormat="1" customHeight="1" s="70">
      <c r="M6388" s="27" t="n"/>
      <c r="N6388" s="27" t="n"/>
      <c r="O6388" s="27" t="n"/>
      <c r="P6388" s="27" t="n"/>
      <c r="Q6388" s="27" t="n"/>
      <c r="R6388" s="27" t="n"/>
      <c r="S6388" s="27" t="n"/>
      <c r="T6388" s="27" t="n"/>
    </row>
    <row r="6389" ht="13.8" customFormat="1" customHeight="1" s="70">
      <c r="M6389" s="27" t="n"/>
      <c r="N6389" s="27" t="n"/>
      <c r="O6389" s="27" t="n"/>
      <c r="P6389" s="27" t="n"/>
      <c r="Q6389" s="27" t="n"/>
      <c r="R6389" s="27" t="n"/>
      <c r="S6389" s="27" t="n"/>
      <c r="T6389" s="27" t="n"/>
    </row>
    <row r="6390" ht="13.8" customFormat="1" customHeight="1" s="70">
      <c r="M6390" s="27" t="n"/>
      <c r="N6390" s="27" t="n"/>
      <c r="O6390" s="27" t="n"/>
      <c r="P6390" s="27" t="n"/>
      <c r="Q6390" s="27" t="n"/>
      <c r="R6390" s="27" t="n"/>
      <c r="S6390" s="27" t="n"/>
      <c r="T6390" s="27" t="n"/>
    </row>
    <row r="6391" ht="13.8" customFormat="1" customHeight="1" s="70">
      <c r="M6391" s="27" t="n"/>
      <c r="N6391" s="27" t="n"/>
      <c r="O6391" s="27" t="n"/>
      <c r="P6391" s="27" t="n"/>
      <c r="Q6391" s="27" t="n"/>
      <c r="R6391" s="27" t="n"/>
      <c r="S6391" s="27" t="n"/>
      <c r="T6391" s="27" t="n"/>
    </row>
    <row r="6392" ht="13.8" customFormat="1" customHeight="1" s="70">
      <c r="M6392" s="27" t="n"/>
      <c r="N6392" s="27" t="n"/>
      <c r="O6392" s="27" t="n"/>
      <c r="P6392" s="27" t="n"/>
      <c r="Q6392" s="27" t="n"/>
      <c r="R6392" s="27" t="n"/>
      <c r="S6392" s="27" t="n"/>
      <c r="T6392" s="27" t="n"/>
    </row>
    <row r="6393" ht="13.8" customFormat="1" customHeight="1" s="70">
      <c r="M6393" s="27" t="n"/>
      <c r="N6393" s="27" t="n"/>
      <c r="O6393" s="27" t="n"/>
      <c r="P6393" s="27" t="n"/>
      <c r="Q6393" s="27" t="n"/>
      <c r="R6393" s="27" t="n"/>
      <c r="S6393" s="27" t="n"/>
      <c r="T6393" s="27" t="n"/>
    </row>
    <row r="6394" ht="13.8" customFormat="1" customHeight="1" s="70">
      <c r="M6394" s="27" t="n"/>
      <c r="N6394" s="27" t="n"/>
      <c r="O6394" s="27" t="n"/>
      <c r="P6394" s="27" t="n"/>
      <c r="Q6394" s="27" t="n"/>
      <c r="R6394" s="27" t="n"/>
      <c r="S6394" s="27" t="n"/>
      <c r="T6394" s="27" t="n"/>
    </row>
    <row r="6395" ht="13.8" customFormat="1" customHeight="1" s="70">
      <c r="M6395" s="27" t="n"/>
      <c r="N6395" s="27" t="n"/>
      <c r="O6395" s="27" t="n"/>
      <c r="P6395" s="27" t="n"/>
      <c r="Q6395" s="27" t="n"/>
      <c r="R6395" s="27" t="n"/>
      <c r="S6395" s="27" t="n"/>
      <c r="T6395" s="27" t="n"/>
    </row>
    <row r="6396" ht="13.8" customFormat="1" customHeight="1" s="70">
      <c r="M6396" s="27" t="n"/>
      <c r="N6396" s="27" t="n"/>
      <c r="O6396" s="27" t="n"/>
      <c r="P6396" s="27" t="n"/>
      <c r="Q6396" s="27" t="n"/>
      <c r="R6396" s="27" t="n"/>
      <c r="S6396" s="27" t="n"/>
      <c r="T6396" s="27" t="n"/>
    </row>
    <row r="6397" ht="13.8" customFormat="1" customHeight="1" s="70">
      <c r="M6397" s="27" t="n"/>
      <c r="N6397" s="27" t="n"/>
      <c r="O6397" s="27" t="n"/>
      <c r="P6397" s="27" t="n"/>
      <c r="Q6397" s="27" t="n"/>
      <c r="R6397" s="27" t="n"/>
      <c r="S6397" s="27" t="n"/>
      <c r="T6397" s="27" t="n"/>
    </row>
    <row r="6398" ht="13.8" customFormat="1" customHeight="1" s="70">
      <c r="M6398" s="27" t="n"/>
      <c r="N6398" s="27" t="n"/>
      <c r="O6398" s="27" t="n"/>
      <c r="P6398" s="27" t="n"/>
      <c r="Q6398" s="27" t="n"/>
      <c r="R6398" s="27" t="n"/>
      <c r="S6398" s="27" t="n"/>
      <c r="T6398" s="27" t="n"/>
    </row>
    <row r="6399" ht="13.8" customFormat="1" customHeight="1" s="70">
      <c r="M6399" s="27" t="n"/>
      <c r="N6399" s="27" t="n"/>
      <c r="O6399" s="27" t="n"/>
      <c r="P6399" s="27" t="n"/>
      <c r="Q6399" s="27" t="n"/>
      <c r="R6399" s="27" t="n"/>
      <c r="S6399" s="27" t="n"/>
      <c r="T6399" s="27" t="n"/>
    </row>
    <row r="6400" ht="13.8" customFormat="1" customHeight="1" s="70">
      <c r="M6400" s="27" t="n"/>
      <c r="N6400" s="27" t="n"/>
      <c r="O6400" s="27" t="n"/>
      <c r="P6400" s="27" t="n"/>
      <c r="Q6400" s="27" t="n"/>
      <c r="R6400" s="27" t="n"/>
      <c r="S6400" s="27" t="n"/>
      <c r="T6400" s="27" t="n"/>
    </row>
    <row r="6401" ht="13.8" customFormat="1" customHeight="1" s="70">
      <c r="M6401" s="27" t="n"/>
      <c r="N6401" s="27" t="n"/>
      <c r="O6401" s="27" t="n"/>
      <c r="P6401" s="27" t="n"/>
      <c r="Q6401" s="27" t="n"/>
      <c r="R6401" s="27" t="n"/>
      <c r="S6401" s="27" t="n"/>
      <c r="T6401" s="27" t="n"/>
    </row>
    <row r="6402" ht="13.8" customFormat="1" customHeight="1" s="70">
      <c r="M6402" s="27" t="n"/>
      <c r="N6402" s="27" t="n"/>
      <c r="O6402" s="27" t="n"/>
      <c r="P6402" s="27" t="n"/>
      <c r="Q6402" s="27" t="n"/>
      <c r="R6402" s="27" t="n"/>
      <c r="S6402" s="27" t="n"/>
      <c r="T6402" s="27" t="n"/>
    </row>
    <row r="6403" ht="13.8" customFormat="1" customHeight="1" s="70">
      <c r="M6403" s="27" t="n"/>
      <c r="N6403" s="27" t="n"/>
      <c r="O6403" s="27" t="n"/>
      <c r="P6403" s="27" t="n"/>
      <c r="Q6403" s="27" t="n"/>
      <c r="R6403" s="27" t="n"/>
      <c r="S6403" s="27" t="n"/>
      <c r="T6403" s="27" t="n"/>
    </row>
    <row r="6404" ht="13.8" customFormat="1" customHeight="1" s="70">
      <c r="M6404" s="27" t="n"/>
      <c r="N6404" s="27" t="n"/>
      <c r="O6404" s="27" t="n"/>
      <c r="P6404" s="27" t="n"/>
      <c r="Q6404" s="27" t="n"/>
      <c r="R6404" s="27" t="n"/>
      <c r="S6404" s="27" t="n"/>
      <c r="T6404" s="27" t="n"/>
    </row>
    <row r="6405" ht="13.8" customFormat="1" customHeight="1" s="70">
      <c r="M6405" s="27" t="n"/>
      <c r="N6405" s="27" t="n"/>
      <c r="O6405" s="27" t="n"/>
      <c r="P6405" s="27" t="n"/>
      <c r="Q6405" s="27" t="n"/>
      <c r="R6405" s="27" t="n"/>
      <c r="S6405" s="27" t="n"/>
      <c r="T6405" s="27" t="n"/>
    </row>
    <row r="6406" ht="13.8" customFormat="1" customHeight="1" s="70">
      <c r="M6406" s="27" t="n"/>
      <c r="N6406" s="27" t="n"/>
      <c r="O6406" s="27" t="n"/>
      <c r="P6406" s="27" t="n"/>
      <c r="Q6406" s="27" t="n"/>
      <c r="R6406" s="27" t="n"/>
      <c r="S6406" s="27" t="n"/>
      <c r="T6406" s="27" t="n"/>
    </row>
    <row r="6407" ht="13.8" customFormat="1" customHeight="1" s="70">
      <c r="M6407" s="27" t="n"/>
      <c r="N6407" s="27" t="n"/>
      <c r="O6407" s="27" t="n"/>
      <c r="P6407" s="27" t="n"/>
      <c r="Q6407" s="27" t="n"/>
      <c r="R6407" s="27" t="n"/>
      <c r="S6407" s="27" t="n"/>
      <c r="T6407" s="27" t="n"/>
    </row>
    <row r="6408" ht="13.8" customFormat="1" customHeight="1" s="70">
      <c r="M6408" s="27" t="n"/>
      <c r="N6408" s="27" t="n"/>
      <c r="O6408" s="27" t="n"/>
      <c r="P6408" s="27" t="n"/>
      <c r="Q6408" s="27" t="n"/>
      <c r="R6408" s="27" t="n"/>
      <c r="S6408" s="27" t="n"/>
      <c r="T6408" s="27" t="n"/>
    </row>
    <row r="6409" ht="13.8" customFormat="1" customHeight="1" s="70">
      <c r="M6409" s="27" t="n"/>
      <c r="N6409" s="27" t="n"/>
      <c r="O6409" s="27" t="n"/>
      <c r="P6409" s="27" t="n"/>
      <c r="Q6409" s="27" t="n"/>
      <c r="R6409" s="27" t="n"/>
      <c r="S6409" s="27" t="n"/>
      <c r="T6409" s="27" t="n"/>
    </row>
    <row r="6410" ht="13.8" customFormat="1" customHeight="1" s="70">
      <c r="M6410" s="27" t="n"/>
      <c r="N6410" s="27" t="n"/>
      <c r="O6410" s="27" t="n"/>
      <c r="P6410" s="27" t="n"/>
      <c r="Q6410" s="27" t="n"/>
      <c r="R6410" s="27" t="n"/>
      <c r="S6410" s="27" t="n"/>
      <c r="T6410" s="27" t="n"/>
    </row>
    <row r="6411" ht="13.8" customFormat="1" customHeight="1" s="70">
      <c r="M6411" s="27" t="n"/>
      <c r="N6411" s="27" t="n"/>
      <c r="O6411" s="27" t="n"/>
      <c r="P6411" s="27" t="n"/>
      <c r="Q6411" s="27" t="n"/>
      <c r="R6411" s="27" t="n"/>
      <c r="S6411" s="27" t="n"/>
      <c r="T6411" s="27" t="n"/>
    </row>
    <row r="6412" ht="13.8" customFormat="1" customHeight="1" s="70">
      <c r="M6412" s="27" t="n"/>
      <c r="N6412" s="27" t="n"/>
      <c r="O6412" s="27" t="n"/>
      <c r="P6412" s="27" t="n"/>
      <c r="Q6412" s="27" t="n"/>
      <c r="R6412" s="27" t="n"/>
      <c r="S6412" s="27" t="n"/>
      <c r="T6412" s="27" t="n"/>
    </row>
    <row r="6413" ht="13.8" customFormat="1" customHeight="1" s="70">
      <c r="M6413" s="27" t="n"/>
      <c r="N6413" s="27" t="n"/>
      <c r="O6413" s="27" t="n"/>
      <c r="P6413" s="27" t="n"/>
      <c r="Q6413" s="27" t="n"/>
      <c r="R6413" s="27" t="n"/>
      <c r="S6413" s="27" t="n"/>
      <c r="T6413" s="27" t="n"/>
    </row>
    <row r="6414" ht="13.8" customFormat="1" customHeight="1" s="70">
      <c r="M6414" s="27" t="n"/>
      <c r="N6414" s="27" t="n"/>
      <c r="O6414" s="27" t="n"/>
      <c r="P6414" s="27" t="n"/>
      <c r="Q6414" s="27" t="n"/>
      <c r="R6414" s="27" t="n"/>
      <c r="S6414" s="27" t="n"/>
      <c r="T6414" s="27" t="n"/>
    </row>
    <row r="6415" ht="13.8" customFormat="1" customHeight="1" s="70">
      <c r="M6415" s="27" t="n"/>
      <c r="N6415" s="27" t="n"/>
      <c r="O6415" s="27" t="n"/>
      <c r="P6415" s="27" t="n"/>
      <c r="Q6415" s="27" t="n"/>
      <c r="R6415" s="27" t="n"/>
      <c r="S6415" s="27" t="n"/>
      <c r="T6415" s="27" t="n"/>
    </row>
    <row r="6416" ht="13.8" customFormat="1" customHeight="1" s="70">
      <c r="M6416" s="27" t="n"/>
      <c r="N6416" s="27" t="n"/>
      <c r="O6416" s="27" t="n"/>
      <c r="P6416" s="27" t="n"/>
      <c r="Q6416" s="27" t="n"/>
      <c r="R6416" s="27" t="n"/>
      <c r="S6416" s="27" t="n"/>
      <c r="T6416" s="27" t="n"/>
    </row>
    <row r="6417" ht="13.8" customFormat="1" customHeight="1" s="70">
      <c r="M6417" s="27" t="n"/>
      <c r="N6417" s="27" t="n"/>
      <c r="O6417" s="27" t="n"/>
      <c r="P6417" s="27" t="n"/>
      <c r="Q6417" s="27" t="n"/>
      <c r="R6417" s="27" t="n"/>
      <c r="S6417" s="27" t="n"/>
      <c r="T6417" s="27" t="n"/>
    </row>
    <row r="6418" ht="13.8" customFormat="1" customHeight="1" s="70">
      <c r="M6418" s="27" t="n"/>
      <c r="N6418" s="27" t="n"/>
      <c r="O6418" s="27" t="n"/>
      <c r="P6418" s="27" t="n"/>
      <c r="Q6418" s="27" t="n"/>
      <c r="R6418" s="27" t="n"/>
      <c r="S6418" s="27" t="n"/>
      <c r="T6418" s="27" t="n"/>
    </row>
    <row r="6419" ht="13.8" customFormat="1" customHeight="1" s="70">
      <c r="M6419" s="27" t="n"/>
      <c r="N6419" s="27" t="n"/>
      <c r="O6419" s="27" t="n"/>
      <c r="P6419" s="27" t="n"/>
      <c r="Q6419" s="27" t="n"/>
      <c r="R6419" s="27" t="n"/>
      <c r="S6419" s="27" t="n"/>
      <c r="T6419" s="27" t="n"/>
    </row>
    <row r="6420" ht="13.8" customFormat="1" customHeight="1" s="70">
      <c r="M6420" s="27" t="n"/>
      <c r="N6420" s="27" t="n"/>
      <c r="O6420" s="27" t="n"/>
      <c r="P6420" s="27" t="n"/>
      <c r="Q6420" s="27" t="n"/>
      <c r="R6420" s="27" t="n"/>
      <c r="S6420" s="27" t="n"/>
      <c r="T6420" s="27" t="n"/>
    </row>
    <row r="6421" ht="13.8" customFormat="1" customHeight="1" s="70">
      <c r="M6421" s="27" t="n"/>
      <c r="N6421" s="27" t="n"/>
      <c r="O6421" s="27" t="n"/>
      <c r="P6421" s="27" t="n"/>
      <c r="Q6421" s="27" t="n"/>
      <c r="R6421" s="27" t="n"/>
      <c r="S6421" s="27" t="n"/>
      <c r="T6421" s="27" t="n"/>
    </row>
    <row r="6422" ht="13.8" customFormat="1" customHeight="1" s="70">
      <c r="M6422" s="27" t="n"/>
      <c r="N6422" s="27" t="n"/>
      <c r="O6422" s="27" t="n"/>
      <c r="P6422" s="27" t="n"/>
      <c r="Q6422" s="27" t="n"/>
      <c r="R6422" s="27" t="n"/>
      <c r="S6422" s="27" t="n"/>
      <c r="T6422" s="27" t="n"/>
    </row>
    <row r="6423" ht="13.8" customFormat="1" customHeight="1" s="70">
      <c r="M6423" s="27" t="n"/>
      <c r="N6423" s="27" t="n"/>
      <c r="O6423" s="27" t="n"/>
      <c r="P6423" s="27" t="n"/>
      <c r="Q6423" s="27" t="n"/>
      <c r="R6423" s="27" t="n"/>
      <c r="S6423" s="27" t="n"/>
      <c r="T6423" s="27" t="n"/>
    </row>
    <row r="6424" ht="13.8" customFormat="1" customHeight="1" s="70">
      <c r="M6424" s="27" t="n"/>
      <c r="N6424" s="27" t="n"/>
      <c r="O6424" s="27" t="n"/>
      <c r="P6424" s="27" t="n"/>
      <c r="Q6424" s="27" t="n"/>
      <c r="R6424" s="27" t="n"/>
      <c r="S6424" s="27" t="n"/>
      <c r="T6424" s="27" t="n"/>
    </row>
    <row r="6425" ht="13.8" customFormat="1" customHeight="1" s="70">
      <c r="M6425" s="27" t="n"/>
      <c r="N6425" s="27" t="n"/>
      <c r="O6425" s="27" t="n"/>
      <c r="P6425" s="27" t="n"/>
      <c r="Q6425" s="27" t="n"/>
      <c r="R6425" s="27" t="n"/>
      <c r="S6425" s="27" t="n"/>
      <c r="T6425" s="27" t="n"/>
    </row>
    <row r="6426" ht="13.8" customFormat="1" customHeight="1" s="70">
      <c r="M6426" s="27" t="n"/>
      <c r="N6426" s="27" t="n"/>
      <c r="O6426" s="27" t="n"/>
      <c r="P6426" s="27" t="n"/>
      <c r="Q6426" s="27" t="n"/>
      <c r="R6426" s="27" t="n"/>
      <c r="S6426" s="27" t="n"/>
      <c r="T6426" s="27" t="n"/>
    </row>
    <row r="6427" ht="13.8" customFormat="1" customHeight="1" s="70">
      <c r="M6427" s="27" t="n"/>
      <c r="N6427" s="27" t="n"/>
      <c r="O6427" s="27" t="n"/>
      <c r="P6427" s="27" t="n"/>
      <c r="Q6427" s="27" t="n"/>
      <c r="R6427" s="27" t="n"/>
      <c r="S6427" s="27" t="n"/>
      <c r="T6427" s="27" t="n"/>
    </row>
    <row r="6428" ht="13.8" customFormat="1" customHeight="1" s="70">
      <c r="M6428" s="27" t="n"/>
      <c r="N6428" s="27" t="n"/>
      <c r="O6428" s="27" t="n"/>
      <c r="P6428" s="27" t="n"/>
      <c r="Q6428" s="27" t="n"/>
      <c r="R6428" s="27" t="n"/>
      <c r="S6428" s="27" t="n"/>
      <c r="T6428" s="27" t="n"/>
    </row>
    <row r="6429" ht="13.8" customFormat="1" customHeight="1" s="70">
      <c r="M6429" s="27" t="n"/>
      <c r="N6429" s="27" t="n"/>
      <c r="O6429" s="27" t="n"/>
      <c r="P6429" s="27" t="n"/>
      <c r="Q6429" s="27" t="n"/>
      <c r="R6429" s="27" t="n"/>
      <c r="S6429" s="27" t="n"/>
      <c r="T6429" s="27" t="n"/>
    </row>
    <row r="6430" ht="13.8" customFormat="1" customHeight="1" s="70">
      <c r="M6430" s="27" t="n"/>
      <c r="N6430" s="27" t="n"/>
      <c r="O6430" s="27" t="n"/>
      <c r="P6430" s="27" t="n"/>
      <c r="Q6430" s="27" t="n"/>
      <c r="R6430" s="27" t="n"/>
      <c r="S6430" s="27" t="n"/>
      <c r="T6430" s="27" t="n"/>
    </row>
    <row r="6431" ht="13.8" customFormat="1" customHeight="1" s="70">
      <c r="M6431" s="27" t="n"/>
      <c r="N6431" s="27" t="n"/>
      <c r="O6431" s="27" t="n"/>
      <c r="P6431" s="27" t="n"/>
      <c r="Q6431" s="27" t="n"/>
      <c r="R6431" s="27" t="n"/>
      <c r="S6431" s="27" t="n"/>
      <c r="T6431" s="27" t="n"/>
    </row>
    <row r="6432" ht="13.8" customFormat="1" customHeight="1" s="70">
      <c r="M6432" s="27" t="n"/>
      <c r="N6432" s="27" t="n"/>
      <c r="O6432" s="27" t="n"/>
      <c r="P6432" s="27" t="n"/>
      <c r="Q6432" s="27" t="n"/>
      <c r="R6432" s="27" t="n"/>
      <c r="S6432" s="27" t="n"/>
      <c r="T6432" s="27" t="n"/>
    </row>
    <row r="6433" ht="13.8" customFormat="1" customHeight="1" s="70">
      <c r="M6433" s="27" t="n"/>
      <c r="N6433" s="27" t="n"/>
      <c r="O6433" s="27" t="n"/>
      <c r="P6433" s="27" t="n"/>
      <c r="Q6433" s="27" t="n"/>
      <c r="R6433" s="27" t="n"/>
      <c r="S6433" s="27" t="n"/>
      <c r="T6433" s="27" t="n"/>
    </row>
    <row r="6434" ht="13.8" customFormat="1" customHeight="1" s="70">
      <c r="M6434" s="27" t="n"/>
      <c r="N6434" s="27" t="n"/>
      <c r="O6434" s="27" t="n"/>
      <c r="P6434" s="27" t="n"/>
      <c r="Q6434" s="27" t="n"/>
      <c r="R6434" s="27" t="n"/>
      <c r="S6434" s="27" t="n"/>
      <c r="T6434" s="27" t="n"/>
    </row>
    <row r="6435" ht="13.8" customFormat="1" customHeight="1" s="70">
      <c r="M6435" s="27" t="n"/>
      <c r="N6435" s="27" t="n"/>
      <c r="O6435" s="27" t="n"/>
      <c r="P6435" s="27" t="n"/>
      <c r="Q6435" s="27" t="n"/>
      <c r="R6435" s="27" t="n"/>
      <c r="S6435" s="27" t="n"/>
      <c r="T6435" s="27" t="n"/>
    </row>
    <row r="6436" ht="13.8" customFormat="1" customHeight="1" s="70">
      <c r="M6436" s="27" t="n"/>
      <c r="N6436" s="27" t="n"/>
      <c r="O6436" s="27" t="n"/>
      <c r="P6436" s="27" t="n"/>
      <c r="Q6436" s="27" t="n"/>
      <c r="R6436" s="27" t="n"/>
      <c r="S6436" s="27" t="n"/>
      <c r="T6436" s="27" t="n"/>
    </row>
    <row r="6437" ht="13.8" customFormat="1" customHeight="1" s="70">
      <c r="M6437" s="27" t="n"/>
      <c r="N6437" s="27" t="n"/>
      <c r="O6437" s="27" t="n"/>
      <c r="P6437" s="27" t="n"/>
      <c r="Q6437" s="27" t="n"/>
      <c r="R6437" s="27" t="n"/>
      <c r="S6437" s="27" t="n"/>
      <c r="T6437" s="27" t="n"/>
    </row>
    <row r="6438" ht="13.8" customFormat="1" customHeight="1" s="70">
      <c r="M6438" s="27" t="n"/>
      <c r="N6438" s="27" t="n"/>
      <c r="O6438" s="27" t="n"/>
      <c r="P6438" s="27" t="n"/>
      <c r="Q6438" s="27" t="n"/>
      <c r="R6438" s="27" t="n"/>
      <c r="S6438" s="27" t="n"/>
      <c r="T6438" s="27" t="n"/>
    </row>
    <row r="6439" ht="13.8" customFormat="1" customHeight="1" s="70">
      <c r="M6439" s="27" t="n"/>
      <c r="N6439" s="27" t="n"/>
      <c r="O6439" s="27" t="n"/>
      <c r="P6439" s="27" t="n"/>
      <c r="Q6439" s="27" t="n"/>
      <c r="R6439" s="27" t="n"/>
      <c r="S6439" s="27" t="n"/>
      <c r="T6439" s="27" t="n"/>
    </row>
    <row r="6440" ht="13.8" customFormat="1" customHeight="1" s="70">
      <c r="M6440" s="27" t="n"/>
      <c r="N6440" s="27" t="n"/>
      <c r="O6440" s="27" t="n"/>
      <c r="P6440" s="27" t="n"/>
      <c r="Q6440" s="27" t="n"/>
      <c r="R6440" s="27" t="n"/>
      <c r="S6440" s="27" t="n"/>
      <c r="T6440" s="27" t="n"/>
    </row>
    <row r="6441" ht="13.8" customFormat="1" customHeight="1" s="70">
      <c r="M6441" s="27" t="n"/>
      <c r="N6441" s="27" t="n"/>
      <c r="O6441" s="27" t="n"/>
      <c r="P6441" s="27" t="n"/>
      <c r="Q6441" s="27" t="n"/>
      <c r="R6441" s="27" t="n"/>
      <c r="S6441" s="27" t="n"/>
      <c r="T6441" s="27" t="n"/>
    </row>
    <row r="6442" ht="13.8" customFormat="1" customHeight="1" s="70">
      <c r="M6442" s="27" t="n"/>
      <c r="N6442" s="27" t="n"/>
      <c r="O6442" s="27" t="n"/>
      <c r="P6442" s="27" t="n"/>
      <c r="Q6442" s="27" t="n"/>
      <c r="R6442" s="27" t="n"/>
      <c r="S6442" s="27" t="n"/>
      <c r="T6442" s="27" t="n"/>
    </row>
    <row r="6443" ht="13.8" customFormat="1" customHeight="1" s="70">
      <c r="M6443" s="27" t="n"/>
      <c r="N6443" s="27" t="n"/>
      <c r="O6443" s="27" t="n"/>
      <c r="P6443" s="27" t="n"/>
      <c r="Q6443" s="27" t="n"/>
      <c r="R6443" s="27" t="n"/>
      <c r="S6443" s="27" t="n"/>
      <c r="T6443" s="27" t="n"/>
    </row>
    <row r="6444" ht="13.8" customFormat="1" customHeight="1" s="70">
      <c r="M6444" s="27" t="n"/>
      <c r="N6444" s="27" t="n"/>
      <c r="O6444" s="27" t="n"/>
      <c r="P6444" s="27" t="n"/>
      <c r="Q6444" s="27" t="n"/>
      <c r="R6444" s="27" t="n"/>
      <c r="S6444" s="27" t="n"/>
      <c r="T6444" s="27" t="n"/>
    </row>
    <row r="6445" ht="13.8" customFormat="1" customHeight="1" s="70">
      <c r="M6445" s="27" t="n"/>
      <c r="N6445" s="27" t="n"/>
      <c r="O6445" s="27" t="n"/>
      <c r="P6445" s="27" t="n"/>
      <c r="Q6445" s="27" t="n"/>
      <c r="R6445" s="27" t="n"/>
      <c r="S6445" s="27" t="n"/>
      <c r="T6445" s="27" t="n"/>
    </row>
    <row r="6446" ht="13.8" customFormat="1" customHeight="1" s="70">
      <c r="M6446" s="27" t="n"/>
      <c r="N6446" s="27" t="n"/>
      <c r="O6446" s="27" t="n"/>
      <c r="P6446" s="27" t="n"/>
      <c r="Q6446" s="27" t="n"/>
      <c r="R6446" s="27" t="n"/>
      <c r="S6446" s="27" t="n"/>
      <c r="T6446" s="27" t="n"/>
    </row>
    <row r="6447" ht="13.8" customFormat="1" customHeight="1" s="70">
      <c r="M6447" s="27" t="n"/>
      <c r="N6447" s="27" t="n"/>
      <c r="O6447" s="27" t="n"/>
      <c r="P6447" s="27" t="n"/>
      <c r="Q6447" s="27" t="n"/>
      <c r="R6447" s="27" t="n"/>
      <c r="S6447" s="27" t="n"/>
      <c r="T6447" s="27" t="n"/>
    </row>
    <row r="6448" ht="13.8" customFormat="1" customHeight="1" s="70">
      <c r="M6448" s="27" t="n"/>
      <c r="N6448" s="27" t="n"/>
      <c r="O6448" s="27" t="n"/>
      <c r="P6448" s="27" t="n"/>
      <c r="Q6448" s="27" t="n"/>
      <c r="R6448" s="27" t="n"/>
      <c r="S6448" s="27" t="n"/>
      <c r="T6448" s="27" t="n"/>
    </row>
    <row r="6449" ht="13.8" customFormat="1" customHeight="1" s="70">
      <c r="M6449" s="27" t="n"/>
      <c r="N6449" s="27" t="n"/>
      <c r="O6449" s="27" t="n"/>
      <c r="P6449" s="27" t="n"/>
      <c r="Q6449" s="27" t="n"/>
      <c r="R6449" s="27" t="n"/>
      <c r="S6449" s="27" t="n"/>
      <c r="T6449" s="27" t="n"/>
    </row>
    <row r="6450" ht="13.8" customFormat="1" customHeight="1" s="70">
      <c r="M6450" s="27" t="n"/>
      <c r="N6450" s="27" t="n"/>
      <c r="O6450" s="27" t="n"/>
      <c r="P6450" s="27" t="n"/>
      <c r="Q6450" s="27" t="n"/>
      <c r="R6450" s="27" t="n"/>
      <c r="S6450" s="27" t="n"/>
      <c r="T6450" s="27" t="n"/>
    </row>
    <row r="6451" ht="13.8" customFormat="1" customHeight="1" s="70">
      <c r="M6451" s="27" t="n"/>
      <c r="N6451" s="27" t="n"/>
      <c r="O6451" s="27" t="n"/>
      <c r="P6451" s="27" t="n"/>
      <c r="Q6451" s="27" t="n"/>
      <c r="R6451" s="27" t="n"/>
      <c r="S6451" s="27" t="n"/>
      <c r="T6451" s="27" t="n"/>
    </row>
    <row r="6452" ht="13.8" customFormat="1" customHeight="1" s="70">
      <c r="M6452" s="27" t="n"/>
      <c r="N6452" s="27" t="n"/>
      <c r="O6452" s="27" t="n"/>
      <c r="P6452" s="27" t="n"/>
      <c r="Q6452" s="27" t="n"/>
      <c r="R6452" s="27" t="n"/>
      <c r="S6452" s="27" t="n"/>
      <c r="T6452" s="27" t="n"/>
    </row>
    <row r="6453" ht="13.8" customFormat="1" customHeight="1" s="70">
      <c r="M6453" s="27" t="n"/>
      <c r="N6453" s="27" t="n"/>
      <c r="O6453" s="27" t="n"/>
      <c r="P6453" s="27" t="n"/>
      <c r="Q6453" s="27" t="n"/>
      <c r="R6453" s="27" t="n"/>
      <c r="S6453" s="27" t="n"/>
      <c r="T6453" s="27" t="n"/>
    </row>
    <row r="6454" ht="13.8" customFormat="1" customHeight="1" s="70">
      <c r="M6454" s="27" t="n"/>
      <c r="N6454" s="27" t="n"/>
      <c r="O6454" s="27" t="n"/>
      <c r="P6454" s="27" t="n"/>
      <c r="Q6454" s="27" t="n"/>
      <c r="R6454" s="27" t="n"/>
      <c r="S6454" s="27" t="n"/>
      <c r="T6454" s="27" t="n"/>
    </row>
    <row r="6455" ht="13.8" customFormat="1" customHeight="1" s="70">
      <c r="M6455" s="27" t="n"/>
      <c r="N6455" s="27" t="n"/>
      <c r="O6455" s="27" t="n"/>
      <c r="P6455" s="27" t="n"/>
      <c r="Q6455" s="27" t="n"/>
      <c r="R6455" s="27" t="n"/>
      <c r="S6455" s="27" t="n"/>
      <c r="T6455" s="27" t="n"/>
    </row>
    <row r="6456" ht="13.8" customFormat="1" customHeight="1" s="70">
      <c r="M6456" s="27" t="n"/>
      <c r="N6456" s="27" t="n"/>
      <c r="O6456" s="27" t="n"/>
      <c r="P6456" s="27" t="n"/>
      <c r="Q6456" s="27" t="n"/>
      <c r="R6456" s="27" t="n"/>
      <c r="S6456" s="27" t="n"/>
      <c r="T6456" s="27" t="n"/>
    </row>
    <row r="6457" ht="13.8" customFormat="1" customHeight="1" s="70">
      <c r="M6457" s="27" t="n"/>
      <c r="N6457" s="27" t="n"/>
      <c r="O6457" s="27" t="n"/>
      <c r="P6457" s="27" t="n"/>
      <c r="Q6457" s="27" t="n"/>
      <c r="R6457" s="27" t="n"/>
      <c r="S6457" s="27" t="n"/>
      <c r="T6457" s="27" t="n"/>
    </row>
    <row r="6458" ht="13.8" customFormat="1" customHeight="1" s="70">
      <c r="M6458" s="27" t="n"/>
      <c r="N6458" s="27" t="n"/>
      <c r="O6458" s="27" t="n"/>
      <c r="P6458" s="27" t="n"/>
      <c r="Q6458" s="27" t="n"/>
      <c r="R6458" s="27" t="n"/>
      <c r="S6458" s="27" t="n"/>
      <c r="T6458" s="27" t="n"/>
    </row>
    <row r="6459" ht="13.8" customFormat="1" customHeight="1" s="70">
      <c r="M6459" s="27" t="n"/>
      <c r="N6459" s="27" t="n"/>
      <c r="O6459" s="27" t="n"/>
      <c r="P6459" s="27" t="n"/>
      <c r="Q6459" s="27" t="n"/>
      <c r="R6459" s="27" t="n"/>
      <c r="S6459" s="27" t="n"/>
      <c r="T6459" s="27" t="n"/>
    </row>
    <row r="6460" ht="13.8" customFormat="1" customHeight="1" s="70">
      <c r="M6460" s="27" t="n"/>
      <c r="N6460" s="27" t="n"/>
      <c r="O6460" s="27" t="n"/>
      <c r="P6460" s="27" t="n"/>
      <c r="Q6460" s="27" t="n"/>
      <c r="R6460" s="27" t="n"/>
      <c r="S6460" s="27" t="n"/>
      <c r="T6460" s="27" t="n"/>
    </row>
    <row r="6461" ht="13.8" customFormat="1" customHeight="1" s="70">
      <c r="M6461" s="27" t="n"/>
      <c r="N6461" s="27" t="n"/>
      <c r="O6461" s="27" t="n"/>
      <c r="P6461" s="27" t="n"/>
      <c r="Q6461" s="27" t="n"/>
      <c r="R6461" s="27" t="n"/>
      <c r="S6461" s="27" t="n"/>
      <c r="T6461" s="27" t="n"/>
    </row>
    <row r="6462" ht="13.8" customFormat="1" customHeight="1" s="70">
      <c r="M6462" s="27" t="n"/>
      <c r="N6462" s="27" t="n"/>
      <c r="O6462" s="27" t="n"/>
      <c r="P6462" s="27" t="n"/>
      <c r="Q6462" s="27" t="n"/>
      <c r="R6462" s="27" t="n"/>
      <c r="S6462" s="27" t="n"/>
      <c r="T6462" s="27" t="n"/>
    </row>
    <row r="6463" ht="13.8" customFormat="1" customHeight="1" s="70">
      <c r="M6463" s="27" t="n"/>
      <c r="N6463" s="27" t="n"/>
      <c r="O6463" s="27" t="n"/>
      <c r="P6463" s="27" t="n"/>
      <c r="Q6463" s="27" t="n"/>
      <c r="R6463" s="27" t="n"/>
      <c r="S6463" s="27" t="n"/>
      <c r="T6463" s="27" t="n"/>
    </row>
    <row r="6464" ht="13.8" customFormat="1" customHeight="1" s="70">
      <c r="M6464" s="27" t="n"/>
      <c r="N6464" s="27" t="n"/>
      <c r="O6464" s="27" t="n"/>
      <c r="P6464" s="27" t="n"/>
      <c r="Q6464" s="27" t="n"/>
      <c r="R6464" s="27" t="n"/>
      <c r="S6464" s="27" t="n"/>
      <c r="T6464" s="27" t="n"/>
    </row>
    <row r="6465" ht="13.8" customFormat="1" customHeight="1" s="70">
      <c r="M6465" s="27" t="n"/>
      <c r="N6465" s="27" t="n"/>
      <c r="O6465" s="27" t="n"/>
      <c r="P6465" s="27" t="n"/>
      <c r="Q6465" s="27" t="n"/>
      <c r="R6465" s="27" t="n"/>
      <c r="S6465" s="27" t="n"/>
      <c r="T6465" s="27" t="n"/>
    </row>
    <row r="6466" ht="13.8" customFormat="1" customHeight="1" s="70">
      <c r="M6466" s="27" t="n"/>
      <c r="N6466" s="27" t="n"/>
      <c r="O6466" s="27" t="n"/>
      <c r="P6466" s="27" t="n"/>
      <c r="Q6466" s="27" t="n"/>
      <c r="R6466" s="27" t="n"/>
      <c r="S6466" s="27" t="n"/>
      <c r="T6466" s="27" t="n"/>
    </row>
    <row r="6467" ht="13.8" customFormat="1" customHeight="1" s="70">
      <c r="M6467" s="27" t="n"/>
      <c r="N6467" s="27" t="n"/>
      <c r="O6467" s="27" t="n"/>
      <c r="P6467" s="27" t="n"/>
      <c r="Q6467" s="27" t="n"/>
      <c r="R6467" s="27" t="n"/>
      <c r="S6467" s="27" t="n"/>
      <c r="T6467" s="27" t="n"/>
    </row>
    <row r="6468" ht="13.8" customFormat="1" customHeight="1" s="70">
      <c r="M6468" s="27" t="n"/>
      <c r="N6468" s="27" t="n"/>
      <c r="O6468" s="27" t="n"/>
      <c r="P6468" s="27" t="n"/>
      <c r="Q6468" s="27" t="n"/>
      <c r="R6468" s="27" t="n"/>
      <c r="S6468" s="27" t="n"/>
      <c r="T6468" s="27" t="n"/>
    </row>
    <row r="6469" ht="13.8" customFormat="1" customHeight="1" s="70">
      <c r="M6469" s="27" t="n"/>
      <c r="N6469" s="27" t="n"/>
      <c r="O6469" s="27" t="n"/>
      <c r="P6469" s="27" t="n"/>
      <c r="Q6469" s="27" t="n"/>
      <c r="R6469" s="27" t="n"/>
      <c r="S6469" s="27" t="n"/>
      <c r="T6469" s="27" t="n"/>
    </row>
    <row r="6470" ht="13.8" customFormat="1" customHeight="1" s="70">
      <c r="M6470" s="27" t="n"/>
      <c r="N6470" s="27" t="n"/>
      <c r="O6470" s="27" t="n"/>
      <c r="P6470" s="27" t="n"/>
      <c r="Q6470" s="27" t="n"/>
      <c r="R6470" s="27" t="n"/>
      <c r="S6470" s="27" t="n"/>
      <c r="T6470" s="27" t="n"/>
    </row>
    <row r="6471" ht="13.8" customFormat="1" customHeight="1" s="70">
      <c r="M6471" s="27" t="n"/>
      <c r="N6471" s="27" t="n"/>
      <c r="O6471" s="27" t="n"/>
      <c r="P6471" s="27" t="n"/>
      <c r="Q6471" s="27" t="n"/>
      <c r="R6471" s="27" t="n"/>
      <c r="S6471" s="27" t="n"/>
      <c r="T6471" s="27" t="n"/>
    </row>
    <row r="6472" ht="13.8" customFormat="1" customHeight="1" s="70">
      <c r="M6472" s="27" t="n"/>
      <c r="N6472" s="27" t="n"/>
      <c r="O6472" s="27" t="n"/>
      <c r="P6472" s="27" t="n"/>
      <c r="Q6472" s="27" t="n"/>
      <c r="R6472" s="27" t="n"/>
      <c r="S6472" s="27" t="n"/>
      <c r="T6472" s="27" t="n"/>
    </row>
    <row r="6473" ht="13.8" customFormat="1" customHeight="1" s="70">
      <c r="M6473" s="27" t="n"/>
      <c r="N6473" s="27" t="n"/>
      <c r="O6473" s="27" t="n"/>
      <c r="P6473" s="27" t="n"/>
      <c r="Q6473" s="27" t="n"/>
      <c r="R6473" s="27" t="n"/>
      <c r="S6473" s="27" t="n"/>
      <c r="T6473" s="27" t="n"/>
    </row>
    <row r="6474" ht="13.8" customFormat="1" customHeight="1" s="70">
      <c r="M6474" s="27" t="n"/>
      <c r="N6474" s="27" t="n"/>
      <c r="O6474" s="27" t="n"/>
      <c r="P6474" s="27" t="n"/>
      <c r="Q6474" s="27" t="n"/>
      <c r="R6474" s="27" t="n"/>
      <c r="S6474" s="27" t="n"/>
      <c r="T6474" s="27" t="n"/>
    </row>
    <row r="6475" ht="13.8" customFormat="1" customHeight="1" s="70">
      <c r="M6475" s="27" t="n"/>
      <c r="N6475" s="27" t="n"/>
      <c r="O6475" s="27" t="n"/>
      <c r="P6475" s="27" t="n"/>
      <c r="Q6475" s="27" t="n"/>
      <c r="R6475" s="27" t="n"/>
      <c r="S6475" s="27" t="n"/>
      <c r="T6475" s="27" t="n"/>
    </row>
    <row r="6476" ht="13.8" customFormat="1" customHeight="1" s="70">
      <c r="M6476" s="27" t="n"/>
      <c r="N6476" s="27" t="n"/>
      <c r="O6476" s="27" t="n"/>
      <c r="P6476" s="27" t="n"/>
      <c r="Q6476" s="27" t="n"/>
      <c r="R6476" s="27" t="n"/>
      <c r="S6476" s="27" t="n"/>
      <c r="T6476" s="27" t="n"/>
    </row>
    <row r="6477" ht="13.8" customFormat="1" customHeight="1" s="70">
      <c r="M6477" s="27" t="n"/>
      <c r="N6477" s="27" t="n"/>
      <c r="O6477" s="27" t="n"/>
      <c r="P6477" s="27" t="n"/>
      <c r="Q6477" s="27" t="n"/>
      <c r="R6477" s="27" t="n"/>
      <c r="S6477" s="27" t="n"/>
      <c r="T6477" s="27" t="n"/>
    </row>
    <row r="6478" ht="13.8" customFormat="1" customHeight="1" s="70">
      <c r="M6478" s="27" t="n"/>
      <c r="N6478" s="27" t="n"/>
      <c r="O6478" s="27" t="n"/>
      <c r="P6478" s="27" t="n"/>
      <c r="Q6478" s="27" t="n"/>
      <c r="R6478" s="27" t="n"/>
      <c r="S6478" s="27" t="n"/>
      <c r="T6478" s="27" t="n"/>
    </row>
    <row r="6479" ht="13.8" customFormat="1" customHeight="1" s="70">
      <c r="M6479" s="27" t="n"/>
      <c r="N6479" s="27" t="n"/>
      <c r="O6479" s="27" t="n"/>
      <c r="P6479" s="27" t="n"/>
      <c r="Q6479" s="27" t="n"/>
      <c r="R6479" s="27" t="n"/>
      <c r="S6479" s="27" t="n"/>
      <c r="T6479" s="27" t="n"/>
    </row>
    <row r="6480" ht="13.8" customFormat="1" customHeight="1" s="70">
      <c r="M6480" s="27" t="n"/>
      <c r="N6480" s="27" t="n"/>
      <c r="O6480" s="27" t="n"/>
      <c r="P6480" s="27" t="n"/>
      <c r="Q6480" s="27" t="n"/>
      <c r="R6480" s="27" t="n"/>
      <c r="S6480" s="27" t="n"/>
      <c r="T6480" s="27" t="n"/>
    </row>
    <row r="6481" ht="13.8" customFormat="1" customHeight="1" s="70">
      <c r="M6481" s="27" t="n"/>
      <c r="N6481" s="27" t="n"/>
      <c r="O6481" s="27" t="n"/>
      <c r="P6481" s="27" t="n"/>
      <c r="Q6481" s="27" t="n"/>
      <c r="R6481" s="27" t="n"/>
      <c r="S6481" s="27" t="n"/>
      <c r="T6481" s="27" t="n"/>
    </row>
    <row r="6482" ht="13.8" customFormat="1" customHeight="1" s="70">
      <c r="M6482" s="27" t="n"/>
      <c r="N6482" s="27" t="n"/>
      <c r="O6482" s="27" t="n"/>
      <c r="P6482" s="27" t="n"/>
      <c r="Q6482" s="27" t="n"/>
      <c r="R6482" s="27" t="n"/>
      <c r="S6482" s="27" t="n"/>
      <c r="T6482" s="27" t="n"/>
    </row>
    <row r="6483" ht="13.8" customFormat="1" customHeight="1" s="70">
      <c r="M6483" s="27" t="n"/>
      <c r="N6483" s="27" t="n"/>
      <c r="O6483" s="27" t="n"/>
      <c r="P6483" s="27" t="n"/>
      <c r="Q6483" s="27" t="n"/>
      <c r="R6483" s="27" t="n"/>
      <c r="S6483" s="27" t="n"/>
      <c r="T6483" s="27" t="n"/>
    </row>
    <row r="6484" ht="13.8" customFormat="1" customHeight="1" s="70">
      <c r="M6484" s="27" t="n"/>
      <c r="N6484" s="27" t="n"/>
      <c r="O6484" s="27" t="n"/>
      <c r="P6484" s="27" t="n"/>
      <c r="Q6484" s="27" t="n"/>
      <c r="R6484" s="27" t="n"/>
      <c r="S6484" s="27" t="n"/>
      <c r="T6484" s="27" t="n"/>
    </row>
    <row r="6485" ht="13.8" customFormat="1" customHeight="1" s="70">
      <c r="M6485" s="27" t="n"/>
      <c r="N6485" s="27" t="n"/>
      <c r="O6485" s="27" t="n"/>
      <c r="P6485" s="27" t="n"/>
      <c r="Q6485" s="27" t="n"/>
      <c r="R6485" s="27" t="n"/>
      <c r="S6485" s="27" t="n"/>
      <c r="T6485" s="27" t="n"/>
    </row>
    <row r="6486" ht="13.8" customFormat="1" customHeight="1" s="70">
      <c r="M6486" s="27" t="n"/>
      <c r="N6486" s="27" t="n"/>
      <c r="O6486" s="27" t="n"/>
      <c r="P6486" s="27" t="n"/>
      <c r="Q6486" s="27" t="n"/>
      <c r="R6486" s="27" t="n"/>
      <c r="S6486" s="27" t="n"/>
      <c r="T6486" s="27" t="n"/>
    </row>
    <row r="6487" ht="13.8" customFormat="1" customHeight="1" s="70">
      <c r="M6487" s="27" t="n"/>
      <c r="N6487" s="27" t="n"/>
      <c r="O6487" s="27" t="n"/>
      <c r="P6487" s="27" t="n"/>
      <c r="Q6487" s="27" t="n"/>
      <c r="R6487" s="27" t="n"/>
      <c r="S6487" s="27" t="n"/>
      <c r="T6487" s="27" t="n"/>
    </row>
    <row r="6488" ht="13.8" customFormat="1" customHeight="1" s="70">
      <c r="M6488" s="27" t="n"/>
      <c r="N6488" s="27" t="n"/>
      <c r="O6488" s="27" t="n"/>
      <c r="P6488" s="27" t="n"/>
      <c r="Q6488" s="27" t="n"/>
      <c r="R6488" s="27" t="n"/>
      <c r="S6488" s="27" t="n"/>
      <c r="T6488" s="27" t="n"/>
    </row>
    <row r="6489" ht="13.8" customFormat="1" customHeight="1" s="70">
      <c r="M6489" s="27" t="n"/>
      <c r="N6489" s="27" t="n"/>
      <c r="O6489" s="27" t="n"/>
      <c r="P6489" s="27" t="n"/>
      <c r="Q6489" s="27" t="n"/>
      <c r="R6489" s="27" t="n"/>
      <c r="S6489" s="27" t="n"/>
      <c r="T6489" s="27" t="n"/>
    </row>
    <row r="6490" ht="13.8" customFormat="1" customHeight="1" s="70">
      <c r="M6490" s="27" t="n"/>
      <c r="N6490" s="27" t="n"/>
      <c r="O6490" s="27" t="n"/>
      <c r="P6490" s="27" t="n"/>
      <c r="Q6490" s="27" t="n"/>
      <c r="R6490" s="27" t="n"/>
      <c r="S6490" s="27" t="n"/>
      <c r="T6490" s="27" t="n"/>
    </row>
    <row r="6491" ht="13.8" customFormat="1" customHeight="1" s="70">
      <c r="M6491" s="27" t="n"/>
      <c r="N6491" s="27" t="n"/>
      <c r="O6491" s="27" t="n"/>
      <c r="P6491" s="27" t="n"/>
      <c r="Q6491" s="27" t="n"/>
      <c r="R6491" s="27" t="n"/>
      <c r="S6491" s="27" t="n"/>
      <c r="T6491" s="27" t="n"/>
    </row>
    <row r="6492" ht="13.8" customFormat="1" customHeight="1" s="70">
      <c r="M6492" s="27" t="n"/>
      <c r="N6492" s="27" t="n"/>
      <c r="O6492" s="27" t="n"/>
      <c r="P6492" s="27" t="n"/>
      <c r="Q6492" s="27" t="n"/>
      <c r="R6492" s="27" t="n"/>
      <c r="S6492" s="27" t="n"/>
      <c r="T6492" s="27" t="n"/>
    </row>
    <row r="6493" ht="13.8" customFormat="1" customHeight="1" s="70">
      <c r="M6493" s="27" t="n"/>
      <c r="N6493" s="27" t="n"/>
      <c r="O6493" s="27" t="n"/>
      <c r="P6493" s="27" t="n"/>
      <c r="Q6493" s="27" t="n"/>
      <c r="R6493" s="27" t="n"/>
      <c r="S6493" s="27" t="n"/>
      <c r="T6493" s="27" t="n"/>
    </row>
    <row r="6494" ht="13.8" customFormat="1" customHeight="1" s="70">
      <c r="M6494" s="27" t="n"/>
      <c r="N6494" s="27" t="n"/>
      <c r="O6494" s="27" t="n"/>
      <c r="P6494" s="27" t="n"/>
      <c r="Q6494" s="27" t="n"/>
      <c r="R6494" s="27" t="n"/>
      <c r="S6494" s="27" t="n"/>
      <c r="T6494" s="27" t="n"/>
    </row>
    <row r="6495" ht="13.8" customFormat="1" customHeight="1" s="70">
      <c r="M6495" s="27" t="n"/>
      <c r="N6495" s="27" t="n"/>
      <c r="O6495" s="27" t="n"/>
      <c r="P6495" s="27" t="n"/>
      <c r="Q6495" s="27" t="n"/>
      <c r="R6495" s="27" t="n"/>
      <c r="S6495" s="27" t="n"/>
      <c r="T6495" s="27" t="n"/>
    </row>
    <row r="6496" ht="13.8" customFormat="1" customHeight="1" s="70">
      <c r="M6496" s="27" t="n"/>
      <c r="N6496" s="27" t="n"/>
      <c r="O6496" s="27" t="n"/>
      <c r="P6496" s="27" t="n"/>
      <c r="Q6496" s="27" t="n"/>
      <c r="R6496" s="27" t="n"/>
      <c r="S6496" s="27" t="n"/>
      <c r="T6496" s="27" t="n"/>
    </row>
    <row r="6497" ht="13.8" customFormat="1" customHeight="1" s="70">
      <c r="M6497" s="27" t="n"/>
      <c r="N6497" s="27" t="n"/>
      <c r="O6497" s="27" t="n"/>
      <c r="P6497" s="27" t="n"/>
      <c r="Q6497" s="27" t="n"/>
      <c r="R6497" s="27" t="n"/>
      <c r="S6497" s="27" t="n"/>
      <c r="T6497" s="27" t="n"/>
    </row>
    <row r="6498" ht="13.8" customFormat="1" customHeight="1" s="70">
      <c r="M6498" s="27" t="n"/>
      <c r="N6498" s="27" t="n"/>
      <c r="O6498" s="27" t="n"/>
      <c r="P6498" s="27" t="n"/>
      <c r="Q6498" s="27" t="n"/>
      <c r="R6498" s="27" t="n"/>
      <c r="S6498" s="27" t="n"/>
      <c r="T6498" s="27" t="n"/>
    </row>
    <row r="6499" ht="13.8" customFormat="1" customHeight="1" s="70">
      <c r="M6499" s="27" t="n"/>
      <c r="N6499" s="27" t="n"/>
      <c r="O6499" s="27" t="n"/>
      <c r="P6499" s="27" t="n"/>
      <c r="Q6499" s="27" t="n"/>
      <c r="R6499" s="27" t="n"/>
      <c r="S6499" s="27" t="n"/>
      <c r="T6499" s="27" t="n"/>
    </row>
    <row r="6500" ht="13.8" customFormat="1" customHeight="1" s="70">
      <c r="M6500" s="27" t="n"/>
      <c r="N6500" s="27" t="n"/>
      <c r="O6500" s="27" t="n"/>
      <c r="P6500" s="27" t="n"/>
      <c r="Q6500" s="27" t="n"/>
      <c r="R6500" s="27" t="n"/>
      <c r="S6500" s="27" t="n"/>
      <c r="T6500" s="27" t="n"/>
    </row>
    <row r="6501" ht="13.8" customFormat="1" customHeight="1" s="70">
      <c r="M6501" s="27" t="n"/>
      <c r="N6501" s="27" t="n"/>
      <c r="O6501" s="27" t="n"/>
      <c r="P6501" s="27" t="n"/>
      <c r="Q6501" s="27" t="n"/>
      <c r="R6501" s="27" t="n"/>
      <c r="S6501" s="27" t="n"/>
      <c r="T6501" s="27" t="n"/>
    </row>
    <row r="6502" ht="13.8" customFormat="1" customHeight="1" s="70">
      <c r="M6502" s="27" t="n"/>
      <c r="N6502" s="27" t="n"/>
      <c r="O6502" s="27" t="n"/>
      <c r="P6502" s="27" t="n"/>
      <c r="Q6502" s="27" t="n"/>
      <c r="R6502" s="27" t="n"/>
      <c r="S6502" s="27" t="n"/>
      <c r="T6502" s="27" t="n"/>
    </row>
    <row r="6503" ht="13.8" customFormat="1" customHeight="1" s="70">
      <c r="M6503" s="27" t="n"/>
      <c r="N6503" s="27" t="n"/>
      <c r="O6503" s="27" t="n"/>
      <c r="P6503" s="27" t="n"/>
      <c r="Q6503" s="27" t="n"/>
      <c r="R6503" s="27" t="n"/>
      <c r="S6503" s="27" t="n"/>
      <c r="T6503" s="27" t="n"/>
    </row>
    <row r="6504" ht="13.8" customFormat="1" customHeight="1" s="70">
      <c r="M6504" s="27" t="n"/>
      <c r="N6504" s="27" t="n"/>
      <c r="O6504" s="27" t="n"/>
      <c r="P6504" s="27" t="n"/>
      <c r="Q6504" s="27" t="n"/>
      <c r="R6504" s="27" t="n"/>
      <c r="S6504" s="27" t="n"/>
      <c r="T6504" s="27" t="n"/>
    </row>
    <row r="6505" ht="13.8" customFormat="1" customHeight="1" s="70">
      <c r="M6505" s="27" t="n"/>
      <c r="N6505" s="27" t="n"/>
      <c r="O6505" s="27" t="n"/>
      <c r="P6505" s="27" t="n"/>
      <c r="Q6505" s="27" t="n"/>
      <c r="R6505" s="27" t="n"/>
      <c r="S6505" s="27" t="n"/>
      <c r="T6505" s="27" t="n"/>
    </row>
    <row r="6506" ht="13.8" customFormat="1" customHeight="1" s="70">
      <c r="M6506" s="27" t="n"/>
      <c r="N6506" s="27" t="n"/>
      <c r="O6506" s="27" t="n"/>
      <c r="P6506" s="27" t="n"/>
      <c r="Q6506" s="27" t="n"/>
      <c r="R6506" s="27" t="n"/>
      <c r="S6506" s="27" t="n"/>
      <c r="T6506" s="27" t="n"/>
    </row>
    <row r="6507" ht="13.8" customFormat="1" customHeight="1" s="70">
      <c r="M6507" s="27" t="n"/>
      <c r="N6507" s="27" t="n"/>
      <c r="O6507" s="27" t="n"/>
      <c r="P6507" s="27" t="n"/>
      <c r="Q6507" s="27" t="n"/>
      <c r="R6507" s="27" t="n"/>
      <c r="S6507" s="27" t="n"/>
      <c r="T6507" s="27" t="n"/>
    </row>
    <row r="6508" ht="13.8" customFormat="1" customHeight="1" s="70">
      <c r="M6508" s="27" t="n"/>
      <c r="N6508" s="27" t="n"/>
      <c r="O6508" s="27" t="n"/>
      <c r="P6508" s="27" t="n"/>
      <c r="Q6508" s="27" t="n"/>
      <c r="R6508" s="27" t="n"/>
      <c r="S6508" s="27" t="n"/>
      <c r="T6508" s="27" t="n"/>
    </row>
    <row r="6509" ht="13.8" customFormat="1" customHeight="1" s="70">
      <c r="M6509" s="27" t="n"/>
      <c r="N6509" s="27" t="n"/>
      <c r="O6509" s="27" t="n"/>
      <c r="P6509" s="27" t="n"/>
      <c r="Q6509" s="27" t="n"/>
      <c r="R6509" s="27" t="n"/>
      <c r="S6509" s="27" t="n"/>
      <c r="T6509" s="27" t="n"/>
    </row>
    <row r="6510" ht="13.8" customFormat="1" customHeight="1" s="70">
      <c r="M6510" s="27" t="n"/>
      <c r="N6510" s="27" t="n"/>
      <c r="O6510" s="27" t="n"/>
      <c r="P6510" s="27" t="n"/>
      <c r="Q6510" s="27" t="n"/>
      <c r="R6510" s="27" t="n"/>
      <c r="S6510" s="27" t="n"/>
      <c r="T6510" s="27" t="n"/>
    </row>
    <row r="6511" ht="13.8" customFormat="1" customHeight="1" s="70">
      <c r="M6511" s="27" t="n"/>
      <c r="N6511" s="27" t="n"/>
      <c r="O6511" s="27" t="n"/>
      <c r="P6511" s="27" t="n"/>
      <c r="Q6511" s="27" t="n"/>
      <c r="R6511" s="27" t="n"/>
      <c r="S6511" s="27" t="n"/>
      <c r="T6511" s="27" t="n"/>
    </row>
    <row r="6512" ht="13.8" customFormat="1" customHeight="1" s="70">
      <c r="M6512" s="27" t="n"/>
      <c r="N6512" s="27" t="n"/>
      <c r="O6512" s="27" t="n"/>
      <c r="P6512" s="27" t="n"/>
      <c r="Q6512" s="27" t="n"/>
      <c r="R6512" s="27" t="n"/>
      <c r="S6512" s="27" t="n"/>
      <c r="T6512" s="27" t="n"/>
    </row>
    <row r="6513" ht="13.8" customFormat="1" customHeight="1" s="70">
      <c r="M6513" s="27" t="n"/>
      <c r="N6513" s="27" t="n"/>
      <c r="O6513" s="27" t="n"/>
      <c r="P6513" s="27" t="n"/>
      <c r="Q6513" s="27" t="n"/>
      <c r="R6513" s="27" t="n"/>
      <c r="S6513" s="27" t="n"/>
      <c r="T6513" s="27" t="n"/>
    </row>
    <row r="6514" ht="13.8" customFormat="1" customHeight="1" s="70">
      <c r="M6514" s="27" t="n"/>
      <c r="N6514" s="27" t="n"/>
      <c r="O6514" s="27" t="n"/>
      <c r="P6514" s="27" t="n"/>
      <c r="Q6514" s="27" t="n"/>
      <c r="R6514" s="27" t="n"/>
      <c r="S6514" s="27" t="n"/>
      <c r="T6514" s="27" t="n"/>
    </row>
    <row r="6515" ht="13.8" customFormat="1" customHeight="1" s="70">
      <c r="M6515" s="27" t="n"/>
      <c r="N6515" s="27" t="n"/>
      <c r="O6515" s="27" t="n"/>
      <c r="P6515" s="27" t="n"/>
      <c r="Q6515" s="27" t="n"/>
      <c r="R6515" s="27" t="n"/>
      <c r="S6515" s="27" t="n"/>
      <c r="T6515" s="27" t="n"/>
    </row>
    <row r="6516" ht="13.8" customFormat="1" customHeight="1" s="70">
      <c r="M6516" s="27" t="n"/>
      <c r="N6516" s="27" t="n"/>
      <c r="O6516" s="27" t="n"/>
      <c r="P6516" s="27" t="n"/>
      <c r="Q6516" s="27" t="n"/>
      <c r="R6516" s="27" t="n"/>
      <c r="S6516" s="27" t="n"/>
      <c r="T6516" s="27" t="n"/>
    </row>
    <row r="6517" ht="13.8" customFormat="1" customHeight="1" s="70">
      <c r="M6517" s="27" t="n"/>
      <c r="N6517" s="27" t="n"/>
      <c r="O6517" s="27" t="n"/>
      <c r="P6517" s="27" t="n"/>
      <c r="Q6517" s="27" t="n"/>
      <c r="R6517" s="27" t="n"/>
      <c r="S6517" s="27" t="n"/>
      <c r="T6517" s="27" t="n"/>
    </row>
    <row r="6518" ht="13.8" customFormat="1" customHeight="1" s="70">
      <c r="M6518" s="27" t="n"/>
      <c r="N6518" s="27" t="n"/>
      <c r="O6518" s="27" t="n"/>
      <c r="P6518" s="27" t="n"/>
      <c r="Q6518" s="27" t="n"/>
      <c r="R6518" s="27" t="n"/>
      <c r="S6518" s="27" t="n"/>
      <c r="T6518" s="27" t="n"/>
    </row>
    <row r="6519" ht="13.8" customFormat="1" customHeight="1" s="70">
      <c r="M6519" s="27" t="n"/>
      <c r="N6519" s="27" t="n"/>
      <c r="O6519" s="27" t="n"/>
      <c r="P6519" s="27" t="n"/>
      <c r="Q6519" s="27" t="n"/>
      <c r="R6519" s="27" t="n"/>
      <c r="S6519" s="27" t="n"/>
      <c r="T6519" s="27" t="n"/>
    </row>
    <row r="6520" ht="13.8" customFormat="1" customHeight="1" s="70">
      <c r="M6520" s="27" t="n"/>
      <c r="N6520" s="27" t="n"/>
      <c r="O6520" s="27" t="n"/>
      <c r="P6520" s="27" t="n"/>
      <c r="Q6520" s="27" t="n"/>
      <c r="R6520" s="27" t="n"/>
      <c r="S6520" s="27" t="n"/>
      <c r="T6520" s="27" t="n"/>
    </row>
    <row r="6521" ht="13.8" customFormat="1" customHeight="1" s="70">
      <c r="M6521" s="27" t="n"/>
      <c r="N6521" s="27" t="n"/>
      <c r="O6521" s="27" t="n"/>
      <c r="P6521" s="27" t="n"/>
      <c r="Q6521" s="27" t="n"/>
      <c r="R6521" s="27" t="n"/>
      <c r="S6521" s="27" t="n"/>
      <c r="T6521" s="27" t="n"/>
    </row>
    <row r="6522" ht="13.8" customFormat="1" customHeight="1" s="70">
      <c r="M6522" s="27" t="n"/>
      <c r="N6522" s="27" t="n"/>
      <c r="O6522" s="27" t="n"/>
      <c r="P6522" s="27" t="n"/>
      <c r="Q6522" s="27" t="n"/>
      <c r="R6522" s="27" t="n"/>
      <c r="S6522" s="27" t="n"/>
      <c r="T6522" s="27" t="n"/>
    </row>
    <row r="6523" ht="13.8" customFormat="1" customHeight="1" s="70">
      <c r="M6523" s="27" t="n"/>
      <c r="N6523" s="27" t="n"/>
      <c r="O6523" s="27" t="n"/>
      <c r="P6523" s="27" t="n"/>
      <c r="Q6523" s="27" t="n"/>
      <c r="R6523" s="27" t="n"/>
      <c r="S6523" s="27" t="n"/>
      <c r="T6523" s="27" t="n"/>
    </row>
    <row r="6524" ht="13.8" customFormat="1" customHeight="1" s="70">
      <c r="M6524" s="27" t="n"/>
      <c r="N6524" s="27" t="n"/>
      <c r="O6524" s="27" t="n"/>
      <c r="P6524" s="27" t="n"/>
      <c r="Q6524" s="27" t="n"/>
      <c r="R6524" s="27" t="n"/>
      <c r="S6524" s="27" t="n"/>
      <c r="T6524" s="27" t="n"/>
    </row>
    <row r="6525" ht="13.8" customFormat="1" customHeight="1" s="70">
      <c r="M6525" s="27" t="n"/>
      <c r="N6525" s="27" t="n"/>
      <c r="O6525" s="27" t="n"/>
      <c r="P6525" s="27" t="n"/>
      <c r="Q6525" s="27" t="n"/>
      <c r="R6525" s="27" t="n"/>
      <c r="S6525" s="27" t="n"/>
      <c r="T6525" s="27" t="n"/>
    </row>
    <row r="6526" ht="13.8" customFormat="1" customHeight="1" s="70">
      <c r="M6526" s="27" t="n"/>
      <c r="N6526" s="27" t="n"/>
      <c r="O6526" s="27" t="n"/>
      <c r="P6526" s="27" t="n"/>
      <c r="Q6526" s="27" t="n"/>
      <c r="R6526" s="27" t="n"/>
      <c r="S6526" s="27" t="n"/>
      <c r="T6526" s="27" t="n"/>
    </row>
    <row r="6527" ht="13.8" customFormat="1" customHeight="1" s="70">
      <c r="M6527" s="27" t="n"/>
      <c r="N6527" s="27" t="n"/>
      <c r="O6527" s="27" t="n"/>
      <c r="P6527" s="27" t="n"/>
      <c r="Q6527" s="27" t="n"/>
      <c r="R6527" s="27" t="n"/>
      <c r="S6527" s="27" t="n"/>
      <c r="T6527" s="27" t="n"/>
    </row>
    <row r="6528" ht="13.8" customFormat="1" customHeight="1" s="70">
      <c r="M6528" s="27" t="n"/>
      <c r="N6528" s="27" t="n"/>
      <c r="O6528" s="27" t="n"/>
      <c r="P6528" s="27" t="n"/>
      <c r="Q6528" s="27" t="n"/>
      <c r="R6528" s="27" t="n"/>
      <c r="S6528" s="27" t="n"/>
      <c r="T6528" s="27" t="n"/>
    </row>
    <row r="6529" ht="13.8" customFormat="1" customHeight="1" s="70">
      <c r="M6529" s="27" t="n"/>
      <c r="N6529" s="27" t="n"/>
      <c r="O6529" s="27" t="n"/>
      <c r="P6529" s="27" t="n"/>
      <c r="Q6529" s="27" t="n"/>
      <c r="R6529" s="27" t="n"/>
      <c r="S6529" s="27" t="n"/>
      <c r="T6529" s="27" t="n"/>
    </row>
    <row r="6530" ht="13.8" customFormat="1" customHeight="1" s="70">
      <c r="M6530" s="27" t="n"/>
      <c r="N6530" s="27" t="n"/>
      <c r="O6530" s="27" t="n"/>
      <c r="P6530" s="27" t="n"/>
      <c r="Q6530" s="27" t="n"/>
      <c r="R6530" s="27" t="n"/>
      <c r="S6530" s="27" t="n"/>
      <c r="T6530" s="27" t="n"/>
    </row>
    <row r="6531" ht="13.8" customFormat="1" customHeight="1" s="70">
      <c r="M6531" s="27" t="n"/>
      <c r="N6531" s="27" t="n"/>
      <c r="O6531" s="27" t="n"/>
      <c r="P6531" s="27" t="n"/>
      <c r="Q6531" s="27" t="n"/>
      <c r="R6531" s="27" t="n"/>
      <c r="S6531" s="27" t="n"/>
      <c r="T6531" s="27" t="n"/>
    </row>
    <row r="6532" ht="13.8" customFormat="1" customHeight="1" s="70">
      <c r="M6532" s="27" t="n"/>
      <c r="N6532" s="27" t="n"/>
      <c r="O6532" s="27" t="n"/>
      <c r="P6532" s="27" t="n"/>
      <c r="Q6532" s="27" t="n"/>
      <c r="R6532" s="27" t="n"/>
      <c r="S6532" s="27" t="n"/>
      <c r="T6532" s="27" t="n"/>
    </row>
    <row r="6533" ht="13.8" customFormat="1" customHeight="1" s="70">
      <c r="M6533" s="27" t="n"/>
      <c r="N6533" s="27" t="n"/>
      <c r="O6533" s="27" t="n"/>
      <c r="P6533" s="27" t="n"/>
      <c r="Q6533" s="27" t="n"/>
      <c r="R6533" s="27" t="n"/>
      <c r="S6533" s="27" t="n"/>
      <c r="T6533" s="27" t="n"/>
    </row>
    <row r="6534" ht="13.8" customFormat="1" customHeight="1" s="70">
      <c r="M6534" s="27" t="n"/>
      <c r="N6534" s="27" t="n"/>
      <c r="O6534" s="27" t="n"/>
      <c r="P6534" s="27" t="n"/>
      <c r="Q6534" s="27" t="n"/>
      <c r="R6534" s="27" t="n"/>
      <c r="S6534" s="27" t="n"/>
      <c r="T6534" s="27" t="n"/>
    </row>
    <row r="6535" ht="13.8" customFormat="1" customHeight="1" s="70">
      <c r="M6535" s="27" t="n"/>
      <c r="N6535" s="27" t="n"/>
      <c r="O6535" s="27" t="n"/>
      <c r="P6535" s="27" t="n"/>
      <c r="Q6535" s="27" t="n"/>
      <c r="R6535" s="27" t="n"/>
      <c r="S6535" s="27" t="n"/>
      <c r="T6535" s="27" t="n"/>
    </row>
    <row r="6536" ht="13.8" customFormat="1" customHeight="1" s="70">
      <c r="M6536" s="27" t="n"/>
      <c r="N6536" s="27" t="n"/>
      <c r="O6536" s="27" t="n"/>
      <c r="P6536" s="27" t="n"/>
      <c r="Q6536" s="27" t="n"/>
      <c r="R6536" s="27" t="n"/>
      <c r="S6536" s="27" t="n"/>
      <c r="T6536" s="27" t="n"/>
    </row>
    <row r="6537" ht="13.8" customFormat="1" customHeight="1" s="70">
      <c r="M6537" s="27" t="n"/>
      <c r="N6537" s="27" t="n"/>
      <c r="O6537" s="27" t="n"/>
      <c r="P6537" s="27" t="n"/>
      <c r="Q6537" s="27" t="n"/>
      <c r="R6537" s="27" t="n"/>
      <c r="S6537" s="27" t="n"/>
      <c r="T6537" s="27" t="n"/>
    </row>
    <row r="6538" ht="13.8" customFormat="1" customHeight="1" s="70">
      <c r="M6538" s="27" t="n"/>
      <c r="N6538" s="27" t="n"/>
      <c r="O6538" s="27" t="n"/>
      <c r="P6538" s="27" t="n"/>
      <c r="Q6538" s="27" t="n"/>
      <c r="R6538" s="27" t="n"/>
      <c r="S6538" s="27" t="n"/>
      <c r="T6538" s="27" t="n"/>
    </row>
    <row r="6539" ht="13.8" customFormat="1" customHeight="1" s="70">
      <c r="M6539" s="27" t="n"/>
      <c r="N6539" s="27" t="n"/>
      <c r="O6539" s="27" t="n"/>
      <c r="P6539" s="27" t="n"/>
      <c r="Q6539" s="27" t="n"/>
      <c r="R6539" s="27" t="n"/>
      <c r="S6539" s="27" t="n"/>
      <c r="T6539" s="27" t="n"/>
    </row>
    <row r="6540" ht="13.8" customFormat="1" customHeight="1" s="70">
      <c r="M6540" s="27" t="n"/>
      <c r="N6540" s="27" t="n"/>
      <c r="O6540" s="27" t="n"/>
      <c r="P6540" s="27" t="n"/>
      <c r="Q6540" s="27" t="n"/>
      <c r="R6540" s="27" t="n"/>
      <c r="S6540" s="27" t="n"/>
      <c r="T6540" s="27" t="n"/>
    </row>
    <row r="6541" ht="13.8" customFormat="1" customHeight="1" s="70">
      <c r="M6541" s="27" t="n"/>
      <c r="N6541" s="27" t="n"/>
      <c r="O6541" s="27" t="n"/>
      <c r="P6541" s="27" t="n"/>
      <c r="Q6541" s="27" t="n"/>
      <c r="R6541" s="27" t="n"/>
      <c r="S6541" s="27" t="n"/>
      <c r="T6541" s="27" t="n"/>
    </row>
    <row r="6542" ht="13.8" customFormat="1" customHeight="1" s="70">
      <c r="M6542" s="27" t="n"/>
      <c r="N6542" s="27" t="n"/>
      <c r="O6542" s="27" t="n"/>
      <c r="P6542" s="27" t="n"/>
      <c r="Q6542" s="27" t="n"/>
      <c r="R6542" s="27" t="n"/>
      <c r="S6542" s="27" t="n"/>
      <c r="T6542" s="27" t="n"/>
    </row>
    <row r="6543" ht="13.8" customFormat="1" customHeight="1" s="70">
      <c r="M6543" s="27" t="n"/>
      <c r="N6543" s="27" t="n"/>
      <c r="O6543" s="27" t="n"/>
      <c r="P6543" s="27" t="n"/>
      <c r="Q6543" s="27" t="n"/>
      <c r="R6543" s="27" t="n"/>
      <c r="S6543" s="27" t="n"/>
      <c r="T6543" s="27" t="n"/>
    </row>
    <row r="6544" ht="13.8" customFormat="1" customHeight="1" s="70">
      <c r="M6544" s="27" t="n"/>
      <c r="N6544" s="27" t="n"/>
      <c r="O6544" s="27" t="n"/>
      <c r="P6544" s="27" t="n"/>
      <c r="Q6544" s="27" t="n"/>
      <c r="R6544" s="27" t="n"/>
      <c r="S6544" s="27" t="n"/>
      <c r="T6544" s="27" t="n"/>
    </row>
    <row r="6545" ht="13.8" customFormat="1" customHeight="1" s="70">
      <c r="M6545" s="27" t="n"/>
      <c r="N6545" s="27" t="n"/>
      <c r="O6545" s="27" t="n"/>
      <c r="P6545" s="27" t="n"/>
      <c r="Q6545" s="27" t="n"/>
      <c r="R6545" s="27" t="n"/>
      <c r="S6545" s="27" t="n"/>
      <c r="T6545" s="27" t="n"/>
    </row>
    <row r="6546" ht="13.8" customFormat="1" customHeight="1" s="70">
      <c r="M6546" s="27" t="n"/>
      <c r="N6546" s="27" t="n"/>
      <c r="O6546" s="27" t="n"/>
      <c r="P6546" s="27" t="n"/>
      <c r="Q6546" s="27" t="n"/>
      <c r="R6546" s="27" t="n"/>
      <c r="S6546" s="27" t="n"/>
      <c r="T6546" s="27" t="n"/>
    </row>
    <row r="6547" ht="13.8" customFormat="1" customHeight="1" s="70">
      <c r="M6547" s="27" t="n"/>
      <c r="N6547" s="27" t="n"/>
      <c r="O6547" s="27" t="n"/>
      <c r="P6547" s="27" t="n"/>
      <c r="Q6547" s="27" t="n"/>
      <c r="R6547" s="27" t="n"/>
      <c r="S6547" s="27" t="n"/>
      <c r="T6547" s="27" t="n"/>
    </row>
    <row r="6548" ht="13.8" customFormat="1" customHeight="1" s="70">
      <c r="M6548" s="27" t="n"/>
      <c r="N6548" s="27" t="n"/>
      <c r="O6548" s="27" t="n"/>
      <c r="P6548" s="27" t="n"/>
      <c r="Q6548" s="27" t="n"/>
      <c r="R6548" s="27" t="n"/>
      <c r="S6548" s="27" t="n"/>
      <c r="T6548" s="27" t="n"/>
    </row>
    <row r="6549" ht="13.8" customFormat="1" customHeight="1" s="70">
      <c r="M6549" s="27" t="n"/>
      <c r="N6549" s="27" t="n"/>
      <c r="O6549" s="27" t="n"/>
      <c r="P6549" s="27" t="n"/>
      <c r="Q6549" s="27" t="n"/>
      <c r="R6549" s="27" t="n"/>
      <c r="S6549" s="27" t="n"/>
      <c r="T6549" s="27" t="n"/>
    </row>
    <row r="6550" ht="13.8" customFormat="1" customHeight="1" s="70">
      <c r="M6550" s="27" t="n"/>
      <c r="N6550" s="27" t="n"/>
      <c r="O6550" s="27" t="n"/>
      <c r="P6550" s="27" t="n"/>
      <c r="Q6550" s="27" t="n"/>
      <c r="R6550" s="27" t="n"/>
      <c r="S6550" s="27" t="n"/>
      <c r="T6550" s="27" t="n"/>
    </row>
    <row r="6551" ht="13.8" customFormat="1" customHeight="1" s="70">
      <c r="M6551" s="27" t="n"/>
      <c r="N6551" s="27" t="n"/>
      <c r="O6551" s="27" t="n"/>
      <c r="P6551" s="27" t="n"/>
      <c r="Q6551" s="27" t="n"/>
      <c r="R6551" s="27" t="n"/>
      <c r="S6551" s="27" t="n"/>
      <c r="T6551" s="27" t="n"/>
    </row>
    <row r="6552" ht="13.8" customFormat="1" customHeight="1" s="70">
      <c r="M6552" s="27" t="n"/>
      <c r="N6552" s="27" t="n"/>
      <c r="O6552" s="27" t="n"/>
      <c r="P6552" s="27" t="n"/>
      <c r="Q6552" s="27" t="n"/>
      <c r="R6552" s="27" t="n"/>
      <c r="S6552" s="27" t="n"/>
      <c r="T6552" s="27" t="n"/>
    </row>
    <row r="6553" ht="13.8" customFormat="1" customHeight="1" s="70">
      <c r="M6553" s="27" t="n"/>
      <c r="N6553" s="27" t="n"/>
      <c r="O6553" s="27" t="n"/>
      <c r="P6553" s="27" t="n"/>
      <c r="Q6553" s="27" t="n"/>
      <c r="R6553" s="27" t="n"/>
      <c r="S6553" s="27" t="n"/>
      <c r="T6553" s="27" t="n"/>
    </row>
    <row r="6554" ht="13.8" customFormat="1" customHeight="1" s="70">
      <c r="M6554" s="27" t="n"/>
      <c r="N6554" s="27" t="n"/>
      <c r="O6554" s="27" t="n"/>
      <c r="P6554" s="27" t="n"/>
      <c r="Q6554" s="27" t="n"/>
      <c r="R6554" s="27" t="n"/>
      <c r="S6554" s="27" t="n"/>
      <c r="T6554" s="27" t="n"/>
    </row>
    <row r="6555" ht="13.8" customFormat="1" customHeight="1" s="70">
      <c r="M6555" s="27" t="n"/>
      <c r="N6555" s="27" t="n"/>
      <c r="O6555" s="27" t="n"/>
      <c r="P6555" s="27" t="n"/>
      <c r="Q6555" s="27" t="n"/>
      <c r="R6555" s="27" t="n"/>
      <c r="S6555" s="27" t="n"/>
      <c r="T6555" s="27" t="n"/>
    </row>
    <row r="6556" ht="13.8" customFormat="1" customHeight="1" s="70">
      <c r="M6556" s="27" t="n"/>
      <c r="N6556" s="27" t="n"/>
      <c r="O6556" s="27" t="n"/>
      <c r="P6556" s="27" t="n"/>
      <c r="Q6556" s="27" t="n"/>
      <c r="R6556" s="27" t="n"/>
      <c r="S6556" s="27" t="n"/>
      <c r="T6556" s="27" t="n"/>
    </row>
    <row r="6557" ht="13.8" customFormat="1" customHeight="1" s="70">
      <c r="M6557" s="27" t="n"/>
      <c r="N6557" s="27" t="n"/>
      <c r="O6557" s="27" t="n"/>
      <c r="P6557" s="27" t="n"/>
      <c r="Q6557" s="27" t="n"/>
      <c r="R6557" s="27" t="n"/>
      <c r="S6557" s="27" t="n"/>
      <c r="T6557" s="27" t="n"/>
    </row>
    <row r="6558" ht="13.8" customFormat="1" customHeight="1" s="70">
      <c r="M6558" s="27" t="n"/>
      <c r="N6558" s="27" t="n"/>
      <c r="O6558" s="27" t="n"/>
      <c r="P6558" s="27" t="n"/>
      <c r="Q6558" s="27" t="n"/>
      <c r="R6558" s="27" t="n"/>
      <c r="S6558" s="27" t="n"/>
      <c r="T6558" s="27" t="n"/>
    </row>
    <row r="6559" ht="13.8" customFormat="1" customHeight="1" s="70">
      <c r="M6559" s="27" t="n"/>
      <c r="N6559" s="27" t="n"/>
      <c r="O6559" s="27" t="n"/>
      <c r="P6559" s="27" t="n"/>
      <c r="Q6559" s="27" t="n"/>
      <c r="R6559" s="27" t="n"/>
      <c r="S6559" s="27" t="n"/>
      <c r="T6559" s="27" t="n"/>
    </row>
    <row r="6560" ht="13.8" customFormat="1" customHeight="1" s="70">
      <c r="M6560" s="27" t="n"/>
      <c r="N6560" s="27" t="n"/>
      <c r="O6560" s="27" t="n"/>
      <c r="P6560" s="27" t="n"/>
      <c r="Q6560" s="27" t="n"/>
      <c r="R6560" s="27" t="n"/>
      <c r="S6560" s="27" t="n"/>
      <c r="T6560" s="27" t="n"/>
    </row>
    <row r="6561" ht="13.8" customFormat="1" customHeight="1" s="70">
      <c r="M6561" s="27" t="n"/>
      <c r="N6561" s="27" t="n"/>
      <c r="O6561" s="27" t="n"/>
      <c r="P6561" s="27" t="n"/>
      <c r="Q6561" s="27" t="n"/>
      <c r="R6561" s="27" t="n"/>
      <c r="S6561" s="27" t="n"/>
      <c r="T6561" s="27" t="n"/>
    </row>
    <row r="6562" ht="13.8" customFormat="1" customHeight="1" s="70">
      <c r="M6562" s="27" t="n"/>
      <c r="N6562" s="27" t="n"/>
      <c r="O6562" s="27" t="n"/>
      <c r="P6562" s="27" t="n"/>
      <c r="Q6562" s="27" t="n"/>
      <c r="R6562" s="27" t="n"/>
      <c r="S6562" s="27" t="n"/>
      <c r="T6562" s="27" t="n"/>
    </row>
    <row r="6563" ht="13.8" customFormat="1" customHeight="1" s="70">
      <c r="M6563" s="27" t="n"/>
      <c r="N6563" s="27" t="n"/>
      <c r="O6563" s="27" t="n"/>
      <c r="P6563" s="27" t="n"/>
      <c r="Q6563" s="27" t="n"/>
      <c r="R6563" s="27" t="n"/>
      <c r="S6563" s="27" t="n"/>
      <c r="T6563" s="27" t="n"/>
    </row>
    <row r="6564" ht="13.8" customFormat="1" customHeight="1" s="70">
      <c r="M6564" s="27" t="n"/>
      <c r="N6564" s="27" t="n"/>
      <c r="O6564" s="27" t="n"/>
      <c r="P6564" s="27" t="n"/>
      <c r="Q6564" s="27" t="n"/>
      <c r="R6564" s="27" t="n"/>
      <c r="S6564" s="27" t="n"/>
      <c r="T6564" s="27" t="n"/>
    </row>
    <row r="6565" ht="13.8" customFormat="1" customHeight="1" s="70">
      <c r="M6565" s="27" t="n"/>
      <c r="N6565" s="27" t="n"/>
      <c r="O6565" s="27" t="n"/>
      <c r="P6565" s="27" t="n"/>
      <c r="Q6565" s="27" t="n"/>
      <c r="R6565" s="27" t="n"/>
      <c r="S6565" s="27" t="n"/>
      <c r="T6565" s="27" t="n"/>
    </row>
    <row r="6566" ht="13.8" customFormat="1" customHeight="1" s="70">
      <c r="M6566" s="27" t="n"/>
      <c r="N6566" s="27" t="n"/>
      <c r="O6566" s="27" t="n"/>
      <c r="P6566" s="27" t="n"/>
      <c r="Q6566" s="27" t="n"/>
      <c r="R6566" s="27" t="n"/>
      <c r="S6566" s="27" t="n"/>
      <c r="T6566" s="27" t="n"/>
    </row>
    <row r="6567" ht="13.8" customFormat="1" customHeight="1" s="70">
      <c r="M6567" s="27" t="n"/>
      <c r="N6567" s="27" t="n"/>
      <c r="O6567" s="27" t="n"/>
      <c r="P6567" s="27" t="n"/>
      <c r="Q6567" s="27" t="n"/>
      <c r="R6567" s="27" t="n"/>
      <c r="S6567" s="27" t="n"/>
      <c r="T6567" s="27" t="n"/>
    </row>
    <row r="6568" ht="13.8" customFormat="1" customHeight="1" s="70">
      <c r="M6568" s="27" t="n"/>
      <c r="N6568" s="27" t="n"/>
      <c r="O6568" s="27" t="n"/>
      <c r="P6568" s="27" t="n"/>
      <c r="Q6568" s="27" t="n"/>
      <c r="R6568" s="27" t="n"/>
      <c r="S6568" s="27" t="n"/>
      <c r="T6568" s="27" t="n"/>
    </row>
    <row r="6569" ht="13.8" customFormat="1" customHeight="1" s="70">
      <c r="M6569" s="27" t="n"/>
      <c r="N6569" s="27" t="n"/>
      <c r="O6569" s="27" t="n"/>
      <c r="P6569" s="27" t="n"/>
      <c r="Q6569" s="27" t="n"/>
      <c r="R6569" s="27" t="n"/>
      <c r="S6569" s="27" t="n"/>
      <c r="T6569" s="27" t="n"/>
    </row>
    <row r="6570" ht="13.8" customFormat="1" customHeight="1" s="70">
      <c r="M6570" s="27" t="n"/>
      <c r="N6570" s="27" t="n"/>
      <c r="O6570" s="27" t="n"/>
      <c r="P6570" s="27" t="n"/>
      <c r="Q6570" s="27" t="n"/>
      <c r="R6570" s="27" t="n"/>
      <c r="S6570" s="27" t="n"/>
      <c r="T6570" s="27" t="n"/>
    </row>
    <row r="6571" ht="13.8" customFormat="1" customHeight="1" s="70">
      <c r="M6571" s="27" t="n"/>
      <c r="N6571" s="27" t="n"/>
      <c r="O6571" s="27" t="n"/>
      <c r="P6571" s="27" t="n"/>
      <c r="Q6571" s="27" t="n"/>
      <c r="R6571" s="27" t="n"/>
      <c r="S6571" s="27" t="n"/>
      <c r="T6571" s="27" t="n"/>
    </row>
    <row r="6572" ht="13.8" customFormat="1" customHeight="1" s="70">
      <c r="M6572" s="27" t="n"/>
      <c r="N6572" s="27" t="n"/>
      <c r="O6572" s="27" t="n"/>
      <c r="P6572" s="27" t="n"/>
      <c r="Q6572" s="27" t="n"/>
      <c r="R6572" s="27" t="n"/>
      <c r="S6572" s="27" t="n"/>
      <c r="T6572" s="27" t="n"/>
    </row>
    <row r="6573" ht="13.8" customFormat="1" customHeight="1" s="70">
      <c r="M6573" s="27" t="n"/>
      <c r="N6573" s="27" t="n"/>
      <c r="O6573" s="27" t="n"/>
      <c r="P6573" s="27" t="n"/>
      <c r="Q6573" s="27" t="n"/>
      <c r="R6573" s="27" t="n"/>
      <c r="S6573" s="27" t="n"/>
      <c r="T6573" s="27" t="n"/>
    </row>
    <row r="6574" ht="13.8" customFormat="1" customHeight="1" s="70">
      <c r="M6574" s="27" t="n"/>
      <c r="N6574" s="27" t="n"/>
      <c r="O6574" s="27" t="n"/>
      <c r="P6574" s="27" t="n"/>
      <c r="Q6574" s="27" t="n"/>
      <c r="R6574" s="27" t="n"/>
      <c r="S6574" s="27" t="n"/>
      <c r="T6574" s="27" t="n"/>
    </row>
    <row r="6575" ht="13.8" customFormat="1" customHeight="1" s="70">
      <c r="M6575" s="27" t="n"/>
      <c r="N6575" s="27" t="n"/>
      <c r="O6575" s="27" t="n"/>
      <c r="P6575" s="27" t="n"/>
      <c r="Q6575" s="27" t="n"/>
      <c r="R6575" s="27" t="n"/>
      <c r="S6575" s="27" t="n"/>
      <c r="T6575" s="27" t="n"/>
    </row>
    <row r="6576" ht="13.8" customFormat="1" customHeight="1" s="70">
      <c r="M6576" s="27" t="n"/>
      <c r="N6576" s="27" t="n"/>
      <c r="O6576" s="27" t="n"/>
      <c r="P6576" s="27" t="n"/>
      <c r="Q6576" s="27" t="n"/>
      <c r="R6576" s="27" t="n"/>
      <c r="S6576" s="27" t="n"/>
      <c r="T6576" s="27" t="n"/>
    </row>
    <row r="6577" ht="13.8" customFormat="1" customHeight="1" s="70">
      <c r="M6577" s="27" t="n"/>
      <c r="N6577" s="27" t="n"/>
      <c r="O6577" s="27" t="n"/>
      <c r="P6577" s="27" t="n"/>
      <c r="Q6577" s="27" t="n"/>
      <c r="R6577" s="27" t="n"/>
      <c r="S6577" s="27" t="n"/>
      <c r="T6577" s="27" t="n"/>
    </row>
    <row r="6578" ht="13.8" customFormat="1" customHeight="1" s="70">
      <c r="M6578" s="27" t="n"/>
      <c r="N6578" s="27" t="n"/>
      <c r="O6578" s="27" t="n"/>
      <c r="P6578" s="27" t="n"/>
      <c r="Q6578" s="27" t="n"/>
      <c r="R6578" s="27" t="n"/>
      <c r="S6578" s="27" t="n"/>
      <c r="T6578" s="27" t="n"/>
    </row>
    <row r="6579" ht="13.8" customFormat="1" customHeight="1" s="70">
      <c r="M6579" s="27" t="n"/>
      <c r="N6579" s="27" t="n"/>
      <c r="O6579" s="27" t="n"/>
      <c r="P6579" s="27" t="n"/>
      <c r="Q6579" s="27" t="n"/>
      <c r="R6579" s="27" t="n"/>
      <c r="S6579" s="27" t="n"/>
      <c r="T6579" s="27" t="n"/>
    </row>
    <row r="6580" ht="13.8" customFormat="1" customHeight="1" s="70">
      <c r="M6580" s="27" t="n"/>
      <c r="N6580" s="27" t="n"/>
      <c r="O6580" s="27" t="n"/>
      <c r="P6580" s="27" t="n"/>
      <c r="Q6580" s="27" t="n"/>
      <c r="R6580" s="27" t="n"/>
      <c r="S6580" s="27" t="n"/>
      <c r="T6580" s="27" t="n"/>
    </row>
    <row r="6581" ht="13.8" customFormat="1" customHeight="1" s="70">
      <c r="M6581" s="27" t="n"/>
      <c r="N6581" s="27" t="n"/>
      <c r="O6581" s="27" t="n"/>
      <c r="P6581" s="27" t="n"/>
      <c r="Q6581" s="27" t="n"/>
      <c r="R6581" s="27" t="n"/>
      <c r="S6581" s="27" t="n"/>
      <c r="T6581" s="27" t="n"/>
    </row>
    <row r="6582" ht="13.8" customFormat="1" customHeight="1" s="70">
      <c r="M6582" s="27" t="n"/>
      <c r="N6582" s="27" t="n"/>
      <c r="O6582" s="27" t="n"/>
      <c r="P6582" s="27" t="n"/>
      <c r="Q6582" s="27" t="n"/>
      <c r="R6582" s="27" t="n"/>
      <c r="S6582" s="27" t="n"/>
      <c r="T6582" s="27" t="n"/>
    </row>
    <row r="6583" ht="13.8" customFormat="1" customHeight="1" s="70">
      <c r="M6583" s="27" t="n"/>
      <c r="N6583" s="27" t="n"/>
      <c r="O6583" s="27" t="n"/>
      <c r="P6583" s="27" t="n"/>
      <c r="Q6583" s="27" t="n"/>
      <c r="R6583" s="27" t="n"/>
      <c r="S6583" s="27" t="n"/>
      <c r="T6583" s="27" t="n"/>
    </row>
    <row r="6584" ht="13.8" customFormat="1" customHeight="1" s="70">
      <c r="M6584" s="27" t="n"/>
      <c r="N6584" s="27" t="n"/>
      <c r="O6584" s="27" t="n"/>
      <c r="P6584" s="27" t="n"/>
      <c r="Q6584" s="27" t="n"/>
      <c r="R6584" s="27" t="n"/>
      <c r="S6584" s="27" t="n"/>
      <c r="T6584" s="27" t="n"/>
    </row>
    <row r="6585" ht="13.8" customFormat="1" customHeight="1" s="70">
      <c r="M6585" s="27" t="n"/>
      <c r="N6585" s="27" t="n"/>
      <c r="O6585" s="27" t="n"/>
      <c r="P6585" s="27" t="n"/>
      <c r="Q6585" s="27" t="n"/>
      <c r="R6585" s="27" t="n"/>
      <c r="S6585" s="27" t="n"/>
      <c r="T6585" s="27" t="n"/>
    </row>
    <row r="6586" ht="13.8" customFormat="1" customHeight="1" s="70">
      <c r="M6586" s="27" t="n"/>
      <c r="N6586" s="27" t="n"/>
      <c r="O6586" s="27" t="n"/>
      <c r="P6586" s="27" t="n"/>
      <c r="Q6586" s="27" t="n"/>
      <c r="R6586" s="27" t="n"/>
      <c r="S6586" s="27" t="n"/>
      <c r="T6586" s="27" t="n"/>
    </row>
    <row r="6587" ht="13.8" customFormat="1" customHeight="1" s="70">
      <c r="M6587" s="27" t="n"/>
      <c r="N6587" s="27" t="n"/>
      <c r="O6587" s="27" t="n"/>
      <c r="P6587" s="27" t="n"/>
      <c r="Q6587" s="27" t="n"/>
      <c r="R6587" s="27" t="n"/>
      <c r="S6587" s="27" t="n"/>
      <c r="T6587" s="27" t="n"/>
    </row>
    <row r="6588" ht="13.8" customFormat="1" customHeight="1" s="70">
      <c r="M6588" s="27" t="n"/>
      <c r="N6588" s="27" t="n"/>
      <c r="O6588" s="27" t="n"/>
      <c r="P6588" s="27" t="n"/>
      <c r="Q6588" s="27" t="n"/>
      <c r="R6588" s="27" t="n"/>
      <c r="S6588" s="27" t="n"/>
      <c r="T6588" s="27" t="n"/>
    </row>
    <row r="6589" ht="13.8" customFormat="1" customHeight="1" s="70">
      <c r="M6589" s="27" t="n"/>
      <c r="N6589" s="27" t="n"/>
      <c r="O6589" s="27" t="n"/>
      <c r="P6589" s="27" t="n"/>
      <c r="Q6589" s="27" t="n"/>
      <c r="R6589" s="27" t="n"/>
      <c r="S6589" s="27" t="n"/>
      <c r="T6589" s="27" t="n"/>
    </row>
    <row r="6590" ht="13.8" customFormat="1" customHeight="1" s="70">
      <c r="M6590" s="27" t="n"/>
      <c r="N6590" s="27" t="n"/>
      <c r="O6590" s="27" t="n"/>
      <c r="P6590" s="27" t="n"/>
      <c r="Q6590" s="27" t="n"/>
      <c r="R6590" s="27" t="n"/>
      <c r="S6590" s="27" t="n"/>
      <c r="T6590" s="27" t="n"/>
    </row>
    <row r="6591" ht="13.8" customFormat="1" customHeight="1" s="70">
      <c r="M6591" s="27" t="n"/>
      <c r="N6591" s="27" t="n"/>
      <c r="O6591" s="27" t="n"/>
      <c r="P6591" s="27" t="n"/>
      <c r="Q6591" s="27" t="n"/>
      <c r="R6591" s="27" t="n"/>
      <c r="S6591" s="27" t="n"/>
      <c r="T6591" s="27" t="n"/>
    </row>
    <row r="6592" ht="13.8" customFormat="1" customHeight="1" s="70">
      <c r="M6592" s="27" t="n"/>
      <c r="N6592" s="27" t="n"/>
      <c r="O6592" s="27" t="n"/>
      <c r="P6592" s="27" t="n"/>
      <c r="Q6592" s="27" t="n"/>
      <c r="R6592" s="27" t="n"/>
      <c r="S6592" s="27" t="n"/>
      <c r="T6592" s="27" t="n"/>
    </row>
    <row r="6593" ht="13.8" customFormat="1" customHeight="1" s="70">
      <c r="M6593" s="27" t="n"/>
      <c r="N6593" s="27" t="n"/>
      <c r="O6593" s="27" t="n"/>
      <c r="P6593" s="27" t="n"/>
      <c r="Q6593" s="27" t="n"/>
      <c r="R6593" s="27" t="n"/>
      <c r="S6593" s="27" t="n"/>
      <c r="T6593" s="27" t="n"/>
    </row>
    <row r="6594" ht="13.8" customFormat="1" customHeight="1" s="70">
      <c r="M6594" s="27" t="n"/>
      <c r="N6594" s="27" t="n"/>
      <c r="O6594" s="27" t="n"/>
      <c r="P6594" s="27" t="n"/>
      <c r="Q6594" s="27" t="n"/>
      <c r="R6594" s="27" t="n"/>
      <c r="S6594" s="27" t="n"/>
      <c r="T6594" s="27" t="n"/>
    </row>
    <row r="6595" ht="13.8" customFormat="1" customHeight="1" s="70">
      <c r="M6595" s="27" t="n"/>
      <c r="N6595" s="27" t="n"/>
      <c r="O6595" s="27" t="n"/>
      <c r="P6595" s="27" t="n"/>
      <c r="Q6595" s="27" t="n"/>
      <c r="R6595" s="27" t="n"/>
      <c r="S6595" s="27" t="n"/>
      <c r="T6595" s="27" t="n"/>
    </row>
    <row r="6596" ht="13.8" customFormat="1" customHeight="1" s="70">
      <c r="M6596" s="27" t="n"/>
      <c r="N6596" s="27" t="n"/>
      <c r="O6596" s="27" t="n"/>
      <c r="P6596" s="27" t="n"/>
      <c r="Q6596" s="27" t="n"/>
      <c r="R6596" s="27" t="n"/>
      <c r="S6596" s="27" t="n"/>
      <c r="T6596" s="27" t="n"/>
    </row>
    <row r="6597" ht="13.8" customFormat="1" customHeight="1" s="70">
      <c r="M6597" s="27" t="n"/>
      <c r="N6597" s="27" t="n"/>
      <c r="O6597" s="27" t="n"/>
      <c r="P6597" s="27" t="n"/>
      <c r="Q6597" s="27" t="n"/>
      <c r="R6597" s="27" t="n"/>
      <c r="S6597" s="27" t="n"/>
      <c r="T6597" s="27" t="n"/>
    </row>
    <row r="6598" ht="13.8" customFormat="1" customHeight="1" s="70">
      <c r="M6598" s="27" t="n"/>
      <c r="N6598" s="27" t="n"/>
      <c r="O6598" s="27" t="n"/>
      <c r="P6598" s="27" t="n"/>
      <c r="Q6598" s="27" t="n"/>
      <c r="R6598" s="27" t="n"/>
      <c r="S6598" s="27" t="n"/>
      <c r="T6598" s="27" t="n"/>
    </row>
    <row r="6599" ht="13.8" customFormat="1" customHeight="1" s="70">
      <c r="M6599" s="27" t="n"/>
      <c r="N6599" s="27" t="n"/>
      <c r="O6599" s="27" t="n"/>
      <c r="P6599" s="27" t="n"/>
      <c r="Q6599" s="27" t="n"/>
      <c r="R6599" s="27" t="n"/>
      <c r="S6599" s="27" t="n"/>
      <c r="T6599" s="27" t="n"/>
    </row>
    <row r="6600" ht="13.8" customFormat="1" customHeight="1" s="70">
      <c r="M6600" s="27" t="n"/>
      <c r="N6600" s="27" t="n"/>
      <c r="O6600" s="27" t="n"/>
      <c r="P6600" s="27" t="n"/>
      <c r="Q6600" s="27" t="n"/>
      <c r="R6600" s="27" t="n"/>
      <c r="S6600" s="27" t="n"/>
      <c r="T6600" s="27" t="n"/>
    </row>
    <row r="6601" ht="13.8" customFormat="1" customHeight="1" s="70">
      <c r="M6601" s="27" t="n"/>
      <c r="N6601" s="27" t="n"/>
      <c r="O6601" s="27" t="n"/>
      <c r="P6601" s="27" t="n"/>
      <c r="Q6601" s="27" t="n"/>
      <c r="R6601" s="27" t="n"/>
      <c r="S6601" s="27" t="n"/>
      <c r="T6601" s="27" t="n"/>
    </row>
    <row r="6602" ht="13.8" customFormat="1" customHeight="1" s="70">
      <c r="M6602" s="27" t="n"/>
      <c r="N6602" s="27" t="n"/>
      <c r="O6602" s="27" t="n"/>
      <c r="P6602" s="27" t="n"/>
      <c r="Q6602" s="27" t="n"/>
      <c r="R6602" s="27" t="n"/>
      <c r="S6602" s="27" t="n"/>
      <c r="T6602" s="27" t="n"/>
    </row>
    <row r="6603" ht="13.8" customFormat="1" customHeight="1" s="70">
      <c r="M6603" s="27" t="n"/>
      <c r="N6603" s="27" t="n"/>
      <c r="O6603" s="27" t="n"/>
      <c r="P6603" s="27" t="n"/>
      <c r="Q6603" s="27" t="n"/>
      <c r="R6603" s="27" t="n"/>
      <c r="S6603" s="27" t="n"/>
      <c r="T6603" s="27" t="n"/>
    </row>
    <row r="6604" ht="13.8" customFormat="1" customHeight="1" s="70">
      <c r="M6604" s="27" t="n"/>
      <c r="N6604" s="27" t="n"/>
      <c r="O6604" s="27" t="n"/>
      <c r="P6604" s="27" t="n"/>
      <c r="Q6604" s="27" t="n"/>
      <c r="R6604" s="27" t="n"/>
      <c r="S6604" s="27" t="n"/>
      <c r="T6604" s="27" t="n"/>
    </row>
    <row r="6605" ht="13.8" customFormat="1" customHeight="1" s="70">
      <c r="M6605" s="27" t="n"/>
      <c r="N6605" s="27" t="n"/>
      <c r="O6605" s="27" t="n"/>
      <c r="P6605" s="27" t="n"/>
      <c r="Q6605" s="27" t="n"/>
      <c r="R6605" s="27" t="n"/>
      <c r="S6605" s="27" t="n"/>
      <c r="T6605" s="27" t="n"/>
    </row>
    <row r="6606" ht="13.8" customFormat="1" customHeight="1" s="70">
      <c r="M6606" s="27" t="n"/>
      <c r="N6606" s="27" t="n"/>
      <c r="O6606" s="27" t="n"/>
      <c r="P6606" s="27" t="n"/>
      <c r="Q6606" s="27" t="n"/>
      <c r="R6606" s="27" t="n"/>
      <c r="S6606" s="27" t="n"/>
      <c r="T6606" s="27" t="n"/>
    </row>
    <row r="6607" ht="13.8" customFormat="1" customHeight="1" s="70">
      <c r="M6607" s="27" t="n"/>
      <c r="N6607" s="27" t="n"/>
      <c r="O6607" s="27" t="n"/>
      <c r="P6607" s="27" t="n"/>
      <c r="Q6607" s="27" t="n"/>
      <c r="R6607" s="27" t="n"/>
      <c r="S6607" s="27" t="n"/>
      <c r="T6607" s="27" t="n"/>
    </row>
    <row r="6608" ht="13.8" customFormat="1" customHeight="1" s="70">
      <c r="M6608" s="27" t="n"/>
      <c r="N6608" s="27" t="n"/>
      <c r="O6608" s="27" t="n"/>
      <c r="P6608" s="27" t="n"/>
      <c r="Q6608" s="27" t="n"/>
      <c r="R6608" s="27" t="n"/>
      <c r="S6608" s="27" t="n"/>
      <c r="T6608" s="27" t="n"/>
    </row>
    <row r="6609" ht="13.8" customFormat="1" customHeight="1" s="70">
      <c r="M6609" s="27" t="n"/>
      <c r="N6609" s="27" t="n"/>
      <c r="O6609" s="27" t="n"/>
      <c r="P6609" s="27" t="n"/>
      <c r="Q6609" s="27" t="n"/>
      <c r="R6609" s="27" t="n"/>
      <c r="S6609" s="27" t="n"/>
      <c r="T6609" s="27" t="n"/>
    </row>
    <row r="6610" ht="13.8" customFormat="1" customHeight="1" s="70">
      <c r="M6610" s="27" t="n"/>
      <c r="N6610" s="27" t="n"/>
      <c r="O6610" s="27" t="n"/>
      <c r="P6610" s="27" t="n"/>
      <c r="Q6610" s="27" t="n"/>
      <c r="R6610" s="27" t="n"/>
      <c r="S6610" s="27" t="n"/>
      <c r="T6610" s="27" t="n"/>
    </row>
    <row r="6611" ht="13.8" customFormat="1" customHeight="1" s="70">
      <c r="M6611" s="27" t="n"/>
      <c r="N6611" s="27" t="n"/>
      <c r="O6611" s="27" t="n"/>
      <c r="P6611" s="27" t="n"/>
      <c r="Q6611" s="27" t="n"/>
      <c r="R6611" s="27" t="n"/>
      <c r="S6611" s="27" t="n"/>
      <c r="T6611" s="27" t="n"/>
    </row>
    <row r="6612" ht="13.8" customFormat="1" customHeight="1" s="70">
      <c r="M6612" s="27" t="n"/>
      <c r="N6612" s="27" t="n"/>
      <c r="O6612" s="27" t="n"/>
      <c r="P6612" s="27" t="n"/>
      <c r="Q6612" s="27" t="n"/>
      <c r="R6612" s="27" t="n"/>
      <c r="S6612" s="27" t="n"/>
      <c r="T6612" s="27" t="n"/>
    </row>
    <row r="6613" ht="13.8" customFormat="1" customHeight="1" s="70">
      <c r="M6613" s="27" t="n"/>
      <c r="N6613" s="27" t="n"/>
      <c r="O6613" s="27" t="n"/>
      <c r="P6613" s="27" t="n"/>
      <c r="Q6613" s="27" t="n"/>
      <c r="R6613" s="27" t="n"/>
      <c r="S6613" s="27" t="n"/>
      <c r="T6613" s="27" t="n"/>
    </row>
    <row r="6614" ht="13.8" customFormat="1" customHeight="1" s="70">
      <c r="M6614" s="27" t="n"/>
      <c r="N6614" s="27" t="n"/>
      <c r="O6614" s="27" t="n"/>
      <c r="P6614" s="27" t="n"/>
      <c r="Q6614" s="27" t="n"/>
      <c r="R6614" s="27" t="n"/>
      <c r="S6614" s="27" t="n"/>
      <c r="T6614" s="27" t="n"/>
    </row>
    <row r="6615" ht="13.8" customFormat="1" customHeight="1" s="70">
      <c r="M6615" s="27" t="n"/>
      <c r="N6615" s="27" t="n"/>
      <c r="O6615" s="27" t="n"/>
      <c r="P6615" s="27" t="n"/>
      <c r="Q6615" s="27" t="n"/>
      <c r="R6615" s="27" t="n"/>
      <c r="S6615" s="27" t="n"/>
      <c r="T6615" s="27" t="n"/>
    </row>
    <row r="6616" ht="13.8" customFormat="1" customHeight="1" s="70">
      <c r="M6616" s="27" t="n"/>
      <c r="N6616" s="27" t="n"/>
      <c r="O6616" s="27" t="n"/>
      <c r="P6616" s="27" t="n"/>
      <c r="Q6616" s="27" t="n"/>
      <c r="R6616" s="27" t="n"/>
      <c r="S6616" s="27" t="n"/>
      <c r="T6616" s="27" t="n"/>
    </row>
    <row r="6617" ht="13.8" customFormat="1" customHeight="1" s="70">
      <c r="M6617" s="27" t="n"/>
      <c r="N6617" s="27" t="n"/>
      <c r="O6617" s="27" t="n"/>
      <c r="P6617" s="27" t="n"/>
      <c r="Q6617" s="27" t="n"/>
      <c r="R6617" s="27" t="n"/>
      <c r="S6617" s="27" t="n"/>
      <c r="T6617" s="27" t="n"/>
    </row>
    <row r="6618" ht="13.8" customFormat="1" customHeight="1" s="70">
      <c r="M6618" s="27" t="n"/>
      <c r="N6618" s="27" t="n"/>
      <c r="O6618" s="27" t="n"/>
      <c r="P6618" s="27" t="n"/>
      <c r="Q6618" s="27" t="n"/>
      <c r="R6618" s="27" t="n"/>
      <c r="S6618" s="27" t="n"/>
      <c r="T6618" s="27" t="n"/>
    </row>
    <row r="6619" ht="13.8" customFormat="1" customHeight="1" s="70">
      <c r="M6619" s="27" t="n"/>
      <c r="N6619" s="27" t="n"/>
      <c r="O6619" s="27" t="n"/>
      <c r="P6619" s="27" t="n"/>
      <c r="Q6619" s="27" t="n"/>
      <c r="R6619" s="27" t="n"/>
      <c r="S6619" s="27" t="n"/>
      <c r="T6619" s="27" t="n"/>
    </row>
    <row r="6620" ht="13.8" customFormat="1" customHeight="1" s="70">
      <c r="M6620" s="27" t="n"/>
      <c r="N6620" s="27" t="n"/>
      <c r="O6620" s="27" t="n"/>
      <c r="P6620" s="27" t="n"/>
      <c r="Q6620" s="27" t="n"/>
      <c r="R6620" s="27" t="n"/>
      <c r="S6620" s="27" t="n"/>
      <c r="T6620" s="27" t="n"/>
    </row>
    <row r="6621" ht="13.8" customFormat="1" customHeight="1" s="70">
      <c r="M6621" s="27" t="n"/>
      <c r="N6621" s="27" t="n"/>
      <c r="O6621" s="27" t="n"/>
      <c r="P6621" s="27" t="n"/>
      <c r="Q6621" s="27" t="n"/>
      <c r="R6621" s="27" t="n"/>
      <c r="S6621" s="27" t="n"/>
      <c r="T6621" s="27" t="n"/>
    </row>
    <row r="6622" ht="13.8" customFormat="1" customHeight="1" s="70">
      <c r="M6622" s="27" t="n"/>
      <c r="N6622" s="27" t="n"/>
      <c r="O6622" s="27" t="n"/>
      <c r="P6622" s="27" t="n"/>
      <c r="Q6622" s="27" t="n"/>
      <c r="R6622" s="27" t="n"/>
      <c r="S6622" s="27" t="n"/>
      <c r="T6622" s="27" t="n"/>
    </row>
    <row r="6623" ht="13.8" customFormat="1" customHeight="1" s="70">
      <c r="M6623" s="27" t="n"/>
      <c r="N6623" s="27" t="n"/>
      <c r="O6623" s="27" t="n"/>
      <c r="P6623" s="27" t="n"/>
      <c r="Q6623" s="27" t="n"/>
      <c r="R6623" s="27" t="n"/>
      <c r="S6623" s="27" t="n"/>
      <c r="T6623" s="27" t="n"/>
    </row>
    <row r="6624" ht="13.8" customFormat="1" customHeight="1" s="70">
      <c r="M6624" s="27" t="n"/>
      <c r="N6624" s="27" t="n"/>
      <c r="O6624" s="27" t="n"/>
      <c r="P6624" s="27" t="n"/>
      <c r="Q6624" s="27" t="n"/>
      <c r="R6624" s="27" t="n"/>
      <c r="S6624" s="27" t="n"/>
      <c r="T6624" s="27" t="n"/>
    </row>
    <row r="6625" ht="13.8" customFormat="1" customHeight="1" s="70">
      <c r="M6625" s="27" t="n"/>
      <c r="N6625" s="27" t="n"/>
      <c r="O6625" s="27" t="n"/>
      <c r="P6625" s="27" t="n"/>
      <c r="Q6625" s="27" t="n"/>
      <c r="R6625" s="27" t="n"/>
      <c r="S6625" s="27" t="n"/>
      <c r="T6625" s="27" t="n"/>
    </row>
    <row r="6626" ht="13.8" customFormat="1" customHeight="1" s="70">
      <c r="M6626" s="27" t="n"/>
      <c r="N6626" s="27" t="n"/>
      <c r="O6626" s="27" t="n"/>
      <c r="P6626" s="27" t="n"/>
      <c r="Q6626" s="27" t="n"/>
      <c r="R6626" s="27" t="n"/>
      <c r="S6626" s="27" t="n"/>
      <c r="T6626" s="27" t="n"/>
    </row>
    <row r="6627" ht="13.8" customFormat="1" customHeight="1" s="70">
      <c r="M6627" s="27" t="n"/>
      <c r="N6627" s="27" t="n"/>
      <c r="O6627" s="27" t="n"/>
      <c r="P6627" s="27" t="n"/>
      <c r="Q6627" s="27" t="n"/>
      <c r="R6627" s="27" t="n"/>
      <c r="S6627" s="27" t="n"/>
      <c r="T6627" s="27" t="n"/>
    </row>
    <row r="6628" ht="13.8" customFormat="1" customHeight="1" s="70">
      <c r="M6628" s="27" t="n"/>
      <c r="N6628" s="27" t="n"/>
      <c r="O6628" s="27" t="n"/>
      <c r="P6628" s="27" t="n"/>
      <c r="Q6628" s="27" t="n"/>
      <c r="R6628" s="27" t="n"/>
      <c r="S6628" s="27" t="n"/>
      <c r="T6628" s="27" t="n"/>
    </row>
    <row r="6629" ht="13.8" customFormat="1" customHeight="1" s="70">
      <c r="M6629" s="27" t="n"/>
      <c r="N6629" s="27" t="n"/>
      <c r="O6629" s="27" t="n"/>
      <c r="P6629" s="27" t="n"/>
      <c r="Q6629" s="27" t="n"/>
      <c r="R6629" s="27" t="n"/>
      <c r="S6629" s="27" t="n"/>
      <c r="T6629" s="27" t="n"/>
    </row>
    <row r="6630" ht="13.8" customFormat="1" customHeight="1" s="70">
      <c r="M6630" s="27" t="n"/>
      <c r="N6630" s="27" t="n"/>
      <c r="O6630" s="27" t="n"/>
      <c r="P6630" s="27" t="n"/>
      <c r="Q6630" s="27" t="n"/>
      <c r="R6630" s="27" t="n"/>
      <c r="S6630" s="27" t="n"/>
      <c r="T6630" s="27" t="n"/>
    </row>
    <row r="6631" ht="13.8" customFormat="1" customHeight="1" s="70">
      <c r="M6631" s="27" t="n"/>
      <c r="N6631" s="27" t="n"/>
      <c r="O6631" s="27" t="n"/>
      <c r="P6631" s="27" t="n"/>
      <c r="Q6631" s="27" t="n"/>
      <c r="R6631" s="27" t="n"/>
      <c r="S6631" s="27" t="n"/>
      <c r="T6631" s="27" t="n"/>
    </row>
    <row r="6632" ht="13.8" customFormat="1" customHeight="1" s="70">
      <c r="M6632" s="27" t="n"/>
      <c r="N6632" s="27" t="n"/>
      <c r="O6632" s="27" t="n"/>
      <c r="P6632" s="27" t="n"/>
      <c r="Q6632" s="27" t="n"/>
      <c r="R6632" s="27" t="n"/>
      <c r="S6632" s="27" t="n"/>
      <c r="T6632" s="27" t="n"/>
    </row>
    <row r="6633" ht="13.8" customFormat="1" customHeight="1" s="70">
      <c r="M6633" s="27" t="n"/>
      <c r="N6633" s="27" t="n"/>
      <c r="O6633" s="27" t="n"/>
      <c r="P6633" s="27" t="n"/>
      <c r="Q6633" s="27" t="n"/>
      <c r="R6633" s="27" t="n"/>
      <c r="S6633" s="27" t="n"/>
      <c r="T6633" s="27" t="n"/>
    </row>
    <row r="6634" ht="13.8" customFormat="1" customHeight="1" s="70">
      <c r="M6634" s="27" t="n"/>
      <c r="N6634" s="27" t="n"/>
      <c r="O6634" s="27" t="n"/>
      <c r="P6634" s="27" t="n"/>
      <c r="Q6634" s="27" t="n"/>
      <c r="R6634" s="27" t="n"/>
      <c r="S6634" s="27" t="n"/>
      <c r="T6634" s="27" t="n"/>
    </row>
    <row r="6635" ht="13.8" customFormat="1" customHeight="1" s="70">
      <c r="M6635" s="27" t="n"/>
      <c r="N6635" s="27" t="n"/>
      <c r="O6635" s="27" t="n"/>
      <c r="P6635" s="27" t="n"/>
      <c r="Q6635" s="27" t="n"/>
      <c r="R6635" s="27" t="n"/>
      <c r="S6635" s="27" t="n"/>
      <c r="T6635" s="27" t="n"/>
    </row>
    <row r="6636" ht="13.8" customFormat="1" customHeight="1" s="70">
      <c r="M6636" s="27" t="n"/>
      <c r="N6636" s="27" t="n"/>
      <c r="O6636" s="27" t="n"/>
      <c r="P6636" s="27" t="n"/>
      <c r="Q6636" s="27" t="n"/>
      <c r="R6636" s="27" t="n"/>
      <c r="S6636" s="27" t="n"/>
      <c r="T6636" s="27" t="n"/>
    </row>
    <row r="6637" ht="13.8" customFormat="1" customHeight="1" s="70">
      <c r="M6637" s="27" t="n"/>
      <c r="N6637" s="27" t="n"/>
      <c r="O6637" s="27" t="n"/>
      <c r="P6637" s="27" t="n"/>
      <c r="Q6637" s="27" t="n"/>
      <c r="R6637" s="27" t="n"/>
      <c r="S6637" s="27" t="n"/>
      <c r="T6637" s="27" t="n"/>
    </row>
    <row r="6638" ht="13.8" customFormat="1" customHeight="1" s="70">
      <c r="M6638" s="27" t="n"/>
      <c r="N6638" s="27" t="n"/>
      <c r="O6638" s="27" t="n"/>
      <c r="P6638" s="27" t="n"/>
      <c r="Q6638" s="27" t="n"/>
      <c r="R6638" s="27" t="n"/>
      <c r="S6638" s="27" t="n"/>
      <c r="T6638" s="27" t="n"/>
    </row>
    <row r="6639" ht="13.8" customFormat="1" customHeight="1" s="70">
      <c r="M6639" s="27" t="n"/>
      <c r="N6639" s="27" t="n"/>
      <c r="O6639" s="27" t="n"/>
      <c r="P6639" s="27" t="n"/>
      <c r="Q6639" s="27" t="n"/>
      <c r="R6639" s="27" t="n"/>
      <c r="S6639" s="27" t="n"/>
      <c r="T6639" s="27" t="n"/>
    </row>
    <row r="6640" ht="13.8" customFormat="1" customHeight="1" s="70">
      <c r="M6640" s="27" t="n"/>
      <c r="N6640" s="27" t="n"/>
      <c r="O6640" s="27" t="n"/>
      <c r="P6640" s="27" t="n"/>
      <c r="Q6640" s="27" t="n"/>
      <c r="R6640" s="27" t="n"/>
      <c r="S6640" s="27" t="n"/>
      <c r="T6640" s="27" t="n"/>
    </row>
    <row r="6641" ht="13.8" customFormat="1" customHeight="1" s="70">
      <c r="M6641" s="27" t="n"/>
      <c r="N6641" s="27" t="n"/>
      <c r="O6641" s="27" t="n"/>
      <c r="P6641" s="27" t="n"/>
      <c r="Q6641" s="27" t="n"/>
      <c r="R6641" s="27" t="n"/>
      <c r="S6641" s="27" t="n"/>
      <c r="T6641" s="27" t="n"/>
    </row>
    <row r="6642" ht="13.8" customFormat="1" customHeight="1" s="70">
      <c r="M6642" s="27" t="n"/>
      <c r="N6642" s="27" t="n"/>
      <c r="O6642" s="27" t="n"/>
      <c r="P6642" s="27" t="n"/>
      <c r="Q6642" s="27" t="n"/>
      <c r="R6642" s="27" t="n"/>
      <c r="S6642" s="27" t="n"/>
      <c r="T6642" s="27" t="n"/>
    </row>
    <row r="6643" ht="13.8" customFormat="1" customHeight="1" s="70">
      <c r="M6643" s="27" t="n"/>
      <c r="N6643" s="27" t="n"/>
      <c r="O6643" s="27" t="n"/>
      <c r="P6643" s="27" t="n"/>
      <c r="Q6643" s="27" t="n"/>
      <c r="R6643" s="27" t="n"/>
      <c r="S6643" s="27" t="n"/>
      <c r="T6643" s="27" t="n"/>
    </row>
    <row r="6644" ht="13.8" customFormat="1" customHeight="1" s="70">
      <c r="M6644" s="27" t="n"/>
      <c r="N6644" s="27" t="n"/>
      <c r="O6644" s="27" t="n"/>
      <c r="P6644" s="27" t="n"/>
      <c r="Q6644" s="27" t="n"/>
      <c r="R6644" s="27" t="n"/>
      <c r="S6644" s="27" t="n"/>
      <c r="T6644" s="27" t="n"/>
    </row>
    <row r="6645" ht="13.8" customFormat="1" customHeight="1" s="70">
      <c r="M6645" s="27" t="n"/>
      <c r="N6645" s="27" t="n"/>
      <c r="O6645" s="27" t="n"/>
      <c r="P6645" s="27" t="n"/>
      <c r="Q6645" s="27" t="n"/>
      <c r="R6645" s="27" t="n"/>
      <c r="S6645" s="27" t="n"/>
      <c r="T6645" s="27" t="n"/>
    </row>
    <row r="6646" ht="13.8" customFormat="1" customHeight="1" s="70">
      <c r="M6646" s="27" t="n"/>
      <c r="N6646" s="27" t="n"/>
      <c r="O6646" s="27" t="n"/>
      <c r="P6646" s="27" t="n"/>
      <c r="Q6646" s="27" t="n"/>
      <c r="R6646" s="27" t="n"/>
      <c r="S6646" s="27" t="n"/>
      <c r="T6646" s="27" t="n"/>
    </row>
    <row r="6647" ht="13.8" customFormat="1" customHeight="1" s="70">
      <c r="M6647" s="27" t="n"/>
      <c r="N6647" s="27" t="n"/>
      <c r="O6647" s="27" t="n"/>
      <c r="P6647" s="27" t="n"/>
      <c r="Q6647" s="27" t="n"/>
      <c r="R6647" s="27" t="n"/>
      <c r="S6647" s="27" t="n"/>
      <c r="T6647" s="27" t="n"/>
    </row>
    <row r="6648" ht="13.8" customFormat="1" customHeight="1" s="70">
      <c r="M6648" s="27" t="n"/>
      <c r="N6648" s="27" t="n"/>
      <c r="O6648" s="27" t="n"/>
      <c r="P6648" s="27" t="n"/>
      <c r="Q6648" s="27" t="n"/>
      <c r="R6648" s="27" t="n"/>
      <c r="S6648" s="27" t="n"/>
      <c r="T6648" s="27" t="n"/>
    </row>
    <row r="6649" ht="13.8" customFormat="1" customHeight="1" s="70">
      <c r="M6649" s="27" t="n"/>
      <c r="N6649" s="27" t="n"/>
      <c r="O6649" s="27" t="n"/>
      <c r="P6649" s="27" t="n"/>
      <c r="Q6649" s="27" t="n"/>
      <c r="R6649" s="27" t="n"/>
      <c r="S6649" s="27" t="n"/>
      <c r="T6649" s="27" t="n"/>
    </row>
    <row r="6650" ht="13.8" customFormat="1" customHeight="1" s="70">
      <c r="M6650" s="27" t="n"/>
      <c r="N6650" s="27" t="n"/>
      <c r="O6650" s="27" t="n"/>
      <c r="P6650" s="27" t="n"/>
      <c r="Q6650" s="27" t="n"/>
      <c r="R6650" s="27" t="n"/>
      <c r="S6650" s="27" t="n"/>
      <c r="T6650" s="27" t="n"/>
    </row>
    <row r="6651" ht="13.8" customFormat="1" customHeight="1" s="70">
      <c r="M6651" s="27" t="n"/>
      <c r="N6651" s="27" t="n"/>
      <c r="O6651" s="27" t="n"/>
      <c r="P6651" s="27" t="n"/>
      <c r="Q6651" s="27" t="n"/>
      <c r="R6651" s="27" t="n"/>
      <c r="S6651" s="27" t="n"/>
      <c r="T6651" s="27" t="n"/>
    </row>
    <row r="6652" ht="13.8" customFormat="1" customHeight="1" s="70">
      <c r="M6652" s="27" t="n"/>
      <c r="N6652" s="27" t="n"/>
      <c r="O6652" s="27" t="n"/>
      <c r="P6652" s="27" t="n"/>
      <c r="Q6652" s="27" t="n"/>
      <c r="R6652" s="27" t="n"/>
      <c r="S6652" s="27" t="n"/>
      <c r="T6652" s="27" t="n"/>
    </row>
    <row r="6653" ht="13.8" customFormat="1" customHeight="1" s="70">
      <c r="M6653" s="27" t="n"/>
      <c r="N6653" s="27" t="n"/>
      <c r="O6653" s="27" t="n"/>
      <c r="P6653" s="27" t="n"/>
      <c r="Q6653" s="27" t="n"/>
      <c r="R6653" s="27" t="n"/>
      <c r="S6653" s="27" t="n"/>
      <c r="T6653" s="27" t="n"/>
    </row>
    <row r="6654" ht="13.8" customFormat="1" customHeight="1" s="70">
      <c r="M6654" s="27" t="n"/>
      <c r="N6654" s="27" t="n"/>
      <c r="O6654" s="27" t="n"/>
      <c r="P6654" s="27" t="n"/>
      <c r="Q6654" s="27" t="n"/>
      <c r="R6654" s="27" t="n"/>
      <c r="S6654" s="27" t="n"/>
      <c r="T6654" s="27" t="n"/>
    </row>
    <row r="6655" ht="13.8" customFormat="1" customHeight="1" s="70">
      <c r="M6655" s="27" t="n"/>
      <c r="N6655" s="27" t="n"/>
      <c r="O6655" s="27" t="n"/>
      <c r="P6655" s="27" t="n"/>
      <c r="Q6655" s="27" t="n"/>
      <c r="R6655" s="27" t="n"/>
      <c r="S6655" s="27" t="n"/>
      <c r="T6655" s="27" t="n"/>
    </row>
    <row r="6656" ht="13.8" customFormat="1" customHeight="1" s="70">
      <c r="M6656" s="27" t="n"/>
      <c r="N6656" s="27" t="n"/>
      <c r="O6656" s="27" t="n"/>
      <c r="P6656" s="27" t="n"/>
      <c r="Q6656" s="27" t="n"/>
      <c r="R6656" s="27" t="n"/>
      <c r="S6656" s="27" t="n"/>
      <c r="T6656" s="27" t="n"/>
    </row>
    <row r="6657" ht="13.8" customFormat="1" customHeight="1" s="70">
      <c r="M6657" s="27" t="n"/>
      <c r="N6657" s="27" t="n"/>
      <c r="O6657" s="27" t="n"/>
      <c r="P6657" s="27" t="n"/>
      <c r="Q6657" s="27" t="n"/>
      <c r="R6657" s="27" t="n"/>
      <c r="S6657" s="27" t="n"/>
      <c r="T6657" s="27" t="n"/>
    </row>
    <row r="6658" ht="13.8" customFormat="1" customHeight="1" s="70">
      <c r="M6658" s="27" t="n"/>
      <c r="N6658" s="27" t="n"/>
      <c r="O6658" s="27" t="n"/>
      <c r="P6658" s="27" t="n"/>
      <c r="Q6658" s="27" t="n"/>
      <c r="R6658" s="27" t="n"/>
      <c r="S6658" s="27" t="n"/>
      <c r="T6658" s="27" t="n"/>
    </row>
    <row r="6659" ht="13.8" customFormat="1" customHeight="1" s="70">
      <c r="M6659" s="27" t="n"/>
      <c r="N6659" s="27" t="n"/>
      <c r="O6659" s="27" t="n"/>
      <c r="P6659" s="27" t="n"/>
      <c r="Q6659" s="27" t="n"/>
      <c r="R6659" s="27" t="n"/>
      <c r="S6659" s="27" t="n"/>
      <c r="T6659" s="27" t="n"/>
    </row>
    <row r="6660" ht="13.8" customFormat="1" customHeight="1" s="70">
      <c r="M6660" s="27" t="n"/>
      <c r="N6660" s="27" t="n"/>
      <c r="O6660" s="27" t="n"/>
      <c r="P6660" s="27" t="n"/>
      <c r="Q6660" s="27" t="n"/>
      <c r="R6660" s="27" t="n"/>
      <c r="S6660" s="27" t="n"/>
      <c r="T6660" s="27" t="n"/>
    </row>
    <row r="6661" ht="13.8" customFormat="1" customHeight="1" s="70">
      <c r="M6661" s="27" t="n"/>
      <c r="N6661" s="27" t="n"/>
      <c r="O6661" s="27" t="n"/>
      <c r="P6661" s="27" t="n"/>
      <c r="Q6661" s="27" t="n"/>
      <c r="R6661" s="27" t="n"/>
      <c r="S6661" s="27" t="n"/>
      <c r="T6661" s="27" t="n"/>
    </row>
    <row r="6662" ht="13.8" customFormat="1" customHeight="1" s="70">
      <c r="M6662" s="27" t="n"/>
      <c r="N6662" s="27" t="n"/>
      <c r="O6662" s="27" t="n"/>
      <c r="P6662" s="27" t="n"/>
      <c r="Q6662" s="27" t="n"/>
      <c r="R6662" s="27" t="n"/>
      <c r="S6662" s="27" t="n"/>
      <c r="T6662" s="27" t="n"/>
    </row>
    <row r="6663" ht="13.8" customFormat="1" customHeight="1" s="70">
      <c r="M6663" s="27" t="n"/>
      <c r="N6663" s="27" t="n"/>
      <c r="O6663" s="27" t="n"/>
      <c r="P6663" s="27" t="n"/>
      <c r="Q6663" s="27" t="n"/>
      <c r="R6663" s="27" t="n"/>
      <c r="S6663" s="27" t="n"/>
      <c r="T6663" s="27" t="n"/>
    </row>
    <row r="6664" ht="13.8" customFormat="1" customHeight="1" s="70">
      <c r="M6664" s="27" t="n"/>
      <c r="N6664" s="27" t="n"/>
      <c r="O6664" s="27" t="n"/>
      <c r="P6664" s="27" t="n"/>
      <c r="Q6664" s="27" t="n"/>
      <c r="R6664" s="27" t="n"/>
      <c r="S6664" s="27" t="n"/>
      <c r="T6664" s="27" t="n"/>
    </row>
    <row r="6665" ht="13.8" customFormat="1" customHeight="1" s="70">
      <c r="M6665" s="27" t="n"/>
      <c r="N6665" s="27" t="n"/>
      <c r="O6665" s="27" t="n"/>
      <c r="P6665" s="27" t="n"/>
      <c r="Q6665" s="27" t="n"/>
      <c r="R6665" s="27" t="n"/>
      <c r="S6665" s="27" t="n"/>
      <c r="T6665" s="27" t="n"/>
    </row>
    <row r="6666" ht="13.8" customFormat="1" customHeight="1" s="70">
      <c r="M6666" s="27" t="n"/>
      <c r="N6666" s="27" t="n"/>
      <c r="O6666" s="27" t="n"/>
      <c r="P6666" s="27" t="n"/>
      <c r="Q6666" s="27" t="n"/>
      <c r="R6666" s="27" t="n"/>
      <c r="S6666" s="27" t="n"/>
      <c r="T6666" s="27" t="n"/>
    </row>
    <row r="6667" ht="13.8" customFormat="1" customHeight="1" s="70">
      <c r="M6667" s="27" t="n"/>
      <c r="N6667" s="27" t="n"/>
      <c r="O6667" s="27" t="n"/>
      <c r="P6667" s="27" t="n"/>
      <c r="Q6667" s="27" t="n"/>
      <c r="R6667" s="27" t="n"/>
      <c r="S6667" s="27" t="n"/>
      <c r="T6667" s="27" t="n"/>
    </row>
    <row r="6668" ht="13.8" customFormat="1" customHeight="1" s="70">
      <c r="M6668" s="27" t="n"/>
      <c r="N6668" s="27" t="n"/>
      <c r="O6668" s="27" t="n"/>
      <c r="P6668" s="27" t="n"/>
      <c r="Q6668" s="27" t="n"/>
      <c r="R6668" s="27" t="n"/>
      <c r="S6668" s="27" t="n"/>
      <c r="T6668" s="27" t="n"/>
    </row>
    <row r="6669" ht="13.8" customFormat="1" customHeight="1" s="70">
      <c r="M6669" s="27" t="n"/>
      <c r="N6669" s="27" t="n"/>
      <c r="O6669" s="27" t="n"/>
      <c r="P6669" s="27" t="n"/>
      <c r="Q6669" s="27" t="n"/>
      <c r="R6669" s="27" t="n"/>
      <c r="S6669" s="27" t="n"/>
      <c r="T6669" s="27" t="n"/>
    </row>
    <row r="6670" ht="13.8" customFormat="1" customHeight="1" s="70">
      <c r="M6670" s="27" t="n"/>
      <c r="N6670" s="27" t="n"/>
      <c r="O6670" s="27" t="n"/>
      <c r="P6670" s="27" t="n"/>
      <c r="Q6670" s="27" t="n"/>
      <c r="R6670" s="27" t="n"/>
      <c r="S6670" s="27" t="n"/>
      <c r="T6670" s="27" t="n"/>
    </row>
    <row r="6671" ht="13.8" customFormat="1" customHeight="1" s="70">
      <c r="M6671" s="27" t="n"/>
      <c r="N6671" s="27" t="n"/>
      <c r="O6671" s="27" t="n"/>
      <c r="P6671" s="27" t="n"/>
      <c r="Q6671" s="27" t="n"/>
      <c r="R6671" s="27" t="n"/>
      <c r="S6671" s="27" t="n"/>
      <c r="T6671" s="27" t="n"/>
    </row>
    <row r="6672" ht="13.8" customFormat="1" customHeight="1" s="70">
      <c r="M6672" s="27" t="n"/>
      <c r="N6672" s="27" t="n"/>
      <c r="O6672" s="27" t="n"/>
      <c r="P6672" s="27" t="n"/>
      <c r="Q6672" s="27" t="n"/>
      <c r="R6672" s="27" t="n"/>
      <c r="S6672" s="27" t="n"/>
      <c r="T6672" s="27" t="n"/>
    </row>
    <row r="6673" ht="13.8" customFormat="1" customHeight="1" s="70">
      <c r="M6673" s="27" t="n"/>
      <c r="N6673" s="27" t="n"/>
      <c r="O6673" s="27" t="n"/>
      <c r="P6673" s="27" t="n"/>
      <c r="Q6673" s="27" t="n"/>
      <c r="R6673" s="27" t="n"/>
      <c r="S6673" s="27" t="n"/>
      <c r="T6673" s="27" t="n"/>
    </row>
    <row r="6674" ht="13.8" customFormat="1" customHeight="1" s="70">
      <c r="M6674" s="27" t="n"/>
      <c r="N6674" s="27" t="n"/>
      <c r="O6674" s="27" t="n"/>
      <c r="P6674" s="27" t="n"/>
      <c r="Q6674" s="27" t="n"/>
      <c r="R6674" s="27" t="n"/>
      <c r="S6674" s="27" t="n"/>
      <c r="T6674" s="27" t="n"/>
    </row>
    <row r="6675" ht="13.8" customFormat="1" customHeight="1" s="70">
      <c r="M6675" s="27" t="n"/>
      <c r="N6675" s="27" t="n"/>
      <c r="O6675" s="27" t="n"/>
      <c r="P6675" s="27" t="n"/>
      <c r="Q6675" s="27" t="n"/>
      <c r="R6675" s="27" t="n"/>
      <c r="S6675" s="27" t="n"/>
      <c r="T6675" s="27" t="n"/>
    </row>
    <row r="6676" ht="13.8" customFormat="1" customHeight="1" s="70">
      <c r="M6676" s="27" t="n"/>
      <c r="N6676" s="27" t="n"/>
      <c r="O6676" s="27" t="n"/>
      <c r="P6676" s="27" t="n"/>
      <c r="Q6676" s="27" t="n"/>
      <c r="R6676" s="27" t="n"/>
      <c r="S6676" s="27" t="n"/>
      <c r="T6676" s="27" t="n"/>
    </row>
    <row r="6677" ht="13.8" customFormat="1" customHeight="1" s="70">
      <c r="M6677" s="27" t="n"/>
      <c r="N6677" s="27" t="n"/>
      <c r="O6677" s="27" t="n"/>
      <c r="P6677" s="27" t="n"/>
      <c r="Q6677" s="27" t="n"/>
      <c r="R6677" s="27" t="n"/>
      <c r="S6677" s="27" t="n"/>
      <c r="T6677" s="27" t="n"/>
    </row>
    <row r="6678" ht="13.8" customFormat="1" customHeight="1" s="70">
      <c r="M6678" s="27" t="n"/>
      <c r="N6678" s="27" t="n"/>
      <c r="O6678" s="27" t="n"/>
      <c r="P6678" s="27" t="n"/>
      <c r="Q6678" s="27" t="n"/>
      <c r="R6678" s="27" t="n"/>
      <c r="S6678" s="27" t="n"/>
      <c r="T6678" s="27" t="n"/>
    </row>
    <row r="6679" ht="13.8" customFormat="1" customHeight="1" s="70">
      <c r="M6679" s="27" t="n"/>
      <c r="N6679" s="27" t="n"/>
      <c r="O6679" s="27" t="n"/>
      <c r="P6679" s="27" t="n"/>
      <c r="Q6679" s="27" t="n"/>
      <c r="R6679" s="27" t="n"/>
      <c r="S6679" s="27" t="n"/>
      <c r="T6679" s="27" t="n"/>
    </row>
    <row r="6680" ht="13.8" customFormat="1" customHeight="1" s="70">
      <c r="M6680" s="27" t="n"/>
      <c r="N6680" s="27" t="n"/>
      <c r="O6680" s="27" t="n"/>
      <c r="P6680" s="27" t="n"/>
      <c r="Q6680" s="27" t="n"/>
      <c r="R6680" s="27" t="n"/>
      <c r="S6680" s="27" t="n"/>
      <c r="T6680" s="27" t="n"/>
    </row>
    <row r="6681" ht="13.8" customFormat="1" customHeight="1" s="70">
      <c r="M6681" s="27" t="n"/>
      <c r="N6681" s="27" t="n"/>
      <c r="O6681" s="27" t="n"/>
      <c r="P6681" s="27" t="n"/>
      <c r="Q6681" s="27" t="n"/>
      <c r="R6681" s="27" t="n"/>
      <c r="S6681" s="27" t="n"/>
      <c r="T6681" s="27" t="n"/>
    </row>
    <row r="6682" ht="13.8" customFormat="1" customHeight="1" s="70">
      <c r="M6682" s="27" t="n"/>
      <c r="N6682" s="27" t="n"/>
      <c r="O6682" s="27" t="n"/>
      <c r="P6682" s="27" t="n"/>
      <c r="Q6682" s="27" t="n"/>
      <c r="R6682" s="27" t="n"/>
      <c r="S6682" s="27" t="n"/>
      <c r="T6682" s="27" t="n"/>
    </row>
    <row r="6683" ht="13.8" customFormat="1" customHeight="1" s="70">
      <c r="M6683" s="27" t="n"/>
      <c r="N6683" s="27" t="n"/>
      <c r="O6683" s="27" t="n"/>
      <c r="P6683" s="27" t="n"/>
      <c r="Q6683" s="27" t="n"/>
      <c r="R6683" s="27" t="n"/>
      <c r="S6683" s="27" t="n"/>
      <c r="T6683" s="27" t="n"/>
    </row>
    <row r="6684" ht="13.8" customFormat="1" customHeight="1" s="70">
      <c r="M6684" s="27" t="n"/>
      <c r="N6684" s="27" t="n"/>
      <c r="O6684" s="27" t="n"/>
      <c r="P6684" s="27" t="n"/>
      <c r="Q6684" s="27" t="n"/>
      <c r="R6684" s="27" t="n"/>
      <c r="S6684" s="27" t="n"/>
      <c r="T6684" s="27" t="n"/>
    </row>
    <row r="6685" ht="13.8" customFormat="1" customHeight="1" s="70">
      <c r="M6685" s="27" t="n"/>
      <c r="N6685" s="27" t="n"/>
      <c r="O6685" s="27" t="n"/>
      <c r="P6685" s="27" t="n"/>
      <c r="Q6685" s="27" t="n"/>
      <c r="R6685" s="27" t="n"/>
      <c r="S6685" s="27" t="n"/>
      <c r="T6685" s="27" t="n"/>
    </row>
    <row r="6686" ht="13.8" customFormat="1" customHeight="1" s="70">
      <c r="M6686" s="27" t="n"/>
      <c r="N6686" s="27" t="n"/>
      <c r="O6686" s="27" t="n"/>
      <c r="P6686" s="27" t="n"/>
      <c r="Q6686" s="27" t="n"/>
      <c r="R6686" s="27" t="n"/>
      <c r="S6686" s="27" t="n"/>
      <c r="T6686" s="27" t="n"/>
    </row>
    <row r="6687" ht="13.8" customFormat="1" customHeight="1" s="70">
      <c r="M6687" s="27" t="n"/>
      <c r="N6687" s="27" t="n"/>
      <c r="O6687" s="27" t="n"/>
      <c r="P6687" s="27" t="n"/>
      <c r="Q6687" s="27" t="n"/>
      <c r="R6687" s="27" t="n"/>
      <c r="S6687" s="27" t="n"/>
      <c r="T6687" s="27" t="n"/>
    </row>
    <row r="6688" ht="13.8" customFormat="1" customHeight="1" s="70">
      <c r="M6688" s="27" t="n"/>
      <c r="N6688" s="27" t="n"/>
      <c r="O6688" s="27" t="n"/>
      <c r="P6688" s="27" t="n"/>
      <c r="Q6688" s="27" t="n"/>
      <c r="R6688" s="27" t="n"/>
      <c r="S6688" s="27" t="n"/>
      <c r="T6688" s="27" t="n"/>
    </row>
    <row r="6689" ht="13.8" customFormat="1" customHeight="1" s="70">
      <c r="M6689" s="27" t="n"/>
      <c r="N6689" s="27" t="n"/>
      <c r="O6689" s="27" t="n"/>
      <c r="P6689" s="27" t="n"/>
      <c r="Q6689" s="27" t="n"/>
      <c r="R6689" s="27" t="n"/>
      <c r="S6689" s="27" t="n"/>
      <c r="T6689" s="27" t="n"/>
    </row>
    <row r="6690" ht="13.8" customFormat="1" customHeight="1" s="70">
      <c r="M6690" s="27" t="n"/>
      <c r="N6690" s="27" t="n"/>
      <c r="O6690" s="27" t="n"/>
      <c r="P6690" s="27" t="n"/>
      <c r="Q6690" s="27" t="n"/>
      <c r="R6690" s="27" t="n"/>
      <c r="S6690" s="27" t="n"/>
      <c r="T6690" s="27" t="n"/>
    </row>
    <row r="6691" ht="13.8" customFormat="1" customHeight="1" s="70">
      <c r="M6691" s="27" t="n"/>
      <c r="N6691" s="27" t="n"/>
      <c r="O6691" s="27" t="n"/>
      <c r="P6691" s="27" t="n"/>
      <c r="Q6691" s="27" t="n"/>
      <c r="R6691" s="27" t="n"/>
      <c r="S6691" s="27" t="n"/>
      <c r="T6691" s="27" t="n"/>
    </row>
    <row r="6692" ht="13.8" customFormat="1" customHeight="1" s="70">
      <c r="M6692" s="27" t="n"/>
      <c r="N6692" s="27" t="n"/>
      <c r="O6692" s="27" t="n"/>
      <c r="P6692" s="27" t="n"/>
      <c r="Q6692" s="27" t="n"/>
      <c r="R6692" s="27" t="n"/>
      <c r="S6692" s="27" t="n"/>
      <c r="T6692" s="27" t="n"/>
    </row>
    <row r="6693" ht="13.8" customFormat="1" customHeight="1" s="70">
      <c r="M6693" s="27" t="n"/>
      <c r="N6693" s="27" t="n"/>
      <c r="O6693" s="27" t="n"/>
      <c r="P6693" s="27" t="n"/>
      <c r="Q6693" s="27" t="n"/>
      <c r="R6693" s="27" t="n"/>
      <c r="S6693" s="27" t="n"/>
      <c r="T6693" s="27" t="n"/>
    </row>
    <row r="6694" ht="13.8" customFormat="1" customHeight="1" s="70">
      <c r="M6694" s="27" t="n"/>
      <c r="N6694" s="27" t="n"/>
      <c r="O6694" s="27" t="n"/>
      <c r="P6694" s="27" t="n"/>
      <c r="Q6694" s="27" t="n"/>
      <c r="R6694" s="27" t="n"/>
      <c r="S6694" s="27" t="n"/>
      <c r="T6694" s="27" t="n"/>
    </row>
    <row r="6695" ht="13.8" customFormat="1" customHeight="1" s="70">
      <c r="M6695" s="27" t="n"/>
      <c r="N6695" s="27" t="n"/>
      <c r="O6695" s="27" t="n"/>
      <c r="P6695" s="27" t="n"/>
      <c r="Q6695" s="27" t="n"/>
      <c r="R6695" s="27" t="n"/>
      <c r="S6695" s="27" t="n"/>
      <c r="T6695" s="27" t="n"/>
    </row>
    <row r="6696" ht="13.8" customFormat="1" customHeight="1" s="70">
      <c r="M6696" s="27" t="n"/>
      <c r="N6696" s="27" t="n"/>
      <c r="O6696" s="27" t="n"/>
      <c r="P6696" s="27" t="n"/>
      <c r="Q6696" s="27" t="n"/>
      <c r="R6696" s="27" t="n"/>
      <c r="S6696" s="27" t="n"/>
      <c r="T6696" s="27" t="n"/>
    </row>
    <row r="6697" ht="13.8" customFormat="1" customHeight="1" s="70">
      <c r="M6697" s="27" t="n"/>
      <c r="N6697" s="27" t="n"/>
      <c r="O6697" s="27" t="n"/>
      <c r="P6697" s="27" t="n"/>
      <c r="Q6697" s="27" t="n"/>
      <c r="R6697" s="27" t="n"/>
      <c r="S6697" s="27" t="n"/>
      <c r="T6697" s="27" t="n"/>
    </row>
    <row r="6698" ht="13.8" customFormat="1" customHeight="1" s="70">
      <c r="M6698" s="27" t="n"/>
      <c r="N6698" s="27" t="n"/>
      <c r="O6698" s="27" t="n"/>
      <c r="P6698" s="27" t="n"/>
      <c r="Q6698" s="27" t="n"/>
      <c r="R6698" s="27" t="n"/>
      <c r="S6698" s="27" t="n"/>
      <c r="T6698" s="27" t="n"/>
    </row>
    <row r="6699" ht="13.8" customFormat="1" customHeight="1" s="70">
      <c r="M6699" s="27" t="n"/>
      <c r="N6699" s="27" t="n"/>
      <c r="O6699" s="27" t="n"/>
      <c r="P6699" s="27" t="n"/>
      <c r="Q6699" s="27" t="n"/>
      <c r="R6699" s="27" t="n"/>
      <c r="S6699" s="27" t="n"/>
      <c r="T6699" s="27" t="n"/>
    </row>
    <row r="6700" ht="13.8" customFormat="1" customHeight="1" s="70">
      <c r="M6700" s="27" t="n"/>
      <c r="N6700" s="27" t="n"/>
      <c r="O6700" s="27" t="n"/>
      <c r="P6700" s="27" t="n"/>
      <c r="Q6700" s="27" t="n"/>
      <c r="R6700" s="27" t="n"/>
      <c r="S6700" s="27" t="n"/>
      <c r="T6700" s="27" t="n"/>
    </row>
    <row r="6701" ht="13.8" customFormat="1" customHeight="1" s="70">
      <c r="M6701" s="27" t="n"/>
      <c r="N6701" s="27" t="n"/>
      <c r="O6701" s="27" t="n"/>
      <c r="P6701" s="27" t="n"/>
      <c r="Q6701" s="27" t="n"/>
      <c r="R6701" s="27" t="n"/>
      <c r="S6701" s="27" t="n"/>
      <c r="T6701" s="27" t="n"/>
    </row>
    <row r="6702" ht="13.8" customFormat="1" customHeight="1" s="70">
      <c r="M6702" s="27" t="n"/>
      <c r="N6702" s="27" t="n"/>
      <c r="O6702" s="27" t="n"/>
      <c r="P6702" s="27" t="n"/>
      <c r="Q6702" s="27" t="n"/>
      <c r="R6702" s="27" t="n"/>
      <c r="S6702" s="27" t="n"/>
      <c r="T6702" s="27" t="n"/>
    </row>
    <row r="6703" ht="13.8" customFormat="1" customHeight="1" s="70">
      <c r="M6703" s="27" t="n"/>
      <c r="N6703" s="27" t="n"/>
      <c r="O6703" s="27" t="n"/>
      <c r="P6703" s="27" t="n"/>
      <c r="Q6703" s="27" t="n"/>
      <c r="R6703" s="27" t="n"/>
      <c r="S6703" s="27" t="n"/>
      <c r="T6703" s="27" t="n"/>
    </row>
    <row r="6704" ht="13.8" customFormat="1" customHeight="1" s="70">
      <c r="M6704" s="27" t="n"/>
      <c r="N6704" s="27" t="n"/>
      <c r="O6704" s="27" t="n"/>
      <c r="P6704" s="27" t="n"/>
      <c r="Q6704" s="27" t="n"/>
      <c r="R6704" s="27" t="n"/>
      <c r="S6704" s="27" t="n"/>
      <c r="T6704" s="27" t="n"/>
    </row>
    <row r="6705" ht="13.8" customFormat="1" customHeight="1" s="70">
      <c r="M6705" s="27" t="n"/>
      <c r="N6705" s="27" t="n"/>
      <c r="O6705" s="27" t="n"/>
      <c r="P6705" s="27" t="n"/>
      <c r="Q6705" s="27" t="n"/>
      <c r="R6705" s="27" t="n"/>
      <c r="S6705" s="27" t="n"/>
      <c r="T6705" s="27" t="n"/>
    </row>
    <row r="6706" ht="13.8" customFormat="1" customHeight="1" s="70">
      <c r="M6706" s="27" t="n"/>
      <c r="N6706" s="27" t="n"/>
      <c r="O6706" s="27" t="n"/>
      <c r="P6706" s="27" t="n"/>
      <c r="Q6706" s="27" t="n"/>
      <c r="R6706" s="27" t="n"/>
      <c r="S6706" s="27" t="n"/>
      <c r="T6706" s="27" t="n"/>
    </row>
    <row r="6707" ht="13.8" customFormat="1" customHeight="1" s="70">
      <c r="M6707" s="27" t="n"/>
      <c r="N6707" s="27" t="n"/>
      <c r="O6707" s="27" t="n"/>
      <c r="P6707" s="27" t="n"/>
      <c r="Q6707" s="27" t="n"/>
      <c r="R6707" s="27" t="n"/>
      <c r="S6707" s="27" t="n"/>
      <c r="T6707" s="27" t="n"/>
    </row>
    <row r="6708" ht="13.8" customFormat="1" customHeight="1" s="70">
      <c r="M6708" s="27" t="n"/>
      <c r="N6708" s="27" t="n"/>
      <c r="O6708" s="27" t="n"/>
      <c r="P6708" s="27" t="n"/>
      <c r="Q6708" s="27" t="n"/>
      <c r="R6708" s="27" t="n"/>
      <c r="S6708" s="27" t="n"/>
      <c r="T6708" s="27" t="n"/>
    </row>
    <row r="6709" ht="13.8" customFormat="1" customHeight="1" s="70">
      <c r="M6709" s="27" t="n"/>
      <c r="N6709" s="27" t="n"/>
      <c r="O6709" s="27" t="n"/>
      <c r="P6709" s="27" t="n"/>
      <c r="Q6709" s="27" t="n"/>
      <c r="R6709" s="27" t="n"/>
      <c r="S6709" s="27" t="n"/>
      <c r="T6709" s="27" t="n"/>
    </row>
    <row r="6710" ht="13.8" customFormat="1" customHeight="1" s="70">
      <c r="M6710" s="27" t="n"/>
      <c r="N6710" s="27" t="n"/>
      <c r="O6710" s="27" t="n"/>
      <c r="P6710" s="27" t="n"/>
      <c r="Q6710" s="27" t="n"/>
      <c r="R6710" s="27" t="n"/>
      <c r="S6710" s="27" t="n"/>
      <c r="T6710" s="27" t="n"/>
    </row>
    <row r="6711" ht="13.8" customFormat="1" customHeight="1" s="70">
      <c r="M6711" s="27" t="n"/>
      <c r="N6711" s="27" t="n"/>
      <c r="O6711" s="27" t="n"/>
      <c r="P6711" s="27" t="n"/>
      <c r="Q6711" s="27" t="n"/>
      <c r="R6711" s="27" t="n"/>
      <c r="S6711" s="27" t="n"/>
      <c r="T6711" s="27" t="n"/>
    </row>
    <row r="6712" ht="13.8" customFormat="1" customHeight="1" s="70">
      <c r="M6712" s="27" t="n"/>
      <c r="N6712" s="27" t="n"/>
      <c r="O6712" s="27" t="n"/>
      <c r="P6712" s="27" t="n"/>
      <c r="Q6712" s="27" t="n"/>
      <c r="R6712" s="27" t="n"/>
      <c r="S6712" s="27" t="n"/>
      <c r="T6712" s="27" t="n"/>
    </row>
    <row r="6713" ht="13.8" customFormat="1" customHeight="1" s="70">
      <c r="M6713" s="27" t="n"/>
      <c r="N6713" s="27" t="n"/>
      <c r="O6713" s="27" t="n"/>
      <c r="P6713" s="27" t="n"/>
      <c r="Q6713" s="27" t="n"/>
      <c r="R6713" s="27" t="n"/>
      <c r="S6713" s="27" t="n"/>
      <c r="T6713" s="27" t="n"/>
    </row>
    <row r="6714" ht="13.8" customFormat="1" customHeight="1" s="70">
      <c r="M6714" s="27" t="n"/>
      <c r="N6714" s="27" t="n"/>
      <c r="O6714" s="27" t="n"/>
      <c r="P6714" s="27" t="n"/>
      <c r="Q6714" s="27" t="n"/>
      <c r="R6714" s="27" t="n"/>
      <c r="S6714" s="27" t="n"/>
      <c r="T6714" s="27" t="n"/>
    </row>
    <row r="6715" ht="13.8" customFormat="1" customHeight="1" s="70">
      <c r="M6715" s="27" t="n"/>
      <c r="N6715" s="27" t="n"/>
      <c r="O6715" s="27" t="n"/>
      <c r="P6715" s="27" t="n"/>
      <c r="Q6715" s="27" t="n"/>
      <c r="R6715" s="27" t="n"/>
      <c r="S6715" s="27" t="n"/>
      <c r="T6715" s="27" t="n"/>
    </row>
    <row r="6716" ht="13.8" customFormat="1" customHeight="1" s="70">
      <c r="M6716" s="27" t="n"/>
      <c r="N6716" s="27" t="n"/>
      <c r="O6716" s="27" t="n"/>
      <c r="P6716" s="27" t="n"/>
      <c r="Q6716" s="27" t="n"/>
      <c r="R6716" s="27" t="n"/>
      <c r="S6716" s="27" t="n"/>
      <c r="T6716" s="27" t="n"/>
    </row>
    <row r="6717" ht="13.8" customFormat="1" customHeight="1" s="70">
      <c r="M6717" s="27" t="n"/>
      <c r="N6717" s="27" t="n"/>
      <c r="O6717" s="27" t="n"/>
      <c r="P6717" s="27" t="n"/>
      <c r="Q6717" s="27" t="n"/>
      <c r="R6717" s="27" t="n"/>
      <c r="S6717" s="27" t="n"/>
      <c r="T6717" s="27" t="n"/>
    </row>
    <row r="6718" ht="13.8" customFormat="1" customHeight="1" s="70">
      <c r="M6718" s="27" t="n"/>
      <c r="N6718" s="27" t="n"/>
      <c r="O6718" s="27" t="n"/>
      <c r="P6718" s="27" t="n"/>
      <c r="Q6718" s="27" t="n"/>
      <c r="R6718" s="27" t="n"/>
      <c r="S6718" s="27" t="n"/>
      <c r="T6718" s="27" t="n"/>
    </row>
    <row r="6719" ht="13.8" customFormat="1" customHeight="1" s="70">
      <c r="M6719" s="27" t="n"/>
      <c r="N6719" s="27" t="n"/>
      <c r="O6719" s="27" t="n"/>
      <c r="P6719" s="27" t="n"/>
      <c r="Q6719" s="27" t="n"/>
      <c r="R6719" s="27" t="n"/>
      <c r="S6719" s="27" t="n"/>
      <c r="T6719" s="27" t="n"/>
    </row>
    <row r="6720" ht="13.8" customFormat="1" customHeight="1" s="70">
      <c r="M6720" s="27" t="n"/>
      <c r="N6720" s="27" t="n"/>
      <c r="O6720" s="27" t="n"/>
      <c r="P6720" s="27" t="n"/>
      <c r="Q6720" s="27" t="n"/>
      <c r="R6720" s="27" t="n"/>
      <c r="S6720" s="27" t="n"/>
      <c r="T6720" s="27" t="n"/>
    </row>
    <row r="6721" ht="13.8" customFormat="1" customHeight="1" s="70">
      <c r="M6721" s="27" t="n"/>
      <c r="N6721" s="27" t="n"/>
      <c r="O6721" s="27" t="n"/>
      <c r="P6721" s="27" t="n"/>
      <c r="Q6721" s="27" t="n"/>
      <c r="R6721" s="27" t="n"/>
      <c r="S6721" s="27" t="n"/>
      <c r="T6721" s="27" t="n"/>
    </row>
    <row r="6722" ht="13.8" customFormat="1" customHeight="1" s="70">
      <c r="M6722" s="27" t="n"/>
      <c r="N6722" s="27" t="n"/>
      <c r="O6722" s="27" t="n"/>
      <c r="P6722" s="27" t="n"/>
      <c r="Q6722" s="27" t="n"/>
      <c r="R6722" s="27" t="n"/>
      <c r="S6722" s="27" t="n"/>
      <c r="T6722" s="27" t="n"/>
    </row>
    <row r="6723" ht="13.8" customFormat="1" customHeight="1" s="70">
      <c r="M6723" s="27" t="n"/>
      <c r="N6723" s="27" t="n"/>
      <c r="O6723" s="27" t="n"/>
      <c r="P6723" s="27" t="n"/>
      <c r="Q6723" s="27" t="n"/>
      <c r="R6723" s="27" t="n"/>
      <c r="S6723" s="27" t="n"/>
      <c r="T6723" s="27" t="n"/>
    </row>
    <row r="6724" ht="13.8" customFormat="1" customHeight="1" s="70">
      <c r="M6724" s="27" t="n"/>
      <c r="N6724" s="27" t="n"/>
      <c r="O6724" s="27" t="n"/>
      <c r="P6724" s="27" t="n"/>
      <c r="Q6724" s="27" t="n"/>
      <c r="R6724" s="27" t="n"/>
      <c r="S6724" s="27" t="n"/>
      <c r="T6724" s="27" t="n"/>
    </row>
    <row r="6725" ht="13.8" customFormat="1" customHeight="1" s="70">
      <c r="M6725" s="27" t="n"/>
      <c r="N6725" s="27" t="n"/>
      <c r="O6725" s="27" t="n"/>
      <c r="P6725" s="27" t="n"/>
      <c r="Q6725" s="27" t="n"/>
      <c r="R6725" s="27" t="n"/>
      <c r="S6725" s="27" t="n"/>
      <c r="T6725" s="27" t="n"/>
    </row>
    <row r="6726" ht="13.8" customFormat="1" customHeight="1" s="70">
      <c r="M6726" s="27" t="n"/>
      <c r="N6726" s="27" t="n"/>
      <c r="O6726" s="27" t="n"/>
      <c r="P6726" s="27" t="n"/>
      <c r="Q6726" s="27" t="n"/>
      <c r="R6726" s="27" t="n"/>
      <c r="S6726" s="27" t="n"/>
      <c r="T6726" s="27" t="n"/>
    </row>
    <row r="6727" ht="13.8" customFormat="1" customHeight="1" s="70">
      <c r="M6727" s="27" t="n"/>
      <c r="N6727" s="27" t="n"/>
      <c r="O6727" s="27" t="n"/>
      <c r="P6727" s="27" t="n"/>
      <c r="Q6727" s="27" t="n"/>
      <c r="R6727" s="27" t="n"/>
      <c r="S6727" s="27" t="n"/>
      <c r="T6727" s="27" t="n"/>
    </row>
    <row r="6728" ht="13.8" customFormat="1" customHeight="1" s="70">
      <c r="M6728" s="27" t="n"/>
      <c r="N6728" s="27" t="n"/>
      <c r="O6728" s="27" t="n"/>
      <c r="P6728" s="27" t="n"/>
      <c r="Q6728" s="27" t="n"/>
      <c r="R6728" s="27" t="n"/>
      <c r="S6728" s="27" t="n"/>
      <c r="T6728" s="27" t="n"/>
    </row>
    <row r="6729" ht="13.8" customFormat="1" customHeight="1" s="70">
      <c r="M6729" s="27" t="n"/>
      <c r="N6729" s="27" t="n"/>
      <c r="O6729" s="27" t="n"/>
      <c r="P6729" s="27" t="n"/>
      <c r="Q6729" s="27" t="n"/>
      <c r="R6729" s="27" t="n"/>
      <c r="S6729" s="27" t="n"/>
      <c r="T6729" s="27" t="n"/>
    </row>
    <row r="6730" ht="13.8" customFormat="1" customHeight="1" s="70">
      <c r="M6730" s="27" t="n"/>
      <c r="N6730" s="27" t="n"/>
      <c r="O6730" s="27" t="n"/>
      <c r="P6730" s="27" t="n"/>
      <c r="Q6730" s="27" t="n"/>
      <c r="R6730" s="27" t="n"/>
      <c r="S6730" s="27" t="n"/>
      <c r="T6730" s="27" t="n"/>
    </row>
    <row r="6731" ht="13.8" customFormat="1" customHeight="1" s="70">
      <c r="M6731" s="27" t="n"/>
      <c r="N6731" s="27" t="n"/>
      <c r="O6731" s="27" t="n"/>
      <c r="P6731" s="27" t="n"/>
      <c r="Q6731" s="27" t="n"/>
      <c r="R6731" s="27" t="n"/>
      <c r="S6731" s="27" t="n"/>
      <c r="T6731" s="27" t="n"/>
    </row>
    <row r="6732" ht="13.8" customFormat="1" customHeight="1" s="70">
      <c r="M6732" s="27" t="n"/>
      <c r="N6732" s="27" t="n"/>
      <c r="O6732" s="27" t="n"/>
      <c r="P6732" s="27" t="n"/>
      <c r="Q6732" s="27" t="n"/>
      <c r="R6732" s="27" t="n"/>
      <c r="S6732" s="27" t="n"/>
      <c r="T6732" s="27" t="n"/>
    </row>
    <row r="6733" ht="13.8" customFormat="1" customHeight="1" s="70">
      <c r="M6733" s="27" t="n"/>
      <c r="N6733" s="27" t="n"/>
      <c r="O6733" s="27" t="n"/>
      <c r="P6733" s="27" t="n"/>
      <c r="Q6733" s="27" t="n"/>
      <c r="R6733" s="27" t="n"/>
      <c r="S6733" s="27" t="n"/>
      <c r="T6733" s="27" t="n"/>
    </row>
    <row r="6734" ht="13.8" customFormat="1" customHeight="1" s="70">
      <c r="M6734" s="27" t="n"/>
      <c r="N6734" s="27" t="n"/>
      <c r="O6734" s="27" t="n"/>
      <c r="P6734" s="27" t="n"/>
      <c r="Q6734" s="27" t="n"/>
      <c r="R6734" s="27" t="n"/>
      <c r="S6734" s="27" t="n"/>
      <c r="T6734" s="27" t="n"/>
    </row>
    <row r="6735" ht="13.8" customFormat="1" customHeight="1" s="70">
      <c r="M6735" s="27" t="n"/>
      <c r="N6735" s="27" t="n"/>
      <c r="O6735" s="27" t="n"/>
      <c r="P6735" s="27" t="n"/>
      <c r="Q6735" s="27" t="n"/>
      <c r="R6735" s="27" t="n"/>
      <c r="S6735" s="27" t="n"/>
      <c r="T6735" s="27" t="n"/>
    </row>
    <row r="6736" ht="13.8" customFormat="1" customHeight="1" s="70">
      <c r="M6736" s="27" t="n"/>
      <c r="N6736" s="27" t="n"/>
      <c r="O6736" s="27" t="n"/>
      <c r="P6736" s="27" t="n"/>
      <c r="Q6736" s="27" t="n"/>
      <c r="R6736" s="27" t="n"/>
      <c r="S6736" s="27" t="n"/>
      <c r="T6736" s="27" t="n"/>
    </row>
    <row r="6737" ht="13.8" customFormat="1" customHeight="1" s="70">
      <c r="M6737" s="27" t="n"/>
      <c r="N6737" s="27" t="n"/>
      <c r="O6737" s="27" t="n"/>
      <c r="P6737" s="27" t="n"/>
      <c r="Q6737" s="27" t="n"/>
      <c r="R6737" s="27" t="n"/>
      <c r="S6737" s="27" t="n"/>
      <c r="T6737" s="27" t="n"/>
    </row>
    <row r="6738" ht="13.8" customFormat="1" customHeight="1" s="70">
      <c r="M6738" s="27" t="n"/>
      <c r="N6738" s="27" t="n"/>
      <c r="O6738" s="27" t="n"/>
      <c r="P6738" s="27" t="n"/>
      <c r="Q6738" s="27" t="n"/>
      <c r="R6738" s="27" t="n"/>
      <c r="S6738" s="27" t="n"/>
      <c r="T6738" s="27" t="n"/>
    </row>
    <row r="6739" ht="13.8" customFormat="1" customHeight="1" s="70">
      <c r="M6739" s="27" t="n"/>
      <c r="N6739" s="27" t="n"/>
      <c r="O6739" s="27" t="n"/>
      <c r="P6739" s="27" t="n"/>
      <c r="Q6739" s="27" t="n"/>
      <c r="R6739" s="27" t="n"/>
      <c r="S6739" s="27" t="n"/>
      <c r="T6739" s="27" t="n"/>
    </row>
    <row r="6740" ht="13.8" customFormat="1" customHeight="1" s="70">
      <c r="M6740" s="27" t="n"/>
      <c r="N6740" s="27" t="n"/>
      <c r="O6740" s="27" t="n"/>
      <c r="P6740" s="27" t="n"/>
      <c r="Q6740" s="27" t="n"/>
      <c r="R6740" s="27" t="n"/>
      <c r="S6740" s="27" t="n"/>
      <c r="T6740" s="27" t="n"/>
    </row>
    <row r="6741" ht="13.8" customFormat="1" customHeight="1" s="70">
      <c r="M6741" s="27" t="n"/>
      <c r="N6741" s="27" t="n"/>
      <c r="O6741" s="27" t="n"/>
      <c r="P6741" s="27" t="n"/>
      <c r="Q6741" s="27" t="n"/>
      <c r="R6741" s="27" t="n"/>
      <c r="S6741" s="27" t="n"/>
      <c r="T6741" s="27" t="n"/>
    </row>
    <row r="6742" ht="13.8" customFormat="1" customHeight="1" s="70">
      <c r="M6742" s="27" t="n"/>
      <c r="N6742" s="27" t="n"/>
      <c r="O6742" s="27" t="n"/>
      <c r="P6742" s="27" t="n"/>
      <c r="Q6742" s="27" t="n"/>
      <c r="R6742" s="27" t="n"/>
      <c r="S6742" s="27" t="n"/>
      <c r="T6742" s="27" t="n"/>
    </row>
    <row r="6743" ht="13.8" customFormat="1" customHeight="1" s="70">
      <c r="M6743" s="27" t="n"/>
      <c r="N6743" s="27" t="n"/>
      <c r="O6743" s="27" t="n"/>
      <c r="P6743" s="27" t="n"/>
      <c r="Q6743" s="27" t="n"/>
      <c r="R6743" s="27" t="n"/>
      <c r="S6743" s="27" t="n"/>
      <c r="T6743" s="27" t="n"/>
    </row>
    <row r="6744" ht="13.8" customFormat="1" customHeight="1" s="70">
      <c r="M6744" s="27" t="n"/>
      <c r="N6744" s="27" t="n"/>
      <c r="O6744" s="27" t="n"/>
      <c r="P6744" s="27" t="n"/>
      <c r="Q6744" s="27" t="n"/>
      <c r="R6744" s="27" t="n"/>
      <c r="S6744" s="27" t="n"/>
      <c r="T6744" s="27" t="n"/>
    </row>
    <row r="6745" ht="13.8" customFormat="1" customHeight="1" s="70">
      <c r="M6745" s="27" t="n"/>
      <c r="N6745" s="27" t="n"/>
      <c r="O6745" s="27" t="n"/>
      <c r="P6745" s="27" t="n"/>
      <c r="Q6745" s="27" t="n"/>
      <c r="R6745" s="27" t="n"/>
      <c r="S6745" s="27" t="n"/>
      <c r="T6745" s="27" t="n"/>
    </row>
    <row r="6746" ht="13.8" customFormat="1" customHeight="1" s="70">
      <c r="M6746" s="27" t="n"/>
      <c r="N6746" s="27" t="n"/>
      <c r="O6746" s="27" t="n"/>
      <c r="P6746" s="27" t="n"/>
      <c r="Q6746" s="27" t="n"/>
      <c r="R6746" s="27" t="n"/>
      <c r="S6746" s="27" t="n"/>
      <c r="T6746" s="27" t="n"/>
    </row>
    <row r="6747" ht="13.8" customFormat="1" customHeight="1" s="70">
      <c r="M6747" s="27" t="n"/>
      <c r="N6747" s="27" t="n"/>
      <c r="O6747" s="27" t="n"/>
      <c r="P6747" s="27" t="n"/>
      <c r="Q6747" s="27" t="n"/>
      <c r="R6747" s="27" t="n"/>
      <c r="S6747" s="27" t="n"/>
      <c r="T6747" s="27" t="n"/>
    </row>
    <row r="6748" ht="13.8" customFormat="1" customHeight="1" s="70">
      <c r="M6748" s="27" t="n"/>
      <c r="N6748" s="27" t="n"/>
      <c r="O6748" s="27" t="n"/>
      <c r="P6748" s="27" t="n"/>
      <c r="Q6748" s="27" t="n"/>
      <c r="R6748" s="27" t="n"/>
      <c r="S6748" s="27" t="n"/>
      <c r="T6748" s="27" t="n"/>
    </row>
    <row r="6749" ht="13.8" customFormat="1" customHeight="1" s="70">
      <c r="M6749" s="27" t="n"/>
      <c r="N6749" s="27" t="n"/>
      <c r="O6749" s="27" t="n"/>
      <c r="P6749" s="27" t="n"/>
      <c r="Q6749" s="27" t="n"/>
      <c r="R6749" s="27" t="n"/>
      <c r="S6749" s="27" t="n"/>
      <c r="T6749" s="27" t="n"/>
    </row>
    <row r="6750" ht="13.8" customFormat="1" customHeight="1" s="70">
      <c r="M6750" s="27" t="n"/>
      <c r="N6750" s="27" t="n"/>
      <c r="O6750" s="27" t="n"/>
      <c r="P6750" s="27" t="n"/>
      <c r="Q6750" s="27" t="n"/>
      <c r="R6750" s="27" t="n"/>
      <c r="S6750" s="27" t="n"/>
      <c r="T6750" s="27" t="n"/>
    </row>
    <row r="6751" ht="13.8" customFormat="1" customHeight="1" s="70">
      <c r="M6751" s="27" t="n"/>
      <c r="N6751" s="27" t="n"/>
      <c r="O6751" s="27" t="n"/>
      <c r="P6751" s="27" t="n"/>
      <c r="Q6751" s="27" t="n"/>
      <c r="R6751" s="27" t="n"/>
      <c r="S6751" s="27" t="n"/>
      <c r="T6751" s="27" t="n"/>
    </row>
    <row r="6752" ht="13.8" customFormat="1" customHeight="1" s="70">
      <c r="M6752" s="27" t="n"/>
      <c r="N6752" s="27" t="n"/>
      <c r="O6752" s="27" t="n"/>
      <c r="P6752" s="27" t="n"/>
      <c r="Q6752" s="27" t="n"/>
      <c r="R6752" s="27" t="n"/>
      <c r="S6752" s="27" t="n"/>
      <c r="T6752" s="27" t="n"/>
    </row>
    <row r="6753" ht="13.8" customFormat="1" customHeight="1" s="70">
      <c r="M6753" s="27" t="n"/>
      <c r="N6753" s="27" t="n"/>
      <c r="O6753" s="27" t="n"/>
      <c r="P6753" s="27" t="n"/>
      <c r="Q6753" s="27" t="n"/>
      <c r="R6753" s="27" t="n"/>
      <c r="S6753" s="27" t="n"/>
      <c r="T6753" s="27" t="n"/>
    </row>
    <row r="6754" ht="13.8" customFormat="1" customHeight="1" s="70">
      <c r="M6754" s="27" t="n"/>
      <c r="N6754" s="27" t="n"/>
      <c r="O6754" s="27" t="n"/>
      <c r="P6754" s="27" t="n"/>
      <c r="Q6754" s="27" t="n"/>
      <c r="R6754" s="27" t="n"/>
      <c r="S6754" s="27" t="n"/>
      <c r="T6754" s="27" t="n"/>
    </row>
    <row r="6755" ht="13.8" customFormat="1" customHeight="1" s="70">
      <c r="M6755" s="27" t="n"/>
      <c r="N6755" s="27" t="n"/>
      <c r="O6755" s="27" t="n"/>
      <c r="P6755" s="27" t="n"/>
      <c r="Q6755" s="27" t="n"/>
      <c r="R6755" s="27" t="n"/>
      <c r="S6755" s="27" t="n"/>
      <c r="T6755" s="27" t="n"/>
    </row>
    <row r="6756" ht="13.8" customFormat="1" customHeight="1" s="70">
      <c r="M6756" s="27" t="n"/>
      <c r="N6756" s="27" t="n"/>
      <c r="O6756" s="27" t="n"/>
      <c r="P6756" s="27" t="n"/>
      <c r="Q6756" s="27" t="n"/>
      <c r="R6756" s="27" t="n"/>
      <c r="S6756" s="27" t="n"/>
      <c r="T6756" s="27" t="n"/>
    </row>
    <row r="6757" ht="13.8" customFormat="1" customHeight="1" s="70">
      <c r="M6757" s="27" t="n"/>
      <c r="N6757" s="27" t="n"/>
      <c r="O6757" s="27" t="n"/>
      <c r="P6757" s="27" t="n"/>
      <c r="Q6757" s="27" t="n"/>
      <c r="R6757" s="27" t="n"/>
      <c r="S6757" s="27" t="n"/>
      <c r="T6757" s="27" t="n"/>
    </row>
    <row r="6758" ht="13.8" customFormat="1" customHeight="1" s="70">
      <c r="M6758" s="27" t="n"/>
      <c r="N6758" s="27" t="n"/>
      <c r="O6758" s="27" t="n"/>
      <c r="P6758" s="27" t="n"/>
      <c r="Q6758" s="27" t="n"/>
      <c r="R6758" s="27" t="n"/>
      <c r="S6758" s="27" t="n"/>
      <c r="T6758" s="27" t="n"/>
    </row>
    <row r="6759" ht="13.8" customFormat="1" customHeight="1" s="70">
      <c r="M6759" s="27" t="n"/>
      <c r="N6759" s="27" t="n"/>
      <c r="O6759" s="27" t="n"/>
      <c r="P6759" s="27" t="n"/>
      <c r="Q6759" s="27" t="n"/>
      <c r="R6759" s="27" t="n"/>
      <c r="S6759" s="27" t="n"/>
      <c r="T6759" s="27" t="n"/>
    </row>
    <row r="6760" ht="13.8" customFormat="1" customHeight="1" s="70">
      <c r="M6760" s="27" t="n"/>
      <c r="N6760" s="27" t="n"/>
      <c r="O6760" s="27" t="n"/>
      <c r="P6760" s="27" t="n"/>
      <c r="Q6760" s="27" t="n"/>
      <c r="R6760" s="27" t="n"/>
      <c r="S6760" s="27" t="n"/>
      <c r="T6760" s="27" t="n"/>
    </row>
    <row r="6761" ht="13.8" customFormat="1" customHeight="1" s="70">
      <c r="M6761" s="27" t="n"/>
      <c r="N6761" s="27" t="n"/>
      <c r="O6761" s="27" t="n"/>
      <c r="P6761" s="27" t="n"/>
      <c r="Q6761" s="27" t="n"/>
      <c r="R6761" s="27" t="n"/>
      <c r="S6761" s="27" t="n"/>
      <c r="T6761" s="27" t="n"/>
    </row>
    <row r="6762" ht="13.8" customFormat="1" customHeight="1" s="70">
      <c r="M6762" s="27" t="n"/>
      <c r="N6762" s="27" t="n"/>
      <c r="O6762" s="27" t="n"/>
      <c r="P6762" s="27" t="n"/>
      <c r="Q6762" s="27" t="n"/>
      <c r="R6762" s="27" t="n"/>
      <c r="S6762" s="27" t="n"/>
      <c r="T6762" s="27" t="n"/>
    </row>
    <row r="6763" ht="13.8" customFormat="1" customHeight="1" s="70">
      <c r="M6763" s="27" t="n"/>
      <c r="N6763" s="27" t="n"/>
      <c r="O6763" s="27" t="n"/>
      <c r="P6763" s="27" t="n"/>
      <c r="Q6763" s="27" t="n"/>
      <c r="R6763" s="27" t="n"/>
      <c r="S6763" s="27" t="n"/>
      <c r="T6763" s="27" t="n"/>
    </row>
    <row r="6764" ht="13.8" customFormat="1" customHeight="1" s="70">
      <c r="M6764" s="27" t="n"/>
      <c r="N6764" s="27" t="n"/>
      <c r="O6764" s="27" t="n"/>
      <c r="P6764" s="27" t="n"/>
      <c r="Q6764" s="27" t="n"/>
      <c r="R6764" s="27" t="n"/>
      <c r="S6764" s="27" t="n"/>
      <c r="T6764" s="27" t="n"/>
    </row>
    <row r="6765" ht="13.8" customFormat="1" customHeight="1" s="70">
      <c r="M6765" s="27" t="n"/>
      <c r="N6765" s="27" t="n"/>
      <c r="O6765" s="27" t="n"/>
      <c r="P6765" s="27" t="n"/>
      <c r="Q6765" s="27" t="n"/>
      <c r="R6765" s="27" t="n"/>
      <c r="S6765" s="27" t="n"/>
      <c r="T6765" s="27" t="n"/>
    </row>
    <row r="6766" ht="13.8" customFormat="1" customHeight="1" s="70">
      <c r="M6766" s="27" t="n"/>
      <c r="N6766" s="27" t="n"/>
      <c r="O6766" s="27" t="n"/>
      <c r="P6766" s="27" t="n"/>
      <c r="Q6766" s="27" t="n"/>
      <c r="R6766" s="27" t="n"/>
      <c r="S6766" s="27" t="n"/>
      <c r="T6766" s="27" t="n"/>
    </row>
    <row r="6767" ht="13.8" customFormat="1" customHeight="1" s="70">
      <c r="M6767" s="27" t="n"/>
      <c r="N6767" s="27" t="n"/>
      <c r="O6767" s="27" t="n"/>
      <c r="P6767" s="27" t="n"/>
      <c r="Q6767" s="27" t="n"/>
      <c r="R6767" s="27" t="n"/>
      <c r="S6767" s="27" t="n"/>
      <c r="T6767" s="27" t="n"/>
    </row>
    <row r="6768" ht="13.8" customFormat="1" customHeight="1" s="70">
      <c r="M6768" s="27" t="n"/>
      <c r="N6768" s="27" t="n"/>
      <c r="O6768" s="27" t="n"/>
      <c r="P6768" s="27" t="n"/>
      <c r="Q6768" s="27" t="n"/>
      <c r="R6768" s="27" t="n"/>
      <c r="S6768" s="27" t="n"/>
      <c r="T6768" s="27" t="n"/>
    </row>
    <row r="6769" ht="13.8" customFormat="1" customHeight="1" s="70">
      <c r="M6769" s="27" t="n"/>
      <c r="N6769" s="27" t="n"/>
      <c r="O6769" s="27" t="n"/>
      <c r="P6769" s="27" t="n"/>
      <c r="Q6769" s="27" t="n"/>
      <c r="R6769" s="27" t="n"/>
      <c r="S6769" s="27" t="n"/>
      <c r="T6769" s="27" t="n"/>
    </row>
    <row r="6770" ht="13.8" customFormat="1" customHeight="1" s="70">
      <c r="M6770" s="27" t="n"/>
      <c r="N6770" s="27" t="n"/>
      <c r="O6770" s="27" t="n"/>
      <c r="P6770" s="27" t="n"/>
      <c r="Q6770" s="27" t="n"/>
      <c r="R6770" s="27" t="n"/>
      <c r="S6770" s="27" t="n"/>
      <c r="T6770" s="27" t="n"/>
    </row>
    <row r="6771" ht="13.8" customFormat="1" customHeight="1" s="70">
      <c r="M6771" s="27" t="n"/>
      <c r="N6771" s="27" t="n"/>
      <c r="O6771" s="27" t="n"/>
      <c r="P6771" s="27" t="n"/>
      <c r="Q6771" s="27" t="n"/>
      <c r="R6771" s="27" t="n"/>
      <c r="S6771" s="27" t="n"/>
      <c r="T6771" s="27" t="n"/>
    </row>
    <row r="6772" ht="13.8" customFormat="1" customHeight="1" s="70">
      <c r="M6772" s="27" t="n"/>
      <c r="N6772" s="27" t="n"/>
      <c r="O6772" s="27" t="n"/>
      <c r="P6772" s="27" t="n"/>
      <c r="Q6772" s="27" t="n"/>
      <c r="R6772" s="27" t="n"/>
      <c r="S6772" s="27" t="n"/>
      <c r="T6772" s="27" t="n"/>
    </row>
    <row r="6773" ht="13.8" customFormat="1" customHeight="1" s="70">
      <c r="M6773" s="27" t="n"/>
      <c r="N6773" s="27" t="n"/>
      <c r="O6773" s="27" t="n"/>
      <c r="P6773" s="27" t="n"/>
      <c r="Q6773" s="27" t="n"/>
      <c r="R6773" s="27" t="n"/>
      <c r="S6773" s="27" t="n"/>
      <c r="T6773" s="27" t="n"/>
    </row>
    <row r="6774" ht="13.8" customFormat="1" customHeight="1" s="70">
      <c r="M6774" s="27" t="n"/>
      <c r="N6774" s="27" t="n"/>
      <c r="O6774" s="27" t="n"/>
      <c r="P6774" s="27" t="n"/>
      <c r="Q6774" s="27" t="n"/>
      <c r="R6774" s="27" t="n"/>
      <c r="S6774" s="27" t="n"/>
      <c r="T6774" s="27" t="n"/>
    </row>
    <row r="6775" ht="13.8" customFormat="1" customHeight="1" s="70">
      <c r="M6775" s="27" t="n"/>
      <c r="N6775" s="27" t="n"/>
      <c r="O6775" s="27" t="n"/>
      <c r="P6775" s="27" t="n"/>
      <c r="Q6775" s="27" t="n"/>
      <c r="R6775" s="27" t="n"/>
      <c r="S6775" s="27" t="n"/>
      <c r="T6775" s="27" t="n"/>
    </row>
    <row r="6776" ht="13.8" customFormat="1" customHeight="1" s="70">
      <c r="M6776" s="27" t="n"/>
      <c r="N6776" s="27" t="n"/>
      <c r="O6776" s="27" t="n"/>
      <c r="P6776" s="27" t="n"/>
      <c r="Q6776" s="27" t="n"/>
      <c r="R6776" s="27" t="n"/>
      <c r="S6776" s="27" t="n"/>
      <c r="T6776" s="27" t="n"/>
    </row>
    <row r="6777" ht="13.8" customFormat="1" customHeight="1" s="70">
      <c r="M6777" s="27" t="n"/>
      <c r="N6777" s="27" t="n"/>
      <c r="O6777" s="27" t="n"/>
      <c r="P6777" s="27" t="n"/>
      <c r="Q6777" s="27" t="n"/>
      <c r="R6777" s="27" t="n"/>
      <c r="S6777" s="27" t="n"/>
      <c r="T6777" s="27" t="n"/>
    </row>
    <row r="6778" ht="13.8" customFormat="1" customHeight="1" s="70">
      <c r="M6778" s="27" t="n"/>
      <c r="N6778" s="27" t="n"/>
      <c r="O6778" s="27" t="n"/>
      <c r="P6778" s="27" t="n"/>
      <c r="Q6778" s="27" t="n"/>
      <c r="R6778" s="27" t="n"/>
      <c r="S6778" s="27" t="n"/>
      <c r="T6778" s="27" t="n"/>
    </row>
    <row r="6779" ht="13.8" customFormat="1" customHeight="1" s="70">
      <c r="M6779" s="27" t="n"/>
      <c r="N6779" s="27" t="n"/>
      <c r="O6779" s="27" t="n"/>
      <c r="P6779" s="27" t="n"/>
      <c r="Q6779" s="27" t="n"/>
      <c r="R6779" s="27" t="n"/>
      <c r="S6779" s="27" t="n"/>
      <c r="T6779" s="27" t="n"/>
    </row>
    <row r="6780" ht="13.8" customFormat="1" customHeight="1" s="70">
      <c r="M6780" s="27" t="n"/>
      <c r="N6780" s="27" t="n"/>
      <c r="O6780" s="27" t="n"/>
      <c r="P6780" s="27" t="n"/>
      <c r="Q6780" s="27" t="n"/>
      <c r="R6780" s="27" t="n"/>
      <c r="S6780" s="27" t="n"/>
      <c r="T6780" s="27" t="n"/>
    </row>
    <row r="6781" ht="13.8" customFormat="1" customHeight="1" s="70">
      <c r="M6781" s="27" t="n"/>
      <c r="N6781" s="27" t="n"/>
      <c r="O6781" s="27" t="n"/>
      <c r="P6781" s="27" t="n"/>
      <c r="Q6781" s="27" t="n"/>
      <c r="R6781" s="27" t="n"/>
      <c r="S6781" s="27" t="n"/>
      <c r="T6781" s="27" t="n"/>
    </row>
    <row r="6782" ht="13.8" customFormat="1" customHeight="1" s="70">
      <c r="M6782" s="27" t="n"/>
      <c r="N6782" s="27" t="n"/>
      <c r="O6782" s="27" t="n"/>
      <c r="P6782" s="27" t="n"/>
      <c r="Q6782" s="27" t="n"/>
      <c r="R6782" s="27" t="n"/>
      <c r="S6782" s="27" t="n"/>
      <c r="T6782" s="27" t="n"/>
    </row>
    <row r="6783" ht="13.8" customFormat="1" customHeight="1" s="70">
      <c r="M6783" s="27" t="n"/>
      <c r="N6783" s="27" t="n"/>
      <c r="O6783" s="27" t="n"/>
      <c r="P6783" s="27" t="n"/>
      <c r="Q6783" s="27" t="n"/>
      <c r="R6783" s="27" t="n"/>
      <c r="S6783" s="27" t="n"/>
      <c r="T6783" s="27" t="n"/>
    </row>
    <row r="6784" ht="13.8" customFormat="1" customHeight="1" s="70">
      <c r="M6784" s="27" t="n"/>
      <c r="N6784" s="27" t="n"/>
      <c r="O6784" s="27" t="n"/>
      <c r="P6784" s="27" t="n"/>
      <c r="Q6784" s="27" t="n"/>
      <c r="R6784" s="27" t="n"/>
      <c r="S6784" s="27" t="n"/>
      <c r="T6784" s="27" t="n"/>
    </row>
    <row r="6785" ht="13.8" customFormat="1" customHeight="1" s="70">
      <c r="M6785" s="27" t="n"/>
      <c r="N6785" s="27" t="n"/>
      <c r="O6785" s="27" t="n"/>
      <c r="P6785" s="27" t="n"/>
      <c r="Q6785" s="27" t="n"/>
      <c r="R6785" s="27" t="n"/>
      <c r="S6785" s="27" t="n"/>
      <c r="T6785" s="27" t="n"/>
    </row>
    <row r="6786" ht="13.8" customFormat="1" customHeight="1" s="70">
      <c r="M6786" s="27" t="n"/>
      <c r="N6786" s="27" t="n"/>
      <c r="O6786" s="27" t="n"/>
      <c r="P6786" s="27" t="n"/>
      <c r="Q6786" s="27" t="n"/>
      <c r="R6786" s="27" t="n"/>
      <c r="S6786" s="27" t="n"/>
      <c r="T6786" s="27" t="n"/>
    </row>
    <row r="6787" ht="13.8" customFormat="1" customHeight="1" s="70">
      <c r="M6787" s="27" t="n"/>
      <c r="N6787" s="27" t="n"/>
      <c r="O6787" s="27" t="n"/>
      <c r="P6787" s="27" t="n"/>
      <c r="Q6787" s="27" t="n"/>
      <c r="R6787" s="27" t="n"/>
      <c r="S6787" s="27" t="n"/>
      <c r="T6787" s="27" t="n"/>
    </row>
    <row r="6788" ht="13.8" customFormat="1" customHeight="1" s="70">
      <c r="M6788" s="27" t="n"/>
      <c r="N6788" s="27" t="n"/>
      <c r="O6788" s="27" t="n"/>
      <c r="P6788" s="27" t="n"/>
      <c r="Q6788" s="27" t="n"/>
      <c r="R6788" s="27" t="n"/>
      <c r="S6788" s="27" t="n"/>
      <c r="T6788" s="27" t="n"/>
    </row>
    <row r="6789" ht="13.8" customFormat="1" customHeight="1" s="70">
      <c r="M6789" s="27" t="n"/>
      <c r="N6789" s="27" t="n"/>
      <c r="O6789" s="27" t="n"/>
      <c r="P6789" s="27" t="n"/>
      <c r="Q6789" s="27" t="n"/>
      <c r="R6789" s="27" t="n"/>
      <c r="S6789" s="27" t="n"/>
      <c r="T6789" s="27" t="n"/>
    </row>
    <row r="6790" ht="13.8" customFormat="1" customHeight="1" s="70">
      <c r="M6790" s="27" t="n"/>
      <c r="N6790" s="27" t="n"/>
      <c r="O6790" s="27" t="n"/>
      <c r="P6790" s="27" t="n"/>
      <c r="Q6790" s="27" t="n"/>
      <c r="R6790" s="27" t="n"/>
      <c r="S6790" s="27" t="n"/>
      <c r="T6790" s="27" t="n"/>
    </row>
    <row r="6791" ht="13.8" customFormat="1" customHeight="1" s="70">
      <c r="M6791" s="27" t="n"/>
      <c r="N6791" s="27" t="n"/>
      <c r="O6791" s="27" t="n"/>
      <c r="P6791" s="27" t="n"/>
      <c r="Q6791" s="27" t="n"/>
      <c r="R6791" s="27" t="n"/>
      <c r="S6791" s="27" t="n"/>
      <c r="T6791" s="27" t="n"/>
    </row>
    <row r="6792" ht="13.8" customFormat="1" customHeight="1" s="70">
      <c r="M6792" s="27" t="n"/>
      <c r="N6792" s="27" t="n"/>
      <c r="O6792" s="27" t="n"/>
      <c r="P6792" s="27" t="n"/>
      <c r="Q6792" s="27" t="n"/>
      <c r="R6792" s="27" t="n"/>
      <c r="S6792" s="27" t="n"/>
      <c r="T6792" s="27" t="n"/>
    </row>
    <row r="6793" ht="13.8" customFormat="1" customHeight="1" s="70">
      <c r="M6793" s="27" t="n"/>
      <c r="N6793" s="27" t="n"/>
      <c r="O6793" s="27" t="n"/>
      <c r="P6793" s="27" t="n"/>
      <c r="Q6793" s="27" t="n"/>
      <c r="R6793" s="27" t="n"/>
      <c r="S6793" s="27" t="n"/>
      <c r="T6793" s="27" t="n"/>
    </row>
    <row r="6794" ht="13.8" customFormat="1" customHeight="1" s="70">
      <c r="M6794" s="27" t="n"/>
      <c r="N6794" s="27" t="n"/>
      <c r="O6794" s="27" t="n"/>
      <c r="P6794" s="27" t="n"/>
      <c r="Q6794" s="27" t="n"/>
      <c r="R6794" s="27" t="n"/>
      <c r="S6794" s="27" t="n"/>
      <c r="T6794" s="27" t="n"/>
    </row>
    <row r="6795" ht="13.8" customFormat="1" customHeight="1" s="70">
      <c r="M6795" s="27" t="n"/>
      <c r="N6795" s="27" t="n"/>
      <c r="O6795" s="27" t="n"/>
      <c r="P6795" s="27" t="n"/>
      <c r="Q6795" s="27" t="n"/>
      <c r="R6795" s="27" t="n"/>
      <c r="S6795" s="27" t="n"/>
      <c r="T6795" s="27" t="n"/>
    </row>
    <row r="6796" ht="13.8" customFormat="1" customHeight="1" s="70">
      <c r="M6796" s="27" t="n"/>
      <c r="N6796" s="27" t="n"/>
      <c r="O6796" s="27" t="n"/>
      <c r="P6796" s="27" t="n"/>
      <c r="Q6796" s="27" t="n"/>
      <c r="R6796" s="27" t="n"/>
      <c r="S6796" s="27" t="n"/>
      <c r="T6796" s="27" t="n"/>
    </row>
    <row r="6797" ht="13.8" customFormat="1" customHeight="1" s="70">
      <c r="M6797" s="27" t="n"/>
      <c r="N6797" s="27" t="n"/>
      <c r="O6797" s="27" t="n"/>
      <c r="P6797" s="27" t="n"/>
      <c r="Q6797" s="27" t="n"/>
      <c r="R6797" s="27" t="n"/>
      <c r="S6797" s="27" t="n"/>
      <c r="T6797" s="27" t="n"/>
    </row>
    <row r="6798" ht="13.8" customFormat="1" customHeight="1" s="70">
      <c r="M6798" s="27" t="n"/>
      <c r="N6798" s="27" t="n"/>
      <c r="O6798" s="27" t="n"/>
      <c r="P6798" s="27" t="n"/>
      <c r="Q6798" s="27" t="n"/>
      <c r="R6798" s="27" t="n"/>
      <c r="S6798" s="27" t="n"/>
      <c r="T6798" s="27" t="n"/>
    </row>
    <row r="6799" ht="13.8" customFormat="1" customHeight="1" s="70">
      <c r="M6799" s="27" t="n"/>
      <c r="N6799" s="27" t="n"/>
      <c r="O6799" s="27" t="n"/>
      <c r="P6799" s="27" t="n"/>
      <c r="Q6799" s="27" t="n"/>
      <c r="R6799" s="27" t="n"/>
      <c r="S6799" s="27" t="n"/>
      <c r="T6799" s="27" t="n"/>
    </row>
    <row r="6800" ht="13.8" customFormat="1" customHeight="1" s="70">
      <c r="M6800" s="27" t="n"/>
      <c r="N6800" s="27" t="n"/>
      <c r="O6800" s="27" t="n"/>
      <c r="P6800" s="27" t="n"/>
      <c r="Q6800" s="27" t="n"/>
      <c r="R6800" s="27" t="n"/>
      <c r="S6800" s="27" t="n"/>
      <c r="T6800" s="27" t="n"/>
    </row>
    <row r="6801" ht="13.8" customFormat="1" customHeight="1" s="70">
      <c r="M6801" s="27" t="n"/>
      <c r="N6801" s="27" t="n"/>
      <c r="O6801" s="27" t="n"/>
      <c r="P6801" s="27" t="n"/>
      <c r="Q6801" s="27" t="n"/>
      <c r="R6801" s="27" t="n"/>
      <c r="S6801" s="27" t="n"/>
      <c r="T6801" s="27" t="n"/>
    </row>
    <row r="6802" ht="13.8" customFormat="1" customHeight="1" s="70">
      <c r="M6802" s="27" t="n"/>
      <c r="N6802" s="27" t="n"/>
      <c r="O6802" s="27" t="n"/>
      <c r="P6802" s="27" t="n"/>
      <c r="Q6802" s="27" t="n"/>
      <c r="R6802" s="27" t="n"/>
      <c r="S6802" s="27" t="n"/>
      <c r="T6802" s="27" t="n"/>
    </row>
    <row r="6803" ht="13.8" customFormat="1" customHeight="1" s="70">
      <c r="M6803" s="27" t="n"/>
      <c r="N6803" s="27" t="n"/>
      <c r="O6803" s="27" t="n"/>
      <c r="P6803" s="27" t="n"/>
      <c r="Q6803" s="27" t="n"/>
      <c r="R6803" s="27" t="n"/>
      <c r="S6803" s="27" t="n"/>
      <c r="T6803" s="27" t="n"/>
    </row>
    <row r="6804" ht="13.8" customFormat="1" customHeight="1" s="70">
      <c r="M6804" s="27" t="n"/>
      <c r="N6804" s="27" t="n"/>
      <c r="O6804" s="27" t="n"/>
      <c r="P6804" s="27" t="n"/>
      <c r="Q6804" s="27" t="n"/>
      <c r="R6804" s="27" t="n"/>
      <c r="S6804" s="27" t="n"/>
      <c r="T6804" s="27" t="n"/>
    </row>
    <row r="6805" ht="13.8" customFormat="1" customHeight="1" s="70">
      <c r="M6805" s="27" t="n"/>
      <c r="N6805" s="27" t="n"/>
      <c r="O6805" s="27" t="n"/>
      <c r="P6805" s="27" t="n"/>
      <c r="Q6805" s="27" t="n"/>
      <c r="R6805" s="27" t="n"/>
      <c r="S6805" s="27" t="n"/>
      <c r="T6805" s="27" t="n"/>
    </row>
    <row r="6806" ht="13.8" customFormat="1" customHeight="1" s="70">
      <c r="M6806" s="27" t="n"/>
      <c r="N6806" s="27" t="n"/>
      <c r="O6806" s="27" t="n"/>
      <c r="P6806" s="27" t="n"/>
      <c r="Q6806" s="27" t="n"/>
      <c r="R6806" s="27" t="n"/>
      <c r="S6806" s="27" t="n"/>
      <c r="T6806" s="27" t="n"/>
    </row>
    <row r="6807" ht="13.8" customFormat="1" customHeight="1" s="70">
      <c r="M6807" s="27" t="n"/>
      <c r="N6807" s="27" t="n"/>
      <c r="O6807" s="27" t="n"/>
      <c r="P6807" s="27" t="n"/>
      <c r="Q6807" s="27" t="n"/>
      <c r="R6807" s="27" t="n"/>
      <c r="S6807" s="27" t="n"/>
      <c r="T6807" s="27" t="n"/>
    </row>
    <row r="6808" ht="13.8" customFormat="1" customHeight="1" s="70">
      <c r="M6808" s="27" t="n"/>
      <c r="N6808" s="27" t="n"/>
      <c r="O6808" s="27" t="n"/>
      <c r="P6808" s="27" t="n"/>
      <c r="Q6808" s="27" t="n"/>
      <c r="R6808" s="27" t="n"/>
      <c r="S6808" s="27" t="n"/>
      <c r="T6808" s="27" t="n"/>
    </row>
    <row r="6809" ht="13.8" customFormat="1" customHeight="1" s="70">
      <c r="M6809" s="27" t="n"/>
      <c r="N6809" s="27" t="n"/>
      <c r="O6809" s="27" t="n"/>
      <c r="P6809" s="27" t="n"/>
      <c r="Q6809" s="27" t="n"/>
      <c r="R6809" s="27" t="n"/>
      <c r="S6809" s="27" t="n"/>
      <c r="T6809" s="27" t="n"/>
    </row>
    <row r="6810" ht="13.8" customFormat="1" customHeight="1" s="70">
      <c r="M6810" s="27" t="n"/>
      <c r="N6810" s="27" t="n"/>
      <c r="O6810" s="27" t="n"/>
      <c r="P6810" s="27" t="n"/>
      <c r="Q6810" s="27" t="n"/>
      <c r="R6810" s="27" t="n"/>
      <c r="S6810" s="27" t="n"/>
      <c r="T6810" s="27" t="n"/>
    </row>
    <row r="6811" ht="13.8" customFormat="1" customHeight="1" s="70">
      <c r="M6811" s="27" t="n"/>
      <c r="N6811" s="27" t="n"/>
      <c r="O6811" s="27" t="n"/>
      <c r="P6811" s="27" t="n"/>
      <c r="Q6811" s="27" t="n"/>
      <c r="R6811" s="27" t="n"/>
      <c r="S6811" s="27" t="n"/>
      <c r="T6811" s="27" t="n"/>
    </row>
    <row r="6812" ht="13.8" customFormat="1" customHeight="1" s="70">
      <c r="M6812" s="27" t="n"/>
      <c r="N6812" s="27" t="n"/>
      <c r="O6812" s="27" t="n"/>
      <c r="P6812" s="27" t="n"/>
      <c r="Q6812" s="27" t="n"/>
      <c r="R6812" s="27" t="n"/>
      <c r="S6812" s="27" t="n"/>
      <c r="T6812" s="27" t="n"/>
    </row>
    <row r="6813" ht="13.8" customFormat="1" customHeight="1" s="70">
      <c r="M6813" s="27" t="n"/>
      <c r="N6813" s="27" t="n"/>
      <c r="O6813" s="27" t="n"/>
      <c r="P6813" s="27" t="n"/>
      <c r="Q6813" s="27" t="n"/>
      <c r="R6813" s="27" t="n"/>
      <c r="S6813" s="27" t="n"/>
      <c r="T6813" s="27" t="n"/>
    </row>
    <row r="6814" ht="13.8" customFormat="1" customHeight="1" s="70">
      <c r="M6814" s="27" t="n"/>
      <c r="N6814" s="27" t="n"/>
      <c r="O6814" s="27" t="n"/>
      <c r="P6814" s="27" t="n"/>
      <c r="Q6814" s="27" t="n"/>
      <c r="R6814" s="27" t="n"/>
      <c r="S6814" s="27" t="n"/>
      <c r="T6814" s="27" t="n"/>
    </row>
    <row r="6815" ht="13.8" customFormat="1" customHeight="1" s="70">
      <c r="M6815" s="27" t="n"/>
      <c r="N6815" s="27" t="n"/>
      <c r="O6815" s="27" t="n"/>
      <c r="P6815" s="27" t="n"/>
      <c r="Q6815" s="27" t="n"/>
      <c r="R6815" s="27" t="n"/>
      <c r="S6815" s="27" t="n"/>
      <c r="T6815" s="27" t="n"/>
    </row>
    <row r="6816" ht="13.8" customFormat="1" customHeight="1" s="70">
      <c r="M6816" s="27" t="n"/>
      <c r="N6816" s="27" t="n"/>
      <c r="O6816" s="27" t="n"/>
      <c r="P6816" s="27" t="n"/>
      <c r="Q6816" s="27" t="n"/>
      <c r="R6816" s="27" t="n"/>
      <c r="S6816" s="27" t="n"/>
      <c r="T6816" s="27" t="n"/>
    </row>
    <row r="6817" ht="13.8" customFormat="1" customHeight="1" s="70">
      <c r="M6817" s="27" t="n"/>
      <c r="N6817" s="27" t="n"/>
      <c r="O6817" s="27" t="n"/>
      <c r="P6817" s="27" t="n"/>
      <c r="Q6817" s="27" t="n"/>
      <c r="R6817" s="27" t="n"/>
      <c r="S6817" s="27" t="n"/>
      <c r="T6817" s="27" t="n"/>
    </row>
    <row r="6818" ht="13.8" customFormat="1" customHeight="1" s="70">
      <c r="M6818" s="27" t="n"/>
      <c r="N6818" s="27" t="n"/>
      <c r="O6818" s="27" t="n"/>
      <c r="P6818" s="27" t="n"/>
      <c r="Q6818" s="27" t="n"/>
      <c r="R6818" s="27" t="n"/>
      <c r="S6818" s="27" t="n"/>
      <c r="T6818" s="27" t="n"/>
    </row>
    <row r="6819" ht="13.8" customFormat="1" customHeight="1" s="70">
      <c r="M6819" s="27" t="n"/>
      <c r="N6819" s="27" t="n"/>
      <c r="O6819" s="27" t="n"/>
      <c r="P6819" s="27" t="n"/>
      <c r="Q6819" s="27" t="n"/>
      <c r="R6819" s="27" t="n"/>
      <c r="S6819" s="27" t="n"/>
      <c r="T6819" s="27" t="n"/>
    </row>
    <row r="6820" ht="13.8" customFormat="1" customHeight="1" s="70">
      <c r="M6820" s="27" t="n"/>
      <c r="N6820" s="27" t="n"/>
      <c r="O6820" s="27" t="n"/>
      <c r="P6820" s="27" t="n"/>
      <c r="Q6820" s="27" t="n"/>
      <c r="R6820" s="27" t="n"/>
      <c r="S6820" s="27" t="n"/>
      <c r="T6820" s="27" t="n"/>
    </row>
    <row r="6821" ht="13.8" customFormat="1" customHeight="1" s="70">
      <c r="M6821" s="27" t="n"/>
      <c r="N6821" s="27" t="n"/>
      <c r="O6821" s="27" t="n"/>
      <c r="P6821" s="27" t="n"/>
      <c r="Q6821" s="27" t="n"/>
      <c r="R6821" s="27" t="n"/>
      <c r="S6821" s="27" t="n"/>
      <c r="T6821" s="27" t="n"/>
    </row>
    <row r="6822" ht="13.8" customFormat="1" customHeight="1" s="70">
      <c r="M6822" s="27" t="n"/>
      <c r="N6822" s="27" t="n"/>
      <c r="O6822" s="27" t="n"/>
      <c r="P6822" s="27" t="n"/>
      <c r="Q6822" s="27" t="n"/>
      <c r="R6822" s="27" t="n"/>
      <c r="S6822" s="27" t="n"/>
      <c r="T6822" s="27" t="n"/>
    </row>
    <row r="6823" ht="13.8" customFormat="1" customHeight="1" s="70">
      <c r="M6823" s="27" t="n"/>
      <c r="N6823" s="27" t="n"/>
      <c r="O6823" s="27" t="n"/>
      <c r="P6823" s="27" t="n"/>
      <c r="Q6823" s="27" t="n"/>
      <c r="R6823" s="27" t="n"/>
      <c r="S6823" s="27" t="n"/>
      <c r="T6823" s="27" t="n"/>
    </row>
    <row r="6824" ht="13.8" customFormat="1" customHeight="1" s="70">
      <c r="M6824" s="27" t="n"/>
      <c r="N6824" s="27" t="n"/>
      <c r="O6824" s="27" t="n"/>
      <c r="P6824" s="27" t="n"/>
      <c r="Q6824" s="27" t="n"/>
      <c r="R6824" s="27" t="n"/>
      <c r="S6824" s="27" t="n"/>
      <c r="T6824" s="27" t="n"/>
    </row>
    <row r="6825" ht="13.8" customFormat="1" customHeight="1" s="70">
      <c r="M6825" s="27" t="n"/>
      <c r="N6825" s="27" t="n"/>
      <c r="O6825" s="27" t="n"/>
      <c r="P6825" s="27" t="n"/>
      <c r="Q6825" s="27" t="n"/>
      <c r="R6825" s="27" t="n"/>
      <c r="S6825" s="27" t="n"/>
      <c r="T6825" s="27" t="n"/>
    </row>
    <row r="6826" ht="13.8" customFormat="1" customHeight="1" s="70">
      <c r="M6826" s="27" t="n"/>
      <c r="N6826" s="27" t="n"/>
      <c r="O6826" s="27" t="n"/>
      <c r="P6826" s="27" t="n"/>
      <c r="Q6826" s="27" t="n"/>
      <c r="R6826" s="27" t="n"/>
      <c r="S6826" s="27" t="n"/>
      <c r="T6826" s="27" t="n"/>
    </row>
    <row r="6827" ht="13.8" customFormat="1" customHeight="1" s="70">
      <c r="M6827" s="27" t="n"/>
      <c r="N6827" s="27" t="n"/>
      <c r="O6827" s="27" t="n"/>
      <c r="P6827" s="27" t="n"/>
      <c r="Q6827" s="27" t="n"/>
      <c r="R6827" s="27" t="n"/>
      <c r="S6827" s="27" t="n"/>
      <c r="T6827" s="27" t="n"/>
    </row>
    <row r="6828" ht="13.8" customFormat="1" customHeight="1" s="70">
      <c r="M6828" s="27" t="n"/>
      <c r="N6828" s="27" t="n"/>
      <c r="O6828" s="27" t="n"/>
      <c r="P6828" s="27" t="n"/>
      <c r="Q6828" s="27" t="n"/>
      <c r="R6828" s="27" t="n"/>
      <c r="S6828" s="27" t="n"/>
      <c r="T6828" s="27" t="n"/>
    </row>
    <row r="6829" ht="13.8" customFormat="1" customHeight="1" s="70">
      <c r="M6829" s="27" t="n"/>
      <c r="N6829" s="27" t="n"/>
      <c r="O6829" s="27" t="n"/>
      <c r="P6829" s="27" t="n"/>
      <c r="Q6829" s="27" t="n"/>
      <c r="R6829" s="27" t="n"/>
      <c r="S6829" s="27" t="n"/>
      <c r="T6829" s="27" t="n"/>
    </row>
    <row r="6830" ht="13.8" customFormat="1" customHeight="1" s="70">
      <c r="M6830" s="27" t="n"/>
      <c r="N6830" s="27" t="n"/>
      <c r="O6830" s="27" t="n"/>
      <c r="P6830" s="27" t="n"/>
      <c r="Q6830" s="27" t="n"/>
      <c r="R6830" s="27" t="n"/>
      <c r="S6830" s="27" t="n"/>
      <c r="T6830" s="27" t="n"/>
    </row>
    <row r="6831" ht="13.8" customFormat="1" customHeight="1" s="70">
      <c r="M6831" s="27" t="n"/>
      <c r="N6831" s="27" t="n"/>
      <c r="O6831" s="27" t="n"/>
      <c r="P6831" s="27" t="n"/>
      <c r="Q6831" s="27" t="n"/>
      <c r="R6831" s="27" t="n"/>
      <c r="S6831" s="27" t="n"/>
      <c r="T6831" s="27" t="n"/>
    </row>
    <row r="6832" ht="13.8" customFormat="1" customHeight="1" s="70">
      <c r="M6832" s="27" t="n"/>
      <c r="N6832" s="27" t="n"/>
      <c r="O6832" s="27" t="n"/>
      <c r="P6832" s="27" t="n"/>
      <c r="Q6832" s="27" t="n"/>
      <c r="R6832" s="27" t="n"/>
      <c r="S6832" s="27" t="n"/>
      <c r="T6832" s="27" t="n"/>
    </row>
    <row r="6833" ht="13.8" customFormat="1" customHeight="1" s="70">
      <c r="M6833" s="27" t="n"/>
      <c r="N6833" s="27" t="n"/>
      <c r="O6833" s="27" t="n"/>
      <c r="P6833" s="27" t="n"/>
      <c r="Q6833" s="27" t="n"/>
      <c r="R6833" s="27" t="n"/>
      <c r="S6833" s="27" t="n"/>
      <c r="T6833" s="27" t="n"/>
    </row>
    <row r="6834" ht="13.8" customFormat="1" customHeight="1" s="70">
      <c r="M6834" s="27" t="n"/>
      <c r="N6834" s="27" t="n"/>
      <c r="O6834" s="27" t="n"/>
      <c r="P6834" s="27" t="n"/>
      <c r="Q6834" s="27" t="n"/>
      <c r="R6834" s="27" t="n"/>
      <c r="S6834" s="27" t="n"/>
      <c r="T6834" s="27" t="n"/>
    </row>
    <row r="6835" ht="13.8" customFormat="1" customHeight="1" s="70">
      <c r="M6835" s="27" t="n"/>
      <c r="N6835" s="27" t="n"/>
      <c r="O6835" s="27" t="n"/>
      <c r="P6835" s="27" t="n"/>
      <c r="Q6835" s="27" t="n"/>
      <c r="R6835" s="27" t="n"/>
      <c r="S6835" s="27" t="n"/>
      <c r="T6835" s="27" t="n"/>
    </row>
    <row r="6836" ht="13.8" customFormat="1" customHeight="1" s="70">
      <c r="M6836" s="27" t="n"/>
      <c r="N6836" s="27" t="n"/>
      <c r="O6836" s="27" t="n"/>
      <c r="P6836" s="27" t="n"/>
      <c r="Q6836" s="27" t="n"/>
      <c r="R6836" s="27" t="n"/>
      <c r="S6836" s="27" t="n"/>
      <c r="T6836" s="27" t="n"/>
    </row>
    <row r="6837" ht="13.8" customFormat="1" customHeight="1" s="70">
      <c r="M6837" s="27" t="n"/>
      <c r="N6837" s="27" t="n"/>
      <c r="O6837" s="27" t="n"/>
      <c r="P6837" s="27" t="n"/>
      <c r="Q6837" s="27" t="n"/>
      <c r="R6837" s="27" t="n"/>
      <c r="S6837" s="27" t="n"/>
      <c r="T6837" s="27" t="n"/>
    </row>
    <row r="6838" ht="13.8" customFormat="1" customHeight="1" s="70">
      <c r="M6838" s="27" t="n"/>
      <c r="N6838" s="27" t="n"/>
      <c r="O6838" s="27" t="n"/>
      <c r="P6838" s="27" t="n"/>
      <c r="Q6838" s="27" t="n"/>
      <c r="R6838" s="27" t="n"/>
      <c r="S6838" s="27" t="n"/>
      <c r="T6838" s="27" t="n"/>
    </row>
    <row r="6839" ht="13.8" customFormat="1" customHeight="1" s="70">
      <c r="M6839" s="27" t="n"/>
      <c r="N6839" s="27" t="n"/>
      <c r="O6839" s="27" t="n"/>
      <c r="P6839" s="27" t="n"/>
      <c r="Q6839" s="27" t="n"/>
      <c r="R6839" s="27" t="n"/>
      <c r="S6839" s="27" t="n"/>
      <c r="T6839" s="27" t="n"/>
    </row>
    <row r="6840" ht="13.8" customFormat="1" customHeight="1" s="70">
      <c r="M6840" s="27" t="n"/>
      <c r="N6840" s="27" t="n"/>
      <c r="O6840" s="27" t="n"/>
      <c r="P6840" s="27" t="n"/>
      <c r="Q6840" s="27" t="n"/>
      <c r="R6840" s="27" t="n"/>
      <c r="S6840" s="27" t="n"/>
      <c r="T6840" s="27" t="n"/>
    </row>
    <row r="6841" ht="13.8" customFormat="1" customHeight="1" s="70">
      <c r="M6841" s="27" t="n"/>
      <c r="N6841" s="27" t="n"/>
      <c r="O6841" s="27" t="n"/>
      <c r="P6841" s="27" t="n"/>
      <c r="Q6841" s="27" t="n"/>
      <c r="R6841" s="27" t="n"/>
      <c r="S6841" s="27" t="n"/>
      <c r="T6841" s="27" t="n"/>
    </row>
    <row r="6842" ht="13.8" customFormat="1" customHeight="1" s="70">
      <c r="M6842" s="27" t="n"/>
      <c r="N6842" s="27" t="n"/>
      <c r="O6842" s="27" t="n"/>
      <c r="P6842" s="27" t="n"/>
      <c r="Q6842" s="27" t="n"/>
      <c r="R6842" s="27" t="n"/>
      <c r="S6842" s="27" t="n"/>
      <c r="T6842" s="27" t="n"/>
    </row>
    <row r="6843" ht="13.8" customFormat="1" customHeight="1" s="70">
      <c r="M6843" s="27" t="n"/>
      <c r="N6843" s="27" t="n"/>
      <c r="O6843" s="27" t="n"/>
      <c r="P6843" s="27" t="n"/>
      <c r="Q6843" s="27" t="n"/>
      <c r="R6843" s="27" t="n"/>
      <c r="S6843" s="27" t="n"/>
      <c r="T6843" s="27" t="n"/>
    </row>
    <row r="6844" ht="13.8" customFormat="1" customHeight="1" s="70">
      <c r="M6844" s="27" t="n"/>
      <c r="N6844" s="27" t="n"/>
      <c r="O6844" s="27" t="n"/>
      <c r="P6844" s="27" t="n"/>
      <c r="Q6844" s="27" t="n"/>
      <c r="R6844" s="27" t="n"/>
      <c r="S6844" s="27" t="n"/>
      <c r="T6844" s="27" t="n"/>
    </row>
    <row r="6845" ht="13.8" customFormat="1" customHeight="1" s="70">
      <c r="M6845" s="27" t="n"/>
      <c r="N6845" s="27" t="n"/>
      <c r="O6845" s="27" t="n"/>
      <c r="P6845" s="27" t="n"/>
      <c r="Q6845" s="27" t="n"/>
      <c r="R6845" s="27" t="n"/>
      <c r="S6845" s="27" t="n"/>
      <c r="T6845" s="27" t="n"/>
    </row>
    <row r="6846" ht="13.8" customFormat="1" customHeight="1" s="70">
      <c r="M6846" s="27" t="n"/>
      <c r="N6846" s="27" t="n"/>
      <c r="O6846" s="27" t="n"/>
      <c r="P6846" s="27" t="n"/>
      <c r="Q6846" s="27" t="n"/>
      <c r="R6846" s="27" t="n"/>
      <c r="S6846" s="27" t="n"/>
      <c r="T6846" s="27" t="n"/>
    </row>
    <row r="6847" ht="13.8" customFormat="1" customHeight="1" s="70">
      <c r="M6847" s="27" t="n"/>
      <c r="N6847" s="27" t="n"/>
      <c r="O6847" s="27" t="n"/>
      <c r="P6847" s="27" t="n"/>
      <c r="Q6847" s="27" t="n"/>
      <c r="R6847" s="27" t="n"/>
      <c r="S6847" s="27" t="n"/>
      <c r="T6847" s="27" t="n"/>
    </row>
    <row r="6848" ht="13.8" customFormat="1" customHeight="1" s="70">
      <c r="M6848" s="27" t="n"/>
      <c r="N6848" s="27" t="n"/>
      <c r="O6848" s="27" t="n"/>
      <c r="P6848" s="27" t="n"/>
      <c r="Q6848" s="27" t="n"/>
      <c r="R6848" s="27" t="n"/>
      <c r="S6848" s="27" t="n"/>
      <c r="T6848" s="27" t="n"/>
    </row>
    <row r="6849" ht="13.8" customFormat="1" customHeight="1" s="70">
      <c r="M6849" s="27" t="n"/>
      <c r="N6849" s="27" t="n"/>
      <c r="O6849" s="27" t="n"/>
      <c r="P6849" s="27" t="n"/>
      <c r="Q6849" s="27" t="n"/>
      <c r="R6849" s="27" t="n"/>
      <c r="S6849" s="27" t="n"/>
      <c r="T6849" s="27" t="n"/>
    </row>
    <row r="6850" ht="13.8" customFormat="1" customHeight="1" s="70">
      <c r="M6850" s="27" t="n"/>
      <c r="N6850" s="27" t="n"/>
      <c r="O6850" s="27" t="n"/>
      <c r="P6850" s="27" t="n"/>
      <c r="Q6850" s="27" t="n"/>
      <c r="R6850" s="27" t="n"/>
      <c r="S6850" s="27" t="n"/>
      <c r="T6850" s="27" t="n"/>
    </row>
    <row r="6851" ht="13.8" customFormat="1" customHeight="1" s="70">
      <c r="M6851" s="27" t="n"/>
      <c r="N6851" s="27" t="n"/>
      <c r="O6851" s="27" t="n"/>
      <c r="P6851" s="27" t="n"/>
      <c r="Q6851" s="27" t="n"/>
      <c r="R6851" s="27" t="n"/>
      <c r="S6851" s="27" t="n"/>
      <c r="T6851" s="27" t="n"/>
    </row>
    <row r="6852" ht="13.8" customFormat="1" customHeight="1" s="70">
      <c r="M6852" s="27" t="n"/>
      <c r="N6852" s="27" t="n"/>
      <c r="O6852" s="27" t="n"/>
      <c r="P6852" s="27" t="n"/>
      <c r="Q6852" s="27" t="n"/>
      <c r="R6852" s="27" t="n"/>
      <c r="S6852" s="27" t="n"/>
      <c r="T6852" s="27" t="n"/>
    </row>
    <row r="6853" ht="13.8" customFormat="1" customHeight="1" s="70">
      <c r="M6853" s="27" t="n"/>
      <c r="N6853" s="27" t="n"/>
      <c r="O6853" s="27" t="n"/>
      <c r="P6853" s="27" t="n"/>
      <c r="Q6853" s="27" t="n"/>
      <c r="R6853" s="27" t="n"/>
      <c r="S6853" s="27" t="n"/>
      <c r="T6853" s="27" t="n"/>
    </row>
    <row r="6854" ht="13.8" customFormat="1" customHeight="1" s="70">
      <c r="M6854" s="27" t="n"/>
      <c r="N6854" s="27" t="n"/>
      <c r="O6854" s="27" t="n"/>
      <c r="P6854" s="27" t="n"/>
      <c r="Q6854" s="27" t="n"/>
      <c r="R6854" s="27" t="n"/>
      <c r="S6854" s="27" t="n"/>
      <c r="T6854" s="27" t="n"/>
    </row>
    <row r="6855" ht="13.8" customFormat="1" customHeight="1" s="70">
      <c r="M6855" s="27" t="n"/>
      <c r="N6855" s="27" t="n"/>
      <c r="O6855" s="27" t="n"/>
      <c r="P6855" s="27" t="n"/>
      <c r="Q6855" s="27" t="n"/>
      <c r="R6855" s="27" t="n"/>
      <c r="S6855" s="27" t="n"/>
      <c r="T6855" s="27" t="n"/>
    </row>
    <row r="6856" ht="13.8" customFormat="1" customHeight="1" s="70">
      <c r="M6856" s="27" t="n"/>
      <c r="N6856" s="27" t="n"/>
      <c r="O6856" s="27" t="n"/>
      <c r="P6856" s="27" t="n"/>
      <c r="Q6856" s="27" t="n"/>
      <c r="R6856" s="27" t="n"/>
      <c r="S6856" s="27" t="n"/>
      <c r="T6856" s="27" t="n"/>
    </row>
    <row r="6857" ht="13.8" customFormat="1" customHeight="1" s="70">
      <c r="M6857" s="27" t="n"/>
      <c r="N6857" s="27" t="n"/>
      <c r="O6857" s="27" t="n"/>
      <c r="P6857" s="27" t="n"/>
      <c r="Q6857" s="27" t="n"/>
      <c r="R6857" s="27" t="n"/>
      <c r="S6857" s="27" t="n"/>
      <c r="T6857" s="27" t="n"/>
    </row>
    <row r="6858" ht="13.8" customFormat="1" customHeight="1" s="70">
      <c r="M6858" s="27" t="n"/>
      <c r="N6858" s="27" t="n"/>
      <c r="O6858" s="27" t="n"/>
      <c r="P6858" s="27" t="n"/>
      <c r="Q6858" s="27" t="n"/>
      <c r="R6858" s="27" t="n"/>
      <c r="S6858" s="27" t="n"/>
      <c r="T6858" s="27" t="n"/>
    </row>
    <row r="6859" ht="13.8" customFormat="1" customHeight="1" s="70">
      <c r="M6859" s="27" t="n"/>
      <c r="N6859" s="27" t="n"/>
      <c r="O6859" s="27" t="n"/>
      <c r="P6859" s="27" t="n"/>
      <c r="Q6859" s="27" t="n"/>
      <c r="R6859" s="27" t="n"/>
      <c r="S6859" s="27" t="n"/>
      <c r="T6859" s="27" t="n"/>
    </row>
    <row r="6860" ht="13.8" customFormat="1" customHeight="1" s="70">
      <c r="M6860" s="27" t="n"/>
      <c r="N6860" s="27" t="n"/>
      <c r="O6860" s="27" t="n"/>
      <c r="P6860" s="27" t="n"/>
      <c r="Q6860" s="27" t="n"/>
      <c r="R6860" s="27" t="n"/>
      <c r="S6860" s="27" t="n"/>
      <c r="T6860" s="27" t="n"/>
    </row>
    <row r="6861" ht="13.8" customFormat="1" customHeight="1" s="70">
      <c r="M6861" s="27" t="n"/>
      <c r="N6861" s="27" t="n"/>
      <c r="O6861" s="27" t="n"/>
      <c r="P6861" s="27" t="n"/>
      <c r="Q6861" s="27" t="n"/>
      <c r="R6861" s="27" t="n"/>
      <c r="S6861" s="27" t="n"/>
      <c r="T6861" s="27" t="n"/>
    </row>
    <row r="6862" ht="13.8" customFormat="1" customHeight="1" s="70">
      <c r="M6862" s="27" t="n"/>
      <c r="N6862" s="27" t="n"/>
      <c r="O6862" s="27" t="n"/>
      <c r="P6862" s="27" t="n"/>
      <c r="Q6862" s="27" t="n"/>
      <c r="R6862" s="27" t="n"/>
      <c r="S6862" s="27" t="n"/>
      <c r="T6862" s="27" t="n"/>
    </row>
    <row r="6863" ht="13.8" customFormat="1" customHeight="1" s="70">
      <c r="M6863" s="27" t="n"/>
      <c r="N6863" s="27" t="n"/>
      <c r="O6863" s="27" t="n"/>
      <c r="P6863" s="27" t="n"/>
      <c r="Q6863" s="27" t="n"/>
      <c r="R6863" s="27" t="n"/>
      <c r="S6863" s="27" t="n"/>
      <c r="T6863" s="27" t="n"/>
    </row>
    <row r="6864" ht="13.8" customFormat="1" customHeight="1" s="70">
      <c r="M6864" s="27" t="n"/>
      <c r="N6864" s="27" t="n"/>
      <c r="O6864" s="27" t="n"/>
      <c r="P6864" s="27" t="n"/>
      <c r="Q6864" s="27" t="n"/>
      <c r="R6864" s="27" t="n"/>
      <c r="S6864" s="27" t="n"/>
      <c r="T6864" s="27" t="n"/>
    </row>
    <row r="6865" ht="13.8" customFormat="1" customHeight="1" s="70">
      <c r="M6865" s="27" t="n"/>
      <c r="N6865" s="27" t="n"/>
      <c r="O6865" s="27" t="n"/>
      <c r="P6865" s="27" t="n"/>
      <c r="Q6865" s="27" t="n"/>
      <c r="R6865" s="27" t="n"/>
      <c r="S6865" s="27" t="n"/>
      <c r="T6865" s="27" t="n"/>
    </row>
    <row r="6866" ht="13.8" customFormat="1" customHeight="1" s="70">
      <c r="M6866" s="27" t="n"/>
      <c r="N6866" s="27" t="n"/>
      <c r="O6866" s="27" t="n"/>
      <c r="P6866" s="27" t="n"/>
      <c r="Q6866" s="27" t="n"/>
      <c r="R6866" s="27" t="n"/>
      <c r="S6866" s="27" t="n"/>
      <c r="T6866" s="27" t="n"/>
    </row>
    <row r="6867" ht="13.8" customFormat="1" customHeight="1" s="70">
      <c r="M6867" s="27" t="n"/>
      <c r="N6867" s="27" t="n"/>
      <c r="O6867" s="27" t="n"/>
      <c r="P6867" s="27" t="n"/>
      <c r="Q6867" s="27" t="n"/>
      <c r="R6867" s="27" t="n"/>
      <c r="S6867" s="27" t="n"/>
      <c r="T6867" s="27" t="n"/>
    </row>
    <row r="6868" ht="13.8" customFormat="1" customHeight="1" s="70">
      <c r="M6868" s="27" t="n"/>
      <c r="N6868" s="27" t="n"/>
      <c r="O6868" s="27" t="n"/>
      <c r="P6868" s="27" t="n"/>
      <c r="Q6868" s="27" t="n"/>
      <c r="R6868" s="27" t="n"/>
      <c r="S6868" s="27" t="n"/>
      <c r="T6868" s="27" t="n"/>
    </row>
    <row r="6869" ht="13.8" customFormat="1" customHeight="1" s="70">
      <c r="M6869" s="27" t="n"/>
      <c r="N6869" s="27" t="n"/>
      <c r="O6869" s="27" t="n"/>
      <c r="P6869" s="27" t="n"/>
      <c r="Q6869" s="27" t="n"/>
      <c r="R6869" s="27" t="n"/>
      <c r="S6869" s="27" t="n"/>
      <c r="T6869" s="27" t="n"/>
    </row>
    <row r="6870" ht="13.8" customFormat="1" customHeight="1" s="70">
      <c r="M6870" s="27" t="n"/>
      <c r="N6870" s="27" t="n"/>
      <c r="O6870" s="27" t="n"/>
      <c r="P6870" s="27" t="n"/>
      <c r="Q6870" s="27" t="n"/>
      <c r="R6870" s="27" t="n"/>
      <c r="S6870" s="27" t="n"/>
      <c r="T6870" s="27" t="n"/>
    </row>
    <row r="6871" ht="13.8" customFormat="1" customHeight="1" s="70">
      <c r="M6871" s="27" t="n"/>
      <c r="N6871" s="27" t="n"/>
      <c r="O6871" s="27" t="n"/>
      <c r="P6871" s="27" t="n"/>
      <c r="Q6871" s="27" t="n"/>
      <c r="R6871" s="27" t="n"/>
      <c r="S6871" s="27" t="n"/>
      <c r="T6871" s="27" t="n"/>
    </row>
    <row r="6872" ht="13.8" customFormat="1" customHeight="1" s="70">
      <c r="M6872" s="27" t="n"/>
      <c r="N6872" s="27" t="n"/>
      <c r="O6872" s="27" t="n"/>
      <c r="P6872" s="27" t="n"/>
      <c r="Q6872" s="27" t="n"/>
      <c r="R6872" s="27" t="n"/>
      <c r="S6872" s="27" t="n"/>
      <c r="T6872" s="27" t="n"/>
    </row>
    <row r="6873" ht="13.8" customFormat="1" customHeight="1" s="70">
      <c r="M6873" s="27" t="n"/>
      <c r="N6873" s="27" t="n"/>
      <c r="O6873" s="27" t="n"/>
      <c r="P6873" s="27" t="n"/>
      <c r="Q6873" s="27" t="n"/>
      <c r="R6873" s="27" t="n"/>
      <c r="S6873" s="27" t="n"/>
      <c r="T6873" s="27" t="n"/>
    </row>
    <row r="6874" ht="13.8" customFormat="1" customHeight="1" s="70">
      <c r="M6874" s="27" t="n"/>
      <c r="N6874" s="27" t="n"/>
      <c r="O6874" s="27" t="n"/>
      <c r="P6874" s="27" t="n"/>
      <c r="Q6874" s="27" t="n"/>
      <c r="R6874" s="27" t="n"/>
      <c r="S6874" s="27" t="n"/>
      <c r="T6874" s="27" t="n"/>
    </row>
    <row r="6875" ht="13.8" customFormat="1" customHeight="1" s="70">
      <c r="M6875" s="27" t="n"/>
      <c r="N6875" s="27" t="n"/>
      <c r="O6875" s="27" t="n"/>
      <c r="P6875" s="27" t="n"/>
      <c r="Q6875" s="27" t="n"/>
      <c r="R6875" s="27" t="n"/>
      <c r="S6875" s="27" t="n"/>
      <c r="T6875" s="27" t="n"/>
    </row>
    <row r="6876" ht="13.8" customFormat="1" customHeight="1" s="70">
      <c r="M6876" s="27" t="n"/>
      <c r="N6876" s="27" t="n"/>
      <c r="O6876" s="27" t="n"/>
      <c r="P6876" s="27" t="n"/>
      <c r="Q6876" s="27" t="n"/>
      <c r="R6876" s="27" t="n"/>
      <c r="S6876" s="27" t="n"/>
      <c r="T6876" s="27" t="n"/>
    </row>
    <row r="6877" ht="13.8" customFormat="1" customHeight="1" s="70">
      <c r="M6877" s="27" t="n"/>
      <c r="N6877" s="27" t="n"/>
      <c r="O6877" s="27" t="n"/>
      <c r="P6877" s="27" t="n"/>
      <c r="Q6877" s="27" t="n"/>
      <c r="R6877" s="27" t="n"/>
      <c r="S6877" s="27" t="n"/>
      <c r="T6877" s="27" t="n"/>
    </row>
    <row r="6878" ht="13.8" customFormat="1" customHeight="1" s="70">
      <c r="M6878" s="27" t="n"/>
      <c r="N6878" s="27" t="n"/>
      <c r="O6878" s="27" t="n"/>
      <c r="P6878" s="27" t="n"/>
      <c r="Q6878" s="27" t="n"/>
      <c r="R6878" s="27" t="n"/>
      <c r="S6878" s="27" t="n"/>
      <c r="T6878" s="27" t="n"/>
    </row>
    <row r="6879" ht="13.8" customFormat="1" customHeight="1" s="70">
      <c r="M6879" s="27" t="n"/>
      <c r="N6879" s="27" t="n"/>
      <c r="O6879" s="27" t="n"/>
      <c r="P6879" s="27" t="n"/>
      <c r="Q6879" s="27" t="n"/>
      <c r="R6879" s="27" t="n"/>
      <c r="S6879" s="27" t="n"/>
      <c r="T6879" s="27" t="n"/>
    </row>
    <row r="6880" ht="13.8" customFormat="1" customHeight="1" s="70">
      <c r="M6880" s="27" t="n"/>
      <c r="N6880" s="27" t="n"/>
      <c r="O6880" s="27" t="n"/>
      <c r="P6880" s="27" t="n"/>
      <c r="Q6880" s="27" t="n"/>
      <c r="R6880" s="27" t="n"/>
      <c r="S6880" s="27" t="n"/>
      <c r="T6880" s="27" t="n"/>
    </row>
    <row r="6881" ht="13.8" customFormat="1" customHeight="1" s="70">
      <c r="M6881" s="27" t="n"/>
      <c r="N6881" s="27" t="n"/>
      <c r="O6881" s="27" t="n"/>
      <c r="P6881" s="27" t="n"/>
      <c r="Q6881" s="27" t="n"/>
      <c r="R6881" s="27" t="n"/>
      <c r="S6881" s="27" t="n"/>
      <c r="T6881" s="27" t="n"/>
    </row>
    <row r="6882" ht="13.8" customFormat="1" customHeight="1" s="70">
      <c r="M6882" s="27" t="n"/>
      <c r="N6882" s="27" t="n"/>
      <c r="O6882" s="27" t="n"/>
      <c r="P6882" s="27" t="n"/>
      <c r="Q6882" s="27" t="n"/>
      <c r="R6882" s="27" t="n"/>
      <c r="S6882" s="27" t="n"/>
      <c r="T6882" s="27" t="n"/>
    </row>
    <row r="6883" ht="13.8" customFormat="1" customHeight="1" s="70">
      <c r="M6883" s="27" t="n"/>
      <c r="N6883" s="27" t="n"/>
      <c r="O6883" s="27" t="n"/>
      <c r="P6883" s="27" t="n"/>
      <c r="Q6883" s="27" t="n"/>
      <c r="R6883" s="27" t="n"/>
      <c r="S6883" s="27" t="n"/>
      <c r="T6883" s="27" t="n"/>
    </row>
    <row r="6884" ht="13.8" customFormat="1" customHeight="1" s="70">
      <c r="M6884" s="27" t="n"/>
      <c r="N6884" s="27" t="n"/>
      <c r="O6884" s="27" t="n"/>
      <c r="P6884" s="27" t="n"/>
      <c r="Q6884" s="27" t="n"/>
      <c r="R6884" s="27" t="n"/>
      <c r="S6884" s="27" t="n"/>
      <c r="T6884" s="27" t="n"/>
    </row>
    <row r="6885" ht="13.8" customFormat="1" customHeight="1" s="70">
      <c r="M6885" s="27" t="n"/>
      <c r="N6885" s="27" t="n"/>
      <c r="O6885" s="27" t="n"/>
      <c r="P6885" s="27" t="n"/>
      <c r="Q6885" s="27" t="n"/>
      <c r="R6885" s="27" t="n"/>
      <c r="S6885" s="27" t="n"/>
      <c r="T6885" s="27" t="n"/>
    </row>
    <row r="6886" ht="13.8" customFormat="1" customHeight="1" s="70">
      <c r="M6886" s="27" t="n"/>
      <c r="N6886" s="27" t="n"/>
      <c r="O6886" s="27" t="n"/>
      <c r="P6886" s="27" t="n"/>
      <c r="Q6886" s="27" t="n"/>
      <c r="R6886" s="27" t="n"/>
      <c r="S6886" s="27" t="n"/>
      <c r="T6886" s="27" t="n"/>
    </row>
    <row r="6887" ht="13.8" customFormat="1" customHeight="1" s="70">
      <c r="M6887" s="27" t="n"/>
      <c r="N6887" s="27" t="n"/>
      <c r="O6887" s="27" t="n"/>
      <c r="P6887" s="27" t="n"/>
      <c r="Q6887" s="27" t="n"/>
      <c r="R6887" s="27" t="n"/>
      <c r="S6887" s="27" t="n"/>
      <c r="T6887" s="27" t="n"/>
    </row>
    <row r="6888" ht="13.8" customFormat="1" customHeight="1" s="70">
      <c r="M6888" s="27" t="n"/>
      <c r="N6888" s="27" t="n"/>
      <c r="O6888" s="27" t="n"/>
      <c r="P6888" s="27" t="n"/>
      <c r="Q6888" s="27" t="n"/>
      <c r="R6888" s="27" t="n"/>
      <c r="S6888" s="27" t="n"/>
      <c r="T6888" s="27" t="n"/>
    </row>
    <row r="6889" ht="13.8" customFormat="1" customHeight="1" s="70">
      <c r="M6889" s="27" t="n"/>
      <c r="N6889" s="27" t="n"/>
      <c r="O6889" s="27" t="n"/>
      <c r="P6889" s="27" t="n"/>
      <c r="Q6889" s="27" t="n"/>
      <c r="R6889" s="27" t="n"/>
      <c r="S6889" s="27" t="n"/>
      <c r="T6889" s="27" t="n"/>
    </row>
    <row r="6890" ht="13.8" customFormat="1" customHeight="1" s="70">
      <c r="M6890" s="27" t="n"/>
      <c r="N6890" s="27" t="n"/>
      <c r="O6890" s="27" t="n"/>
      <c r="P6890" s="27" t="n"/>
      <c r="Q6890" s="27" t="n"/>
      <c r="R6890" s="27" t="n"/>
      <c r="S6890" s="27" t="n"/>
      <c r="T6890" s="27" t="n"/>
    </row>
    <row r="6891" ht="13.8" customFormat="1" customHeight="1" s="70">
      <c r="M6891" s="27" t="n"/>
      <c r="N6891" s="27" t="n"/>
      <c r="O6891" s="27" t="n"/>
      <c r="P6891" s="27" t="n"/>
      <c r="Q6891" s="27" t="n"/>
      <c r="R6891" s="27" t="n"/>
      <c r="S6891" s="27" t="n"/>
      <c r="T6891" s="27" t="n"/>
    </row>
    <row r="6892" ht="13.8" customFormat="1" customHeight="1" s="70">
      <c r="M6892" s="27" t="n"/>
      <c r="N6892" s="27" t="n"/>
      <c r="O6892" s="27" t="n"/>
      <c r="P6892" s="27" t="n"/>
      <c r="Q6892" s="27" t="n"/>
      <c r="R6892" s="27" t="n"/>
      <c r="S6892" s="27" t="n"/>
      <c r="T6892" s="27" t="n"/>
    </row>
    <row r="6893" ht="13.8" customFormat="1" customHeight="1" s="70">
      <c r="M6893" s="27" t="n"/>
      <c r="N6893" s="27" t="n"/>
      <c r="O6893" s="27" t="n"/>
      <c r="P6893" s="27" t="n"/>
      <c r="Q6893" s="27" t="n"/>
      <c r="R6893" s="27" t="n"/>
      <c r="S6893" s="27" t="n"/>
      <c r="T6893" s="27" t="n"/>
    </row>
    <row r="6894" ht="13.8" customFormat="1" customHeight="1" s="70">
      <c r="M6894" s="27" t="n"/>
      <c r="N6894" s="27" t="n"/>
      <c r="O6894" s="27" t="n"/>
      <c r="P6894" s="27" t="n"/>
      <c r="Q6894" s="27" t="n"/>
      <c r="R6894" s="27" t="n"/>
      <c r="S6894" s="27" t="n"/>
      <c r="T6894" s="27" t="n"/>
    </row>
    <row r="6895" ht="13.8" customFormat="1" customHeight="1" s="70">
      <c r="M6895" s="27" t="n"/>
      <c r="N6895" s="27" t="n"/>
      <c r="O6895" s="27" t="n"/>
      <c r="P6895" s="27" t="n"/>
      <c r="Q6895" s="27" t="n"/>
      <c r="R6895" s="27" t="n"/>
      <c r="S6895" s="27" t="n"/>
      <c r="T6895" s="27" t="n"/>
    </row>
    <row r="6896" ht="13.8" customFormat="1" customHeight="1" s="70">
      <c r="M6896" s="27" t="n"/>
      <c r="N6896" s="27" t="n"/>
      <c r="O6896" s="27" t="n"/>
      <c r="P6896" s="27" t="n"/>
      <c r="Q6896" s="27" t="n"/>
      <c r="R6896" s="27" t="n"/>
      <c r="S6896" s="27" t="n"/>
      <c r="T6896" s="27" t="n"/>
    </row>
    <row r="6897" ht="13.8" customFormat="1" customHeight="1" s="70">
      <c r="M6897" s="27" t="n"/>
      <c r="N6897" s="27" t="n"/>
      <c r="O6897" s="27" t="n"/>
      <c r="P6897" s="27" t="n"/>
      <c r="Q6897" s="27" t="n"/>
      <c r="R6897" s="27" t="n"/>
      <c r="S6897" s="27" t="n"/>
      <c r="T6897" s="27" t="n"/>
    </row>
    <row r="6898" ht="13.8" customFormat="1" customHeight="1" s="70">
      <c r="M6898" s="27" t="n"/>
      <c r="N6898" s="27" t="n"/>
      <c r="O6898" s="27" t="n"/>
      <c r="P6898" s="27" t="n"/>
      <c r="Q6898" s="27" t="n"/>
      <c r="R6898" s="27" t="n"/>
      <c r="S6898" s="27" t="n"/>
      <c r="T6898" s="27" t="n"/>
    </row>
    <row r="6899" ht="13.8" customFormat="1" customHeight="1" s="70">
      <c r="M6899" s="27" t="n"/>
      <c r="N6899" s="27" t="n"/>
      <c r="O6899" s="27" t="n"/>
      <c r="P6899" s="27" t="n"/>
      <c r="Q6899" s="27" t="n"/>
      <c r="R6899" s="27" t="n"/>
      <c r="S6899" s="27" t="n"/>
      <c r="T6899" s="27" t="n"/>
    </row>
    <row r="6900" ht="13.8" customFormat="1" customHeight="1" s="70">
      <c r="M6900" s="27" t="n"/>
      <c r="N6900" s="27" t="n"/>
      <c r="O6900" s="27" t="n"/>
      <c r="P6900" s="27" t="n"/>
      <c r="Q6900" s="27" t="n"/>
      <c r="R6900" s="27" t="n"/>
      <c r="S6900" s="27" t="n"/>
      <c r="T6900" s="27" t="n"/>
    </row>
    <row r="6901" ht="13.8" customFormat="1" customHeight="1" s="70">
      <c r="M6901" s="27" t="n"/>
      <c r="N6901" s="27" t="n"/>
      <c r="O6901" s="27" t="n"/>
      <c r="P6901" s="27" t="n"/>
      <c r="Q6901" s="27" t="n"/>
      <c r="R6901" s="27" t="n"/>
      <c r="S6901" s="27" t="n"/>
      <c r="T6901" s="27" t="n"/>
    </row>
    <row r="6902" ht="13.8" customFormat="1" customHeight="1" s="70">
      <c r="M6902" s="27" t="n"/>
      <c r="N6902" s="27" t="n"/>
      <c r="O6902" s="27" t="n"/>
      <c r="P6902" s="27" t="n"/>
      <c r="Q6902" s="27" t="n"/>
      <c r="R6902" s="27" t="n"/>
      <c r="S6902" s="27" t="n"/>
      <c r="T6902" s="27" t="n"/>
    </row>
    <row r="6903" ht="13.8" customFormat="1" customHeight="1" s="70">
      <c r="M6903" s="27" t="n"/>
      <c r="N6903" s="27" t="n"/>
      <c r="O6903" s="27" t="n"/>
      <c r="P6903" s="27" t="n"/>
      <c r="Q6903" s="27" t="n"/>
      <c r="R6903" s="27" t="n"/>
      <c r="S6903" s="27" t="n"/>
      <c r="T6903" s="27" t="n"/>
    </row>
    <row r="6904" ht="13.8" customFormat="1" customHeight="1" s="70">
      <c r="M6904" s="27" t="n"/>
      <c r="N6904" s="27" t="n"/>
      <c r="O6904" s="27" t="n"/>
      <c r="P6904" s="27" t="n"/>
      <c r="Q6904" s="27" t="n"/>
      <c r="R6904" s="27" t="n"/>
      <c r="S6904" s="27" t="n"/>
      <c r="T6904" s="27" t="n"/>
    </row>
    <row r="6905" ht="13.8" customFormat="1" customHeight="1" s="70">
      <c r="M6905" s="27" t="n"/>
      <c r="N6905" s="27" t="n"/>
      <c r="O6905" s="27" t="n"/>
      <c r="P6905" s="27" t="n"/>
      <c r="Q6905" s="27" t="n"/>
      <c r="R6905" s="27" t="n"/>
      <c r="S6905" s="27" t="n"/>
      <c r="T6905" s="27" t="n"/>
    </row>
    <row r="6906" ht="13.8" customFormat="1" customHeight="1" s="70">
      <c r="M6906" s="27" t="n"/>
      <c r="N6906" s="27" t="n"/>
      <c r="O6906" s="27" t="n"/>
      <c r="P6906" s="27" t="n"/>
      <c r="Q6906" s="27" t="n"/>
      <c r="R6906" s="27" t="n"/>
      <c r="S6906" s="27" t="n"/>
      <c r="T6906" s="27" t="n"/>
    </row>
    <row r="6907" ht="13.8" customFormat="1" customHeight="1" s="70">
      <c r="M6907" s="27" t="n"/>
      <c r="N6907" s="27" t="n"/>
      <c r="O6907" s="27" t="n"/>
      <c r="P6907" s="27" t="n"/>
      <c r="Q6907" s="27" t="n"/>
      <c r="R6907" s="27" t="n"/>
      <c r="S6907" s="27" t="n"/>
      <c r="T6907" s="27" t="n"/>
    </row>
    <row r="6908" ht="13.8" customFormat="1" customHeight="1" s="70">
      <c r="M6908" s="27" t="n"/>
      <c r="N6908" s="27" t="n"/>
      <c r="O6908" s="27" t="n"/>
      <c r="P6908" s="27" t="n"/>
      <c r="Q6908" s="27" t="n"/>
      <c r="R6908" s="27" t="n"/>
      <c r="S6908" s="27" t="n"/>
      <c r="T6908" s="27" t="n"/>
    </row>
    <row r="6909" ht="13.8" customFormat="1" customHeight="1" s="70">
      <c r="M6909" s="27" t="n"/>
      <c r="N6909" s="27" t="n"/>
      <c r="O6909" s="27" t="n"/>
      <c r="P6909" s="27" t="n"/>
      <c r="Q6909" s="27" t="n"/>
      <c r="R6909" s="27" t="n"/>
      <c r="S6909" s="27" t="n"/>
      <c r="T6909" s="27" t="n"/>
    </row>
    <row r="6910" ht="13.8" customFormat="1" customHeight="1" s="70">
      <c r="M6910" s="27" t="n"/>
      <c r="N6910" s="27" t="n"/>
      <c r="O6910" s="27" t="n"/>
      <c r="P6910" s="27" t="n"/>
      <c r="Q6910" s="27" t="n"/>
      <c r="R6910" s="27" t="n"/>
      <c r="S6910" s="27" t="n"/>
      <c r="T6910" s="27" t="n"/>
    </row>
    <row r="6911" ht="13.8" customFormat="1" customHeight="1" s="70">
      <c r="M6911" s="27" t="n"/>
      <c r="N6911" s="27" t="n"/>
      <c r="O6911" s="27" t="n"/>
      <c r="P6911" s="27" t="n"/>
      <c r="Q6911" s="27" t="n"/>
      <c r="R6911" s="27" t="n"/>
      <c r="S6911" s="27" t="n"/>
      <c r="T6911" s="27" t="n"/>
    </row>
    <row r="6912" ht="13.8" customFormat="1" customHeight="1" s="70">
      <c r="M6912" s="27" t="n"/>
      <c r="N6912" s="27" t="n"/>
      <c r="O6912" s="27" t="n"/>
      <c r="P6912" s="27" t="n"/>
      <c r="Q6912" s="27" t="n"/>
      <c r="R6912" s="27" t="n"/>
      <c r="S6912" s="27" t="n"/>
      <c r="T6912" s="27" t="n"/>
    </row>
    <row r="6913" ht="13.8" customFormat="1" customHeight="1" s="70">
      <c r="M6913" s="27" t="n"/>
      <c r="N6913" s="27" t="n"/>
      <c r="O6913" s="27" t="n"/>
      <c r="P6913" s="27" t="n"/>
      <c r="Q6913" s="27" t="n"/>
      <c r="R6913" s="27" t="n"/>
      <c r="S6913" s="27" t="n"/>
      <c r="T6913" s="27" t="n"/>
    </row>
    <row r="6914" ht="13.8" customFormat="1" customHeight="1" s="70">
      <c r="M6914" s="27" t="n"/>
      <c r="N6914" s="27" t="n"/>
      <c r="O6914" s="27" t="n"/>
      <c r="P6914" s="27" t="n"/>
      <c r="Q6914" s="27" t="n"/>
      <c r="R6914" s="27" t="n"/>
      <c r="S6914" s="27" t="n"/>
      <c r="T6914" s="27" t="n"/>
    </row>
    <row r="6915" ht="13.8" customFormat="1" customHeight="1" s="70">
      <c r="M6915" s="27" t="n"/>
      <c r="N6915" s="27" t="n"/>
      <c r="O6915" s="27" t="n"/>
      <c r="P6915" s="27" t="n"/>
      <c r="Q6915" s="27" t="n"/>
      <c r="R6915" s="27" t="n"/>
      <c r="S6915" s="27" t="n"/>
      <c r="T6915" s="27" t="n"/>
    </row>
    <row r="6916" ht="13.8" customFormat="1" customHeight="1" s="70">
      <c r="M6916" s="27" t="n"/>
      <c r="N6916" s="27" t="n"/>
      <c r="O6916" s="27" t="n"/>
      <c r="P6916" s="27" t="n"/>
      <c r="Q6916" s="27" t="n"/>
      <c r="R6916" s="27" t="n"/>
      <c r="S6916" s="27" t="n"/>
      <c r="T6916" s="27" t="n"/>
    </row>
    <row r="6917" ht="13.8" customFormat="1" customHeight="1" s="70">
      <c r="M6917" s="27" t="n"/>
      <c r="N6917" s="27" t="n"/>
      <c r="O6917" s="27" t="n"/>
      <c r="P6917" s="27" t="n"/>
      <c r="Q6917" s="27" t="n"/>
      <c r="R6917" s="27" t="n"/>
      <c r="S6917" s="27" t="n"/>
      <c r="T6917" s="27" t="n"/>
    </row>
    <row r="6918" ht="13.8" customFormat="1" customHeight="1" s="70">
      <c r="M6918" s="27" t="n"/>
      <c r="N6918" s="27" t="n"/>
      <c r="O6918" s="27" t="n"/>
      <c r="P6918" s="27" t="n"/>
      <c r="Q6918" s="27" t="n"/>
      <c r="R6918" s="27" t="n"/>
      <c r="S6918" s="27" t="n"/>
      <c r="T6918" s="27" t="n"/>
    </row>
    <row r="6919" ht="13.8" customFormat="1" customHeight="1" s="70">
      <c r="M6919" s="27" t="n"/>
      <c r="N6919" s="27" t="n"/>
      <c r="O6919" s="27" t="n"/>
      <c r="P6919" s="27" t="n"/>
      <c r="Q6919" s="27" t="n"/>
      <c r="R6919" s="27" t="n"/>
      <c r="S6919" s="27" t="n"/>
      <c r="T6919" s="27" t="n"/>
    </row>
    <row r="6920" ht="13.8" customFormat="1" customHeight="1" s="70">
      <c r="M6920" s="27" t="n"/>
      <c r="N6920" s="27" t="n"/>
      <c r="O6920" s="27" t="n"/>
      <c r="P6920" s="27" t="n"/>
      <c r="Q6920" s="27" t="n"/>
      <c r="R6920" s="27" t="n"/>
      <c r="S6920" s="27" t="n"/>
      <c r="T6920" s="27" t="n"/>
    </row>
    <row r="6921" ht="13.8" customFormat="1" customHeight="1" s="70">
      <c r="M6921" s="27" t="n"/>
      <c r="N6921" s="27" t="n"/>
      <c r="O6921" s="27" t="n"/>
      <c r="P6921" s="27" t="n"/>
      <c r="Q6921" s="27" t="n"/>
      <c r="R6921" s="27" t="n"/>
      <c r="S6921" s="27" t="n"/>
      <c r="T6921" s="27" t="n"/>
    </row>
    <row r="6922" ht="13.8" customFormat="1" customHeight="1" s="70">
      <c r="M6922" s="27" t="n"/>
      <c r="N6922" s="27" t="n"/>
      <c r="O6922" s="27" t="n"/>
      <c r="P6922" s="27" t="n"/>
      <c r="Q6922" s="27" t="n"/>
      <c r="R6922" s="27" t="n"/>
      <c r="S6922" s="27" t="n"/>
      <c r="T6922" s="27" t="n"/>
    </row>
    <row r="6923" ht="13.8" customFormat="1" customHeight="1" s="70">
      <c r="M6923" s="27" t="n"/>
      <c r="N6923" s="27" t="n"/>
      <c r="O6923" s="27" t="n"/>
      <c r="P6923" s="27" t="n"/>
      <c r="Q6923" s="27" t="n"/>
      <c r="R6923" s="27" t="n"/>
      <c r="S6923" s="27" t="n"/>
      <c r="T6923" s="27" t="n"/>
    </row>
    <row r="6924" ht="13.8" customFormat="1" customHeight="1" s="70">
      <c r="M6924" s="27" t="n"/>
      <c r="N6924" s="27" t="n"/>
      <c r="O6924" s="27" t="n"/>
      <c r="P6924" s="27" t="n"/>
      <c r="Q6924" s="27" t="n"/>
      <c r="R6924" s="27" t="n"/>
      <c r="S6924" s="27" t="n"/>
      <c r="T6924" s="27" t="n"/>
    </row>
    <row r="6925" ht="13.8" customFormat="1" customHeight="1" s="70">
      <c r="M6925" s="27" t="n"/>
      <c r="N6925" s="27" t="n"/>
      <c r="O6925" s="27" t="n"/>
      <c r="P6925" s="27" t="n"/>
      <c r="Q6925" s="27" t="n"/>
      <c r="R6925" s="27" t="n"/>
      <c r="S6925" s="27" t="n"/>
      <c r="T6925" s="27" t="n"/>
    </row>
    <row r="6926" ht="13.8" customFormat="1" customHeight="1" s="70">
      <c r="M6926" s="27" t="n"/>
      <c r="N6926" s="27" t="n"/>
      <c r="O6926" s="27" t="n"/>
      <c r="P6926" s="27" t="n"/>
      <c r="Q6926" s="27" t="n"/>
      <c r="R6926" s="27" t="n"/>
      <c r="S6926" s="27" t="n"/>
      <c r="T6926" s="27" t="n"/>
    </row>
    <row r="6927" ht="13.8" customFormat="1" customHeight="1" s="70">
      <c r="M6927" s="27" t="n"/>
      <c r="N6927" s="27" t="n"/>
      <c r="O6927" s="27" t="n"/>
      <c r="P6927" s="27" t="n"/>
      <c r="Q6927" s="27" t="n"/>
      <c r="R6927" s="27" t="n"/>
      <c r="S6927" s="27" t="n"/>
      <c r="T6927" s="27" t="n"/>
    </row>
    <row r="6928" ht="13.8" customFormat="1" customHeight="1" s="70">
      <c r="M6928" s="27" t="n"/>
      <c r="N6928" s="27" t="n"/>
      <c r="O6928" s="27" t="n"/>
      <c r="P6928" s="27" t="n"/>
      <c r="Q6928" s="27" t="n"/>
      <c r="R6928" s="27" t="n"/>
      <c r="S6928" s="27" t="n"/>
      <c r="T6928" s="27" t="n"/>
    </row>
    <row r="6929" ht="13.8" customFormat="1" customHeight="1" s="70">
      <c r="M6929" s="27" t="n"/>
      <c r="N6929" s="27" t="n"/>
      <c r="O6929" s="27" t="n"/>
      <c r="P6929" s="27" t="n"/>
      <c r="Q6929" s="27" t="n"/>
      <c r="R6929" s="27" t="n"/>
      <c r="S6929" s="27" t="n"/>
      <c r="T6929" s="27" t="n"/>
    </row>
    <row r="6930" ht="13.8" customFormat="1" customHeight="1" s="70">
      <c r="M6930" s="27" t="n"/>
      <c r="N6930" s="27" t="n"/>
      <c r="O6930" s="27" t="n"/>
      <c r="P6930" s="27" t="n"/>
      <c r="Q6930" s="27" t="n"/>
      <c r="R6930" s="27" t="n"/>
      <c r="S6930" s="27" t="n"/>
      <c r="T6930" s="27" t="n"/>
    </row>
    <row r="6931" ht="13.8" customFormat="1" customHeight="1" s="70">
      <c r="M6931" s="27" t="n"/>
      <c r="N6931" s="27" t="n"/>
      <c r="O6931" s="27" t="n"/>
      <c r="P6931" s="27" t="n"/>
      <c r="Q6931" s="27" t="n"/>
      <c r="R6931" s="27" t="n"/>
      <c r="S6931" s="27" t="n"/>
      <c r="T6931" s="27" t="n"/>
    </row>
    <row r="6932" ht="13.8" customFormat="1" customHeight="1" s="70">
      <c r="M6932" s="27" t="n"/>
      <c r="N6932" s="27" t="n"/>
      <c r="O6932" s="27" t="n"/>
      <c r="P6932" s="27" t="n"/>
      <c r="Q6932" s="27" t="n"/>
      <c r="R6932" s="27" t="n"/>
      <c r="S6932" s="27" t="n"/>
      <c r="T6932" s="27" t="n"/>
    </row>
    <row r="6933" ht="13.8" customFormat="1" customHeight="1" s="70">
      <c r="M6933" s="27" t="n"/>
      <c r="N6933" s="27" t="n"/>
      <c r="O6933" s="27" t="n"/>
      <c r="P6933" s="27" t="n"/>
      <c r="Q6933" s="27" t="n"/>
      <c r="R6933" s="27" t="n"/>
      <c r="S6933" s="27" t="n"/>
      <c r="T6933" s="27" t="n"/>
    </row>
    <row r="6934" ht="13.8" customFormat="1" customHeight="1" s="70">
      <c r="M6934" s="27" t="n"/>
      <c r="N6934" s="27" t="n"/>
      <c r="O6934" s="27" t="n"/>
      <c r="P6934" s="27" t="n"/>
      <c r="Q6934" s="27" t="n"/>
      <c r="R6934" s="27" t="n"/>
      <c r="S6934" s="27" t="n"/>
      <c r="T6934" s="27" t="n"/>
    </row>
    <row r="6935" ht="13.8" customFormat="1" customHeight="1" s="70">
      <c r="M6935" s="27" t="n"/>
      <c r="N6935" s="27" t="n"/>
      <c r="O6935" s="27" t="n"/>
      <c r="P6935" s="27" t="n"/>
      <c r="Q6935" s="27" t="n"/>
      <c r="R6935" s="27" t="n"/>
      <c r="S6935" s="27" t="n"/>
      <c r="T6935" s="27" t="n"/>
    </row>
    <row r="6936" ht="13.8" customFormat="1" customHeight="1" s="70">
      <c r="M6936" s="27" t="n"/>
      <c r="N6936" s="27" t="n"/>
      <c r="O6936" s="27" t="n"/>
      <c r="P6936" s="27" t="n"/>
      <c r="Q6936" s="27" t="n"/>
      <c r="R6936" s="27" t="n"/>
      <c r="S6936" s="27" t="n"/>
      <c r="T6936" s="27" t="n"/>
    </row>
    <row r="6937" ht="13.8" customFormat="1" customHeight="1" s="70">
      <c r="M6937" s="27" t="n"/>
      <c r="N6937" s="27" t="n"/>
      <c r="O6937" s="27" t="n"/>
      <c r="P6937" s="27" t="n"/>
      <c r="Q6937" s="27" t="n"/>
      <c r="R6937" s="27" t="n"/>
      <c r="S6937" s="27" t="n"/>
      <c r="T6937" s="27" t="n"/>
    </row>
    <row r="6938" ht="13.8" customFormat="1" customHeight="1" s="70">
      <c r="M6938" s="27" t="n"/>
      <c r="N6938" s="27" t="n"/>
      <c r="O6938" s="27" t="n"/>
      <c r="P6938" s="27" t="n"/>
      <c r="Q6938" s="27" t="n"/>
      <c r="R6938" s="27" t="n"/>
      <c r="S6938" s="27" t="n"/>
      <c r="T6938" s="27" t="n"/>
    </row>
    <row r="6939" ht="13.8" customFormat="1" customHeight="1" s="70">
      <c r="M6939" s="27" t="n"/>
      <c r="N6939" s="27" t="n"/>
      <c r="O6939" s="27" t="n"/>
      <c r="P6939" s="27" t="n"/>
      <c r="Q6939" s="27" t="n"/>
      <c r="R6939" s="27" t="n"/>
      <c r="S6939" s="27" t="n"/>
      <c r="T6939" s="27" t="n"/>
    </row>
    <row r="6940" ht="13.8" customFormat="1" customHeight="1" s="70">
      <c r="M6940" s="27" t="n"/>
      <c r="N6940" s="27" t="n"/>
      <c r="O6940" s="27" t="n"/>
      <c r="P6940" s="27" t="n"/>
      <c r="Q6940" s="27" t="n"/>
      <c r="R6940" s="27" t="n"/>
      <c r="S6940" s="27" t="n"/>
      <c r="T6940" s="27" t="n"/>
    </row>
    <row r="6941" ht="13.8" customFormat="1" customHeight="1" s="70">
      <c r="M6941" s="27" t="n"/>
      <c r="N6941" s="27" t="n"/>
      <c r="O6941" s="27" t="n"/>
      <c r="P6941" s="27" t="n"/>
      <c r="Q6941" s="27" t="n"/>
      <c r="R6941" s="27" t="n"/>
      <c r="S6941" s="27" t="n"/>
      <c r="T6941" s="27" t="n"/>
    </row>
    <row r="6942" ht="13.8" customFormat="1" customHeight="1" s="70">
      <c r="M6942" s="27" t="n"/>
      <c r="N6942" s="27" t="n"/>
      <c r="O6942" s="27" t="n"/>
      <c r="P6942" s="27" t="n"/>
      <c r="Q6942" s="27" t="n"/>
      <c r="R6942" s="27" t="n"/>
      <c r="S6942" s="27" t="n"/>
      <c r="T6942" s="27" t="n"/>
    </row>
    <row r="6943" ht="13.8" customFormat="1" customHeight="1" s="70">
      <c r="M6943" s="27" t="n"/>
      <c r="N6943" s="27" t="n"/>
      <c r="O6943" s="27" t="n"/>
      <c r="P6943" s="27" t="n"/>
      <c r="Q6943" s="27" t="n"/>
      <c r="R6943" s="27" t="n"/>
      <c r="S6943" s="27" t="n"/>
      <c r="T6943" s="27" t="n"/>
    </row>
    <row r="6944" ht="13.8" customFormat="1" customHeight="1" s="70">
      <c r="M6944" s="27" t="n"/>
      <c r="N6944" s="27" t="n"/>
      <c r="O6944" s="27" t="n"/>
      <c r="P6944" s="27" t="n"/>
      <c r="Q6944" s="27" t="n"/>
      <c r="R6944" s="27" t="n"/>
      <c r="S6944" s="27" t="n"/>
      <c r="T6944" s="27" t="n"/>
    </row>
    <row r="6945" ht="13.8" customFormat="1" customHeight="1" s="70">
      <c r="M6945" s="27" t="n"/>
      <c r="N6945" s="27" t="n"/>
      <c r="O6945" s="27" t="n"/>
      <c r="P6945" s="27" t="n"/>
      <c r="Q6945" s="27" t="n"/>
      <c r="R6945" s="27" t="n"/>
      <c r="S6945" s="27" t="n"/>
      <c r="T6945" s="27" t="n"/>
    </row>
    <row r="6946" ht="13.8" customFormat="1" customHeight="1" s="70">
      <c r="M6946" s="27" t="n"/>
      <c r="N6946" s="27" t="n"/>
      <c r="O6946" s="27" t="n"/>
      <c r="P6946" s="27" t="n"/>
      <c r="Q6946" s="27" t="n"/>
      <c r="R6946" s="27" t="n"/>
      <c r="S6946" s="27" t="n"/>
      <c r="T6946" s="27" t="n"/>
    </row>
    <row r="6947" ht="13.8" customFormat="1" customHeight="1" s="70">
      <c r="M6947" s="27" t="n"/>
      <c r="N6947" s="27" t="n"/>
      <c r="O6947" s="27" t="n"/>
      <c r="P6947" s="27" t="n"/>
      <c r="Q6947" s="27" t="n"/>
      <c r="R6947" s="27" t="n"/>
      <c r="S6947" s="27" t="n"/>
      <c r="T6947" s="27" t="n"/>
    </row>
    <row r="6948" ht="13.8" customFormat="1" customHeight="1" s="70">
      <c r="M6948" s="27" t="n"/>
      <c r="N6948" s="27" t="n"/>
      <c r="O6948" s="27" t="n"/>
      <c r="P6948" s="27" t="n"/>
      <c r="Q6948" s="27" t="n"/>
      <c r="R6948" s="27" t="n"/>
      <c r="S6948" s="27" t="n"/>
      <c r="T6948" s="27" t="n"/>
    </row>
    <row r="6949" ht="13.8" customFormat="1" customHeight="1" s="70">
      <c r="M6949" s="27" t="n"/>
      <c r="N6949" s="27" t="n"/>
      <c r="O6949" s="27" t="n"/>
      <c r="P6949" s="27" t="n"/>
      <c r="Q6949" s="27" t="n"/>
      <c r="R6949" s="27" t="n"/>
      <c r="S6949" s="27" t="n"/>
      <c r="T6949" s="27" t="n"/>
    </row>
    <row r="6950" ht="13.8" customFormat="1" customHeight="1" s="70">
      <c r="M6950" s="27" t="n"/>
      <c r="N6950" s="27" t="n"/>
      <c r="O6950" s="27" t="n"/>
      <c r="P6950" s="27" t="n"/>
      <c r="Q6950" s="27" t="n"/>
      <c r="R6950" s="27" t="n"/>
      <c r="S6950" s="27" t="n"/>
      <c r="T6950" s="27" t="n"/>
    </row>
    <row r="6951" ht="13.8" customFormat="1" customHeight="1" s="70">
      <c r="M6951" s="27" t="n"/>
      <c r="N6951" s="27" t="n"/>
      <c r="O6951" s="27" t="n"/>
      <c r="P6951" s="27" t="n"/>
      <c r="Q6951" s="27" t="n"/>
      <c r="R6951" s="27" t="n"/>
      <c r="S6951" s="27" t="n"/>
      <c r="T6951" s="27" t="n"/>
    </row>
    <row r="6952" ht="13.8" customFormat="1" customHeight="1" s="70">
      <c r="M6952" s="27" t="n"/>
      <c r="N6952" s="27" t="n"/>
      <c r="O6952" s="27" t="n"/>
      <c r="P6952" s="27" t="n"/>
      <c r="Q6952" s="27" t="n"/>
      <c r="R6952" s="27" t="n"/>
      <c r="S6952" s="27" t="n"/>
      <c r="T6952" s="27" t="n"/>
    </row>
    <row r="6953" ht="13.8" customFormat="1" customHeight="1" s="70">
      <c r="M6953" s="27" t="n"/>
      <c r="N6953" s="27" t="n"/>
      <c r="O6953" s="27" t="n"/>
      <c r="P6953" s="27" t="n"/>
      <c r="Q6953" s="27" t="n"/>
      <c r="R6953" s="27" t="n"/>
      <c r="S6953" s="27" t="n"/>
      <c r="T6953" s="27" t="n"/>
    </row>
    <row r="6954" ht="13.8" customFormat="1" customHeight="1" s="70">
      <c r="M6954" s="27" t="n"/>
      <c r="N6954" s="27" t="n"/>
      <c r="O6954" s="27" t="n"/>
      <c r="P6954" s="27" t="n"/>
      <c r="Q6954" s="27" t="n"/>
      <c r="R6954" s="27" t="n"/>
      <c r="S6954" s="27" t="n"/>
      <c r="T6954" s="27" t="n"/>
    </row>
    <row r="6955" ht="13.8" customFormat="1" customHeight="1" s="70">
      <c r="M6955" s="27" t="n"/>
      <c r="N6955" s="27" t="n"/>
      <c r="O6955" s="27" t="n"/>
      <c r="P6955" s="27" t="n"/>
      <c r="Q6955" s="27" t="n"/>
      <c r="R6955" s="27" t="n"/>
      <c r="S6955" s="27" t="n"/>
      <c r="T6955" s="27" t="n"/>
    </row>
    <row r="6956" ht="13.8" customFormat="1" customHeight="1" s="70">
      <c r="M6956" s="27" t="n"/>
      <c r="N6956" s="27" t="n"/>
      <c r="O6956" s="27" t="n"/>
      <c r="P6956" s="27" t="n"/>
      <c r="Q6956" s="27" t="n"/>
      <c r="R6956" s="27" t="n"/>
      <c r="S6956" s="27" t="n"/>
      <c r="T6956" s="27" t="n"/>
    </row>
    <row r="6957" ht="13.8" customFormat="1" customHeight="1" s="70">
      <c r="M6957" s="27" t="n"/>
      <c r="N6957" s="27" t="n"/>
      <c r="O6957" s="27" t="n"/>
      <c r="P6957" s="27" t="n"/>
      <c r="Q6957" s="27" t="n"/>
      <c r="R6957" s="27" t="n"/>
      <c r="S6957" s="27" t="n"/>
      <c r="T6957" s="27" t="n"/>
    </row>
    <row r="6958" ht="13.8" customFormat="1" customHeight="1" s="70">
      <c r="M6958" s="27" t="n"/>
      <c r="N6958" s="27" t="n"/>
      <c r="O6958" s="27" t="n"/>
      <c r="P6958" s="27" t="n"/>
      <c r="Q6958" s="27" t="n"/>
      <c r="R6958" s="27" t="n"/>
      <c r="S6958" s="27" t="n"/>
      <c r="T6958" s="27" t="n"/>
    </row>
    <row r="6959" ht="13.8" customFormat="1" customHeight="1" s="70">
      <c r="M6959" s="27" t="n"/>
      <c r="N6959" s="27" t="n"/>
      <c r="O6959" s="27" t="n"/>
      <c r="P6959" s="27" t="n"/>
      <c r="Q6959" s="27" t="n"/>
      <c r="R6959" s="27" t="n"/>
      <c r="S6959" s="27" t="n"/>
      <c r="T6959" s="27" t="n"/>
    </row>
    <row r="6960" ht="13.8" customFormat="1" customHeight="1" s="70">
      <c r="M6960" s="27" t="n"/>
      <c r="N6960" s="27" t="n"/>
      <c r="O6960" s="27" t="n"/>
      <c r="P6960" s="27" t="n"/>
      <c r="Q6960" s="27" t="n"/>
      <c r="R6960" s="27" t="n"/>
      <c r="S6960" s="27" t="n"/>
      <c r="T6960" s="27" t="n"/>
    </row>
    <row r="6961" ht="13.8" customFormat="1" customHeight="1" s="70">
      <c r="M6961" s="27" t="n"/>
      <c r="N6961" s="27" t="n"/>
      <c r="O6961" s="27" t="n"/>
      <c r="P6961" s="27" t="n"/>
      <c r="Q6961" s="27" t="n"/>
      <c r="R6961" s="27" t="n"/>
      <c r="S6961" s="27" t="n"/>
      <c r="T6961" s="27" t="n"/>
    </row>
    <row r="6962" ht="13.8" customFormat="1" customHeight="1" s="70">
      <c r="M6962" s="27" t="n"/>
      <c r="N6962" s="27" t="n"/>
      <c r="O6962" s="27" t="n"/>
      <c r="P6962" s="27" t="n"/>
      <c r="Q6962" s="27" t="n"/>
      <c r="R6962" s="27" t="n"/>
      <c r="S6962" s="27" t="n"/>
      <c r="T6962" s="27" t="n"/>
    </row>
    <row r="6963" ht="13.8" customFormat="1" customHeight="1" s="70">
      <c r="M6963" s="27" t="n"/>
      <c r="N6963" s="27" t="n"/>
      <c r="O6963" s="27" t="n"/>
      <c r="P6963" s="27" t="n"/>
      <c r="Q6963" s="27" t="n"/>
      <c r="R6963" s="27" t="n"/>
      <c r="S6963" s="27" t="n"/>
      <c r="T6963" s="27" t="n"/>
    </row>
    <row r="6964" ht="13.8" customFormat="1" customHeight="1" s="70">
      <c r="M6964" s="27" t="n"/>
      <c r="N6964" s="27" t="n"/>
      <c r="O6964" s="27" t="n"/>
      <c r="P6964" s="27" t="n"/>
      <c r="Q6964" s="27" t="n"/>
      <c r="R6964" s="27" t="n"/>
      <c r="S6964" s="27" t="n"/>
      <c r="T6964" s="27" t="n"/>
    </row>
    <row r="6965" ht="13.8" customFormat="1" customHeight="1" s="70">
      <c r="M6965" s="27" t="n"/>
      <c r="N6965" s="27" t="n"/>
      <c r="O6965" s="27" t="n"/>
      <c r="P6965" s="27" t="n"/>
      <c r="Q6965" s="27" t="n"/>
      <c r="R6965" s="27" t="n"/>
      <c r="S6965" s="27" t="n"/>
      <c r="T6965" s="27" t="n"/>
    </row>
    <row r="6966" ht="13.8" customFormat="1" customHeight="1" s="70">
      <c r="M6966" s="27" t="n"/>
      <c r="N6966" s="27" t="n"/>
      <c r="O6966" s="27" t="n"/>
      <c r="P6966" s="27" t="n"/>
      <c r="Q6966" s="27" t="n"/>
      <c r="R6966" s="27" t="n"/>
      <c r="S6966" s="27" t="n"/>
      <c r="T6966" s="27" t="n"/>
    </row>
    <row r="6967" ht="13.8" customFormat="1" customHeight="1" s="70">
      <c r="M6967" s="27" t="n"/>
      <c r="N6967" s="27" t="n"/>
      <c r="O6967" s="27" t="n"/>
      <c r="P6967" s="27" t="n"/>
      <c r="Q6967" s="27" t="n"/>
      <c r="R6967" s="27" t="n"/>
      <c r="S6967" s="27" t="n"/>
      <c r="T6967" s="27" t="n"/>
    </row>
    <row r="6968" ht="13.8" customFormat="1" customHeight="1" s="70">
      <c r="M6968" s="27" t="n"/>
      <c r="N6968" s="27" t="n"/>
      <c r="O6968" s="27" t="n"/>
      <c r="P6968" s="27" t="n"/>
      <c r="Q6968" s="27" t="n"/>
      <c r="R6968" s="27" t="n"/>
      <c r="S6968" s="27" t="n"/>
      <c r="T6968" s="27" t="n"/>
    </row>
    <row r="6969" ht="13.8" customFormat="1" customHeight="1" s="70">
      <c r="M6969" s="27" t="n"/>
      <c r="N6969" s="27" t="n"/>
      <c r="O6969" s="27" t="n"/>
      <c r="P6969" s="27" t="n"/>
      <c r="Q6969" s="27" t="n"/>
      <c r="R6969" s="27" t="n"/>
      <c r="S6969" s="27" t="n"/>
      <c r="T6969" s="27" t="n"/>
    </row>
    <row r="6970" ht="13.8" customFormat="1" customHeight="1" s="70">
      <c r="M6970" s="27" t="n"/>
      <c r="N6970" s="27" t="n"/>
      <c r="O6970" s="27" t="n"/>
      <c r="P6970" s="27" t="n"/>
      <c r="Q6970" s="27" t="n"/>
      <c r="R6970" s="27" t="n"/>
      <c r="S6970" s="27" t="n"/>
      <c r="T6970" s="27" t="n"/>
    </row>
    <row r="6971" ht="13.8" customFormat="1" customHeight="1" s="70">
      <c r="M6971" s="27" t="n"/>
      <c r="N6971" s="27" t="n"/>
      <c r="O6971" s="27" t="n"/>
      <c r="P6971" s="27" t="n"/>
      <c r="Q6971" s="27" t="n"/>
      <c r="R6971" s="27" t="n"/>
      <c r="S6971" s="27" t="n"/>
      <c r="T6971" s="27" t="n"/>
    </row>
    <row r="6972" ht="13.8" customFormat="1" customHeight="1" s="70">
      <c r="M6972" s="27" t="n"/>
      <c r="N6972" s="27" t="n"/>
      <c r="O6972" s="27" t="n"/>
      <c r="P6972" s="27" t="n"/>
      <c r="Q6972" s="27" t="n"/>
      <c r="R6972" s="27" t="n"/>
      <c r="S6972" s="27" t="n"/>
      <c r="T6972" s="27" t="n"/>
    </row>
    <row r="6973" ht="13.8" customFormat="1" customHeight="1" s="70">
      <c r="M6973" s="27" t="n"/>
      <c r="N6973" s="27" t="n"/>
      <c r="O6973" s="27" t="n"/>
      <c r="P6973" s="27" t="n"/>
      <c r="Q6973" s="27" t="n"/>
      <c r="R6973" s="27" t="n"/>
      <c r="S6973" s="27" t="n"/>
      <c r="T6973" s="27" t="n"/>
    </row>
    <row r="6974" ht="13.8" customFormat="1" customHeight="1" s="70">
      <c r="M6974" s="27" t="n"/>
      <c r="N6974" s="27" t="n"/>
      <c r="O6974" s="27" t="n"/>
      <c r="P6974" s="27" t="n"/>
      <c r="Q6974" s="27" t="n"/>
      <c r="R6974" s="27" t="n"/>
      <c r="S6974" s="27" t="n"/>
      <c r="T6974" s="27" t="n"/>
    </row>
    <row r="6975" ht="13.8" customFormat="1" customHeight="1" s="70">
      <c r="M6975" s="27" t="n"/>
      <c r="N6975" s="27" t="n"/>
      <c r="O6975" s="27" t="n"/>
      <c r="P6975" s="27" t="n"/>
      <c r="Q6975" s="27" t="n"/>
      <c r="R6975" s="27" t="n"/>
      <c r="S6975" s="27" t="n"/>
      <c r="T6975" s="27" t="n"/>
    </row>
    <row r="6976" ht="13.8" customFormat="1" customHeight="1" s="70">
      <c r="M6976" s="27" t="n"/>
      <c r="N6976" s="27" t="n"/>
      <c r="O6976" s="27" t="n"/>
      <c r="P6976" s="27" t="n"/>
      <c r="Q6976" s="27" t="n"/>
      <c r="R6976" s="27" t="n"/>
      <c r="S6976" s="27" t="n"/>
      <c r="T6976" s="27" t="n"/>
    </row>
    <row r="6977" ht="13.8" customFormat="1" customHeight="1" s="70">
      <c r="M6977" s="27" t="n"/>
      <c r="N6977" s="27" t="n"/>
      <c r="O6977" s="27" t="n"/>
      <c r="P6977" s="27" t="n"/>
      <c r="Q6977" s="27" t="n"/>
      <c r="R6977" s="27" t="n"/>
      <c r="S6977" s="27" t="n"/>
      <c r="T6977" s="27" t="n"/>
    </row>
    <row r="6978" ht="13.8" customFormat="1" customHeight="1" s="70">
      <c r="M6978" s="27" t="n"/>
      <c r="N6978" s="27" t="n"/>
      <c r="O6978" s="27" t="n"/>
      <c r="P6978" s="27" t="n"/>
      <c r="Q6978" s="27" t="n"/>
      <c r="R6978" s="27" t="n"/>
      <c r="S6978" s="27" t="n"/>
      <c r="T6978" s="27" t="n"/>
    </row>
    <row r="6979" ht="13.8" customFormat="1" customHeight="1" s="70">
      <c r="M6979" s="27" t="n"/>
      <c r="N6979" s="27" t="n"/>
      <c r="O6979" s="27" t="n"/>
      <c r="P6979" s="27" t="n"/>
      <c r="Q6979" s="27" t="n"/>
      <c r="R6979" s="27" t="n"/>
      <c r="S6979" s="27" t="n"/>
      <c r="T6979" s="27" t="n"/>
    </row>
    <row r="6980" ht="13.8" customFormat="1" customHeight="1" s="70">
      <c r="M6980" s="27" t="n"/>
      <c r="N6980" s="27" t="n"/>
      <c r="O6980" s="27" t="n"/>
      <c r="P6980" s="27" t="n"/>
      <c r="Q6980" s="27" t="n"/>
      <c r="R6980" s="27" t="n"/>
      <c r="S6980" s="27" t="n"/>
      <c r="T6980" s="27" t="n"/>
    </row>
    <row r="6981" ht="13.8" customFormat="1" customHeight="1" s="70">
      <c r="M6981" s="27" t="n"/>
      <c r="N6981" s="27" t="n"/>
      <c r="O6981" s="27" t="n"/>
      <c r="P6981" s="27" t="n"/>
      <c r="Q6981" s="27" t="n"/>
      <c r="R6981" s="27" t="n"/>
      <c r="S6981" s="27" t="n"/>
      <c r="T6981" s="27" t="n"/>
    </row>
    <row r="6982" ht="13.8" customFormat="1" customHeight="1" s="70">
      <c r="M6982" s="27" t="n"/>
      <c r="N6982" s="27" t="n"/>
      <c r="O6982" s="27" t="n"/>
      <c r="P6982" s="27" t="n"/>
      <c r="Q6982" s="27" t="n"/>
      <c r="R6982" s="27" t="n"/>
      <c r="S6982" s="27" t="n"/>
      <c r="T6982" s="27" t="n"/>
    </row>
    <row r="6983" ht="13.8" customFormat="1" customHeight="1" s="70">
      <c r="M6983" s="27" t="n"/>
      <c r="N6983" s="27" t="n"/>
      <c r="O6983" s="27" t="n"/>
      <c r="P6983" s="27" t="n"/>
      <c r="Q6983" s="27" t="n"/>
      <c r="R6983" s="27" t="n"/>
      <c r="S6983" s="27" t="n"/>
      <c r="T6983" s="27" t="n"/>
    </row>
    <row r="6984" ht="13.8" customFormat="1" customHeight="1" s="70">
      <c r="M6984" s="27" t="n"/>
      <c r="N6984" s="27" t="n"/>
      <c r="O6984" s="27" t="n"/>
      <c r="P6984" s="27" t="n"/>
      <c r="Q6984" s="27" t="n"/>
      <c r="R6984" s="27" t="n"/>
      <c r="S6984" s="27" t="n"/>
      <c r="T6984" s="27" t="n"/>
    </row>
    <row r="6985" ht="13.8" customFormat="1" customHeight="1" s="70">
      <c r="M6985" s="27" t="n"/>
      <c r="N6985" s="27" t="n"/>
      <c r="O6985" s="27" t="n"/>
      <c r="P6985" s="27" t="n"/>
      <c r="Q6985" s="27" t="n"/>
      <c r="R6985" s="27" t="n"/>
      <c r="S6985" s="27" t="n"/>
      <c r="T6985" s="27" t="n"/>
    </row>
    <row r="6986" ht="13.8" customFormat="1" customHeight="1" s="70">
      <c r="M6986" s="27" t="n"/>
      <c r="N6986" s="27" t="n"/>
      <c r="O6986" s="27" t="n"/>
      <c r="P6986" s="27" t="n"/>
      <c r="Q6986" s="27" t="n"/>
      <c r="R6986" s="27" t="n"/>
      <c r="S6986" s="27" t="n"/>
      <c r="T6986" s="27" t="n"/>
    </row>
    <row r="6987" ht="13.8" customFormat="1" customHeight="1" s="70">
      <c r="M6987" s="27" t="n"/>
      <c r="N6987" s="27" t="n"/>
      <c r="O6987" s="27" t="n"/>
      <c r="P6987" s="27" t="n"/>
      <c r="Q6987" s="27" t="n"/>
      <c r="R6987" s="27" t="n"/>
      <c r="S6987" s="27" t="n"/>
      <c r="T6987" s="27" t="n"/>
    </row>
    <row r="6988" ht="13.8" customFormat="1" customHeight="1" s="70">
      <c r="M6988" s="27" t="n"/>
      <c r="N6988" s="27" t="n"/>
      <c r="O6988" s="27" t="n"/>
      <c r="P6988" s="27" t="n"/>
      <c r="Q6988" s="27" t="n"/>
      <c r="R6988" s="27" t="n"/>
      <c r="S6988" s="27" t="n"/>
      <c r="T6988" s="27" t="n"/>
    </row>
    <row r="6989" ht="13.8" customFormat="1" customHeight="1" s="70">
      <c r="M6989" s="27" t="n"/>
      <c r="N6989" s="27" t="n"/>
      <c r="O6989" s="27" t="n"/>
      <c r="P6989" s="27" t="n"/>
      <c r="Q6989" s="27" t="n"/>
      <c r="R6989" s="27" t="n"/>
      <c r="S6989" s="27" t="n"/>
      <c r="T6989" s="27" t="n"/>
    </row>
    <row r="6990" ht="13.8" customFormat="1" customHeight="1" s="70">
      <c r="M6990" s="27" t="n"/>
      <c r="N6990" s="27" t="n"/>
      <c r="O6990" s="27" t="n"/>
      <c r="P6990" s="27" t="n"/>
      <c r="Q6990" s="27" t="n"/>
      <c r="R6990" s="27" t="n"/>
      <c r="S6990" s="27" t="n"/>
      <c r="T6990" s="27" t="n"/>
    </row>
    <row r="6991" ht="13.8" customFormat="1" customHeight="1" s="70">
      <c r="M6991" s="27" t="n"/>
      <c r="N6991" s="27" t="n"/>
      <c r="O6991" s="27" t="n"/>
      <c r="P6991" s="27" t="n"/>
      <c r="Q6991" s="27" t="n"/>
      <c r="R6991" s="27" t="n"/>
      <c r="S6991" s="27" t="n"/>
      <c r="T6991" s="27" t="n"/>
    </row>
    <row r="6992" ht="13.8" customFormat="1" customHeight="1" s="70">
      <c r="M6992" s="27" t="n"/>
      <c r="N6992" s="27" t="n"/>
      <c r="O6992" s="27" t="n"/>
      <c r="P6992" s="27" t="n"/>
      <c r="Q6992" s="27" t="n"/>
      <c r="R6992" s="27" t="n"/>
      <c r="S6992" s="27" t="n"/>
      <c r="T6992" s="27" t="n"/>
    </row>
    <row r="6993" ht="13.8" customFormat="1" customHeight="1" s="70">
      <c r="M6993" s="27" t="n"/>
      <c r="N6993" s="27" t="n"/>
      <c r="O6993" s="27" t="n"/>
      <c r="P6993" s="27" t="n"/>
      <c r="Q6993" s="27" t="n"/>
      <c r="R6993" s="27" t="n"/>
      <c r="S6993" s="27" t="n"/>
      <c r="T6993" s="27" t="n"/>
    </row>
    <row r="6994" ht="13.8" customFormat="1" customHeight="1" s="70">
      <c r="M6994" s="27" t="n"/>
      <c r="N6994" s="27" t="n"/>
      <c r="O6994" s="27" t="n"/>
      <c r="P6994" s="27" t="n"/>
      <c r="Q6994" s="27" t="n"/>
      <c r="R6994" s="27" t="n"/>
      <c r="S6994" s="27" t="n"/>
      <c r="T6994" s="27" t="n"/>
    </row>
    <row r="6995" ht="13.8" customFormat="1" customHeight="1" s="70">
      <c r="M6995" s="27" t="n"/>
      <c r="N6995" s="27" t="n"/>
      <c r="O6995" s="27" t="n"/>
      <c r="P6995" s="27" t="n"/>
      <c r="Q6995" s="27" t="n"/>
      <c r="R6995" s="27" t="n"/>
      <c r="S6995" s="27" t="n"/>
      <c r="T6995" s="27" t="n"/>
    </row>
    <row r="6996" ht="13.8" customFormat="1" customHeight="1" s="70">
      <c r="M6996" s="27" t="n"/>
      <c r="N6996" s="27" t="n"/>
      <c r="O6996" s="27" t="n"/>
      <c r="P6996" s="27" t="n"/>
      <c r="Q6996" s="27" t="n"/>
      <c r="R6996" s="27" t="n"/>
      <c r="S6996" s="27" t="n"/>
      <c r="T6996" s="27" t="n"/>
    </row>
    <row r="6997" ht="13.8" customFormat="1" customHeight="1" s="70">
      <c r="M6997" s="27" t="n"/>
      <c r="N6997" s="27" t="n"/>
      <c r="O6997" s="27" t="n"/>
      <c r="P6997" s="27" t="n"/>
      <c r="Q6997" s="27" t="n"/>
      <c r="R6997" s="27" t="n"/>
      <c r="S6997" s="27" t="n"/>
      <c r="T6997" s="27" t="n"/>
    </row>
    <row r="6998" ht="13.8" customFormat="1" customHeight="1" s="70">
      <c r="M6998" s="27" t="n"/>
      <c r="N6998" s="27" t="n"/>
      <c r="O6998" s="27" t="n"/>
      <c r="P6998" s="27" t="n"/>
      <c r="Q6998" s="27" t="n"/>
      <c r="R6998" s="27" t="n"/>
      <c r="S6998" s="27" t="n"/>
      <c r="T6998" s="27" t="n"/>
    </row>
    <row r="6999" ht="13.8" customFormat="1" customHeight="1" s="70">
      <c r="M6999" s="27" t="n"/>
      <c r="N6999" s="27" t="n"/>
      <c r="O6999" s="27" t="n"/>
      <c r="P6999" s="27" t="n"/>
      <c r="Q6999" s="27" t="n"/>
      <c r="R6999" s="27" t="n"/>
      <c r="S6999" s="27" t="n"/>
      <c r="T6999" s="27" t="n"/>
    </row>
    <row r="7000" ht="13.8" customFormat="1" customHeight="1" s="70">
      <c r="M7000" s="27" t="n"/>
      <c r="N7000" s="27" t="n"/>
      <c r="O7000" s="27" t="n"/>
      <c r="P7000" s="27" t="n"/>
      <c r="Q7000" s="27" t="n"/>
      <c r="R7000" s="27" t="n"/>
      <c r="S7000" s="27" t="n"/>
      <c r="T7000" s="27" t="n"/>
    </row>
    <row r="7001" ht="13.8" customFormat="1" customHeight="1" s="70">
      <c r="M7001" s="27" t="n"/>
      <c r="N7001" s="27" t="n"/>
      <c r="O7001" s="27" t="n"/>
      <c r="P7001" s="27" t="n"/>
      <c r="Q7001" s="27" t="n"/>
      <c r="R7001" s="27" t="n"/>
      <c r="S7001" s="27" t="n"/>
      <c r="T7001" s="27" t="n"/>
    </row>
    <row r="7002" ht="13.8" customFormat="1" customHeight="1" s="70">
      <c r="M7002" s="27" t="n"/>
      <c r="N7002" s="27" t="n"/>
      <c r="O7002" s="27" t="n"/>
      <c r="P7002" s="27" t="n"/>
      <c r="Q7002" s="27" t="n"/>
      <c r="R7002" s="27" t="n"/>
      <c r="S7002" s="27" t="n"/>
      <c r="T7002" s="27" t="n"/>
    </row>
    <row r="7003" ht="13.8" customFormat="1" customHeight="1" s="70">
      <c r="M7003" s="27" t="n"/>
      <c r="N7003" s="27" t="n"/>
      <c r="O7003" s="27" t="n"/>
      <c r="P7003" s="27" t="n"/>
      <c r="Q7003" s="27" t="n"/>
      <c r="R7003" s="27" t="n"/>
      <c r="S7003" s="27" t="n"/>
      <c r="T7003" s="27" t="n"/>
    </row>
    <row r="7004" ht="13.8" customFormat="1" customHeight="1" s="70">
      <c r="M7004" s="27" t="n"/>
      <c r="N7004" s="27" t="n"/>
      <c r="O7004" s="27" t="n"/>
      <c r="P7004" s="27" t="n"/>
      <c r="Q7004" s="27" t="n"/>
      <c r="R7004" s="27" t="n"/>
      <c r="S7004" s="27" t="n"/>
      <c r="T7004" s="27" t="n"/>
    </row>
    <row r="7005" ht="13.8" customFormat="1" customHeight="1" s="70">
      <c r="M7005" s="27" t="n"/>
      <c r="N7005" s="27" t="n"/>
      <c r="O7005" s="27" t="n"/>
      <c r="P7005" s="27" t="n"/>
      <c r="Q7005" s="27" t="n"/>
      <c r="R7005" s="27" t="n"/>
      <c r="S7005" s="27" t="n"/>
      <c r="T7005" s="27" t="n"/>
    </row>
    <row r="7006" ht="13.8" customFormat="1" customHeight="1" s="70">
      <c r="M7006" s="27" t="n"/>
      <c r="N7006" s="27" t="n"/>
      <c r="O7006" s="27" t="n"/>
      <c r="P7006" s="27" t="n"/>
      <c r="Q7006" s="27" t="n"/>
      <c r="R7006" s="27" t="n"/>
      <c r="S7006" s="27" t="n"/>
      <c r="T7006" s="27" t="n"/>
    </row>
    <row r="7007" ht="13.8" customFormat="1" customHeight="1" s="70">
      <c r="M7007" s="27" t="n"/>
      <c r="N7007" s="27" t="n"/>
      <c r="O7007" s="27" t="n"/>
      <c r="P7007" s="27" t="n"/>
      <c r="Q7007" s="27" t="n"/>
      <c r="R7007" s="27" t="n"/>
      <c r="S7007" s="27" t="n"/>
      <c r="T7007" s="27" t="n"/>
    </row>
    <row r="7008" ht="13.8" customFormat="1" customHeight="1" s="70">
      <c r="M7008" s="27" t="n"/>
      <c r="N7008" s="27" t="n"/>
      <c r="O7008" s="27" t="n"/>
      <c r="P7008" s="27" t="n"/>
      <c r="Q7008" s="27" t="n"/>
      <c r="R7008" s="27" t="n"/>
      <c r="S7008" s="27" t="n"/>
      <c r="T7008" s="27" t="n"/>
    </row>
    <row r="7009" ht="13.8" customFormat="1" customHeight="1" s="70">
      <c r="M7009" s="27" t="n"/>
      <c r="N7009" s="27" t="n"/>
      <c r="O7009" s="27" t="n"/>
      <c r="P7009" s="27" t="n"/>
      <c r="Q7009" s="27" t="n"/>
      <c r="R7009" s="27" t="n"/>
      <c r="S7009" s="27" t="n"/>
      <c r="T7009" s="27" t="n"/>
    </row>
    <row r="7010" ht="13.8" customFormat="1" customHeight="1" s="70">
      <c r="M7010" s="27" t="n"/>
      <c r="N7010" s="27" t="n"/>
      <c r="O7010" s="27" t="n"/>
      <c r="P7010" s="27" t="n"/>
      <c r="Q7010" s="27" t="n"/>
      <c r="R7010" s="27" t="n"/>
      <c r="S7010" s="27" t="n"/>
      <c r="T7010" s="27" t="n"/>
    </row>
    <row r="7011" ht="13.8" customFormat="1" customHeight="1" s="70">
      <c r="M7011" s="27" t="n"/>
      <c r="N7011" s="27" t="n"/>
      <c r="O7011" s="27" t="n"/>
      <c r="P7011" s="27" t="n"/>
      <c r="Q7011" s="27" t="n"/>
      <c r="R7011" s="27" t="n"/>
      <c r="S7011" s="27" t="n"/>
      <c r="T7011" s="27" t="n"/>
    </row>
    <row r="7012" ht="13.8" customFormat="1" customHeight="1" s="70">
      <c r="M7012" s="27" t="n"/>
      <c r="N7012" s="27" t="n"/>
      <c r="O7012" s="27" t="n"/>
      <c r="P7012" s="27" t="n"/>
      <c r="Q7012" s="27" t="n"/>
      <c r="R7012" s="27" t="n"/>
      <c r="S7012" s="27" t="n"/>
      <c r="T7012" s="27" t="n"/>
    </row>
    <row r="7013" ht="13.8" customFormat="1" customHeight="1" s="70">
      <c r="M7013" s="27" t="n"/>
      <c r="N7013" s="27" t="n"/>
      <c r="O7013" s="27" t="n"/>
      <c r="P7013" s="27" t="n"/>
      <c r="Q7013" s="27" t="n"/>
      <c r="R7013" s="27" t="n"/>
      <c r="S7013" s="27" t="n"/>
      <c r="T7013" s="27" t="n"/>
    </row>
    <row r="7014" ht="13.8" customFormat="1" customHeight="1" s="70">
      <c r="M7014" s="27" t="n"/>
      <c r="N7014" s="27" t="n"/>
      <c r="O7014" s="27" t="n"/>
      <c r="P7014" s="27" t="n"/>
      <c r="Q7014" s="27" t="n"/>
      <c r="R7014" s="27" t="n"/>
      <c r="S7014" s="27" t="n"/>
      <c r="T7014" s="27" t="n"/>
    </row>
    <row r="7015" ht="13.8" customFormat="1" customHeight="1" s="70">
      <c r="M7015" s="27" t="n"/>
      <c r="N7015" s="27" t="n"/>
      <c r="O7015" s="27" t="n"/>
      <c r="P7015" s="27" t="n"/>
      <c r="Q7015" s="27" t="n"/>
      <c r="R7015" s="27" t="n"/>
      <c r="S7015" s="27" t="n"/>
      <c r="T7015" s="27" t="n"/>
    </row>
    <row r="7016" ht="13.8" customFormat="1" customHeight="1" s="70">
      <c r="M7016" s="27" t="n"/>
      <c r="N7016" s="27" t="n"/>
      <c r="O7016" s="27" t="n"/>
      <c r="P7016" s="27" t="n"/>
      <c r="Q7016" s="27" t="n"/>
      <c r="R7016" s="27" t="n"/>
      <c r="S7016" s="27" t="n"/>
      <c r="T7016" s="27" t="n"/>
    </row>
    <row r="7017" ht="13.8" customFormat="1" customHeight="1" s="70">
      <c r="M7017" s="27" t="n"/>
      <c r="N7017" s="27" t="n"/>
      <c r="O7017" s="27" t="n"/>
      <c r="P7017" s="27" t="n"/>
      <c r="Q7017" s="27" t="n"/>
      <c r="R7017" s="27" t="n"/>
      <c r="S7017" s="27" t="n"/>
      <c r="T7017" s="27" t="n"/>
    </row>
    <row r="7018" ht="13.8" customFormat="1" customHeight="1" s="70">
      <c r="M7018" s="27" t="n"/>
      <c r="N7018" s="27" t="n"/>
      <c r="O7018" s="27" t="n"/>
      <c r="P7018" s="27" t="n"/>
      <c r="Q7018" s="27" t="n"/>
      <c r="R7018" s="27" t="n"/>
      <c r="S7018" s="27" t="n"/>
      <c r="T7018" s="27" t="n"/>
    </row>
    <row r="7019" ht="13.8" customFormat="1" customHeight="1" s="70">
      <c r="M7019" s="27" t="n"/>
      <c r="N7019" s="27" t="n"/>
      <c r="O7019" s="27" t="n"/>
      <c r="P7019" s="27" t="n"/>
      <c r="Q7019" s="27" t="n"/>
      <c r="R7019" s="27" t="n"/>
      <c r="S7019" s="27" t="n"/>
      <c r="T7019" s="27" t="n"/>
    </row>
    <row r="7020" ht="13.8" customFormat="1" customHeight="1" s="70">
      <c r="M7020" s="27" t="n"/>
      <c r="N7020" s="27" t="n"/>
      <c r="O7020" s="27" t="n"/>
      <c r="P7020" s="27" t="n"/>
      <c r="Q7020" s="27" t="n"/>
      <c r="R7020" s="27" t="n"/>
      <c r="S7020" s="27" t="n"/>
      <c r="T7020" s="27" t="n"/>
    </row>
    <row r="7021" ht="13.8" customFormat="1" customHeight="1" s="70">
      <c r="M7021" s="27" t="n"/>
      <c r="N7021" s="27" t="n"/>
      <c r="O7021" s="27" t="n"/>
      <c r="P7021" s="27" t="n"/>
      <c r="Q7021" s="27" t="n"/>
      <c r="R7021" s="27" t="n"/>
      <c r="S7021" s="27" t="n"/>
      <c r="T7021" s="27" t="n"/>
    </row>
    <row r="7022" ht="13.8" customFormat="1" customHeight="1" s="70">
      <c r="M7022" s="27" t="n"/>
      <c r="N7022" s="27" t="n"/>
      <c r="O7022" s="27" t="n"/>
      <c r="P7022" s="27" t="n"/>
      <c r="Q7022" s="27" t="n"/>
      <c r="R7022" s="27" t="n"/>
      <c r="S7022" s="27" t="n"/>
      <c r="T7022" s="27" t="n"/>
    </row>
    <row r="7023" ht="13.8" customFormat="1" customHeight="1" s="70">
      <c r="M7023" s="27" t="n"/>
      <c r="N7023" s="27" t="n"/>
      <c r="O7023" s="27" t="n"/>
      <c r="P7023" s="27" t="n"/>
      <c r="Q7023" s="27" t="n"/>
      <c r="R7023" s="27" t="n"/>
      <c r="S7023" s="27" t="n"/>
      <c r="T7023" s="27" t="n"/>
    </row>
    <row r="7024" ht="13.8" customFormat="1" customHeight="1" s="70">
      <c r="M7024" s="27" t="n"/>
      <c r="N7024" s="27" t="n"/>
      <c r="O7024" s="27" t="n"/>
      <c r="P7024" s="27" t="n"/>
      <c r="Q7024" s="27" t="n"/>
      <c r="R7024" s="27" t="n"/>
      <c r="S7024" s="27" t="n"/>
      <c r="T7024" s="27" t="n"/>
    </row>
    <row r="7025" ht="13.8" customFormat="1" customHeight="1" s="70">
      <c r="M7025" s="27" t="n"/>
      <c r="N7025" s="27" t="n"/>
      <c r="O7025" s="27" t="n"/>
      <c r="P7025" s="27" t="n"/>
      <c r="Q7025" s="27" t="n"/>
      <c r="R7025" s="27" t="n"/>
      <c r="S7025" s="27" t="n"/>
      <c r="T7025" s="27" t="n"/>
    </row>
    <row r="7026" ht="13.8" customFormat="1" customHeight="1" s="70">
      <c r="M7026" s="27" t="n"/>
      <c r="N7026" s="27" t="n"/>
      <c r="O7026" s="27" t="n"/>
      <c r="P7026" s="27" t="n"/>
      <c r="Q7026" s="27" t="n"/>
      <c r="R7026" s="27" t="n"/>
      <c r="S7026" s="27" t="n"/>
      <c r="T7026" s="27" t="n"/>
    </row>
    <row r="7027" ht="13.8" customFormat="1" customHeight="1" s="70">
      <c r="M7027" s="27" t="n"/>
      <c r="N7027" s="27" t="n"/>
      <c r="O7027" s="27" t="n"/>
      <c r="P7027" s="27" t="n"/>
      <c r="Q7027" s="27" t="n"/>
      <c r="R7027" s="27" t="n"/>
      <c r="S7027" s="27" t="n"/>
      <c r="T7027" s="27" t="n"/>
    </row>
    <row r="7028" ht="13.8" customFormat="1" customHeight="1" s="70">
      <c r="M7028" s="27" t="n"/>
      <c r="N7028" s="27" t="n"/>
      <c r="O7028" s="27" t="n"/>
      <c r="P7028" s="27" t="n"/>
      <c r="Q7028" s="27" t="n"/>
      <c r="R7028" s="27" t="n"/>
      <c r="S7028" s="27" t="n"/>
      <c r="T7028" s="27" t="n"/>
    </row>
    <row r="7029" ht="13.8" customFormat="1" customHeight="1" s="70">
      <c r="M7029" s="27" t="n"/>
      <c r="N7029" s="27" t="n"/>
      <c r="O7029" s="27" t="n"/>
      <c r="P7029" s="27" t="n"/>
      <c r="Q7029" s="27" t="n"/>
      <c r="R7029" s="27" t="n"/>
      <c r="S7029" s="27" t="n"/>
      <c r="T7029" s="27" t="n"/>
    </row>
    <row r="7030" ht="13.8" customFormat="1" customHeight="1" s="70">
      <c r="M7030" s="27" t="n"/>
      <c r="N7030" s="27" t="n"/>
      <c r="O7030" s="27" t="n"/>
      <c r="P7030" s="27" t="n"/>
      <c r="Q7030" s="27" t="n"/>
      <c r="R7030" s="27" t="n"/>
      <c r="S7030" s="27" t="n"/>
      <c r="T7030" s="27" t="n"/>
    </row>
    <row r="7031" ht="13.8" customFormat="1" customHeight="1" s="70">
      <c r="M7031" s="27" t="n"/>
      <c r="N7031" s="27" t="n"/>
      <c r="O7031" s="27" t="n"/>
      <c r="P7031" s="27" t="n"/>
      <c r="Q7031" s="27" t="n"/>
      <c r="R7031" s="27" t="n"/>
      <c r="S7031" s="27" t="n"/>
      <c r="T7031" s="27" t="n"/>
    </row>
    <row r="7032" ht="13.8" customFormat="1" customHeight="1" s="70">
      <c r="M7032" s="27" t="n"/>
      <c r="N7032" s="27" t="n"/>
      <c r="O7032" s="27" t="n"/>
      <c r="P7032" s="27" t="n"/>
      <c r="Q7032" s="27" t="n"/>
      <c r="R7032" s="27" t="n"/>
      <c r="S7032" s="27" t="n"/>
      <c r="T7032" s="27" t="n"/>
    </row>
    <row r="7033" ht="13.8" customFormat="1" customHeight="1" s="70">
      <c r="M7033" s="27" t="n"/>
      <c r="N7033" s="27" t="n"/>
      <c r="O7033" s="27" t="n"/>
      <c r="P7033" s="27" t="n"/>
      <c r="Q7033" s="27" t="n"/>
      <c r="R7033" s="27" t="n"/>
      <c r="S7033" s="27" t="n"/>
      <c r="T7033" s="27" t="n"/>
    </row>
    <row r="7034" ht="13.8" customFormat="1" customHeight="1" s="70">
      <c r="M7034" s="27" t="n"/>
      <c r="N7034" s="27" t="n"/>
      <c r="O7034" s="27" t="n"/>
      <c r="P7034" s="27" t="n"/>
      <c r="Q7034" s="27" t="n"/>
      <c r="R7034" s="27" t="n"/>
      <c r="S7034" s="27" t="n"/>
      <c r="T7034" s="27" t="n"/>
    </row>
    <row r="7035" ht="13.8" customFormat="1" customHeight="1" s="70">
      <c r="M7035" s="27" t="n"/>
      <c r="N7035" s="27" t="n"/>
      <c r="O7035" s="27" t="n"/>
      <c r="P7035" s="27" t="n"/>
      <c r="Q7035" s="27" t="n"/>
      <c r="R7035" s="27" t="n"/>
      <c r="S7035" s="27" t="n"/>
      <c r="T7035" s="27" t="n"/>
    </row>
    <row r="7036" ht="13.8" customFormat="1" customHeight="1" s="70">
      <c r="M7036" s="27" t="n"/>
      <c r="N7036" s="27" t="n"/>
      <c r="O7036" s="27" t="n"/>
      <c r="P7036" s="27" t="n"/>
      <c r="Q7036" s="27" t="n"/>
      <c r="R7036" s="27" t="n"/>
      <c r="S7036" s="27" t="n"/>
      <c r="T7036" s="27" t="n"/>
    </row>
    <row r="7037" ht="13.8" customFormat="1" customHeight="1" s="70">
      <c r="M7037" s="27" t="n"/>
      <c r="N7037" s="27" t="n"/>
      <c r="O7037" s="27" t="n"/>
      <c r="P7037" s="27" t="n"/>
      <c r="Q7037" s="27" t="n"/>
      <c r="R7037" s="27" t="n"/>
      <c r="S7037" s="27" t="n"/>
      <c r="T7037" s="27" t="n"/>
    </row>
    <row r="7038" ht="13.8" customFormat="1" customHeight="1" s="70">
      <c r="M7038" s="27" t="n"/>
      <c r="N7038" s="27" t="n"/>
      <c r="O7038" s="27" t="n"/>
      <c r="P7038" s="27" t="n"/>
      <c r="Q7038" s="27" t="n"/>
      <c r="R7038" s="27" t="n"/>
      <c r="S7038" s="27" t="n"/>
      <c r="T7038" s="27" t="n"/>
    </row>
    <row r="7039" ht="13.8" customFormat="1" customHeight="1" s="70">
      <c r="M7039" s="27" t="n"/>
      <c r="N7039" s="27" t="n"/>
      <c r="O7039" s="27" t="n"/>
      <c r="P7039" s="27" t="n"/>
      <c r="Q7039" s="27" t="n"/>
      <c r="R7039" s="27" t="n"/>
      <c r="S7039" s="27" t="n"/>
      <c r="T7039" s="27" t="n"/>
    </row>
    <row r="7040" ht="13.8" customFormat="1" customHeight="1" s="70">
      <c r="M7040" s="27" t="n"/>
      <c r="N7040" s="27" t="n"/>
      <c r="O7040" s="27" t="n"/>
      <c r="P7040" s="27" t="n"/>
      <c r="Q7040" s="27" t="n"/>
      <c r="R7040" s="27" t="n"/>
      <c r="S7040" s="27" t="n"/>
      <c r="T7040" s="27" t="n"/>
    </row>
    <row r="7041" ht="13.8" customFormat="1" customHeight="1" s="70">
      <c r="M7041" s="27" t="n"/>
      <c r="N7041" s="27" t="n"/>
      <c r="O7041" s="27" t="n"/>
      <c r="P7041" s="27" t="n"/>
      <c r="Q7041" s="27" t="n"/>
      <c r="R7041" s="27" t="n"/>
      <c r="S7041" s="27" t="n"/>
      <c r="T7041" s="27" t="n"/>
    </row>
    <row r="7042" ht="13.8" customFormat="1" customHeight="1" s="70">
      <c r="M7042" s="27" t="n"/>
      <c r="N7042" s="27" t="n"/>
      <c r="O7042" s="27" t="n"/>
      <c r="P7042" s="27" t="n"/>
      <c r="Q7042" s="27" t="n"/>
      <c r="R7042" s="27" t="n"/>
      <c r="S7042" s="27" t="n"/>
      <c r="T7042" s="27" t="n"/>
    </row>
    <row r="7043" ht="13.8" customFormat="1" customHeight="1" s="70">
      <c r="M7043" s="27" t="n"/>
      <c r="N7043" s="27" t="n"/>
      <c r="O7043" s="27" t="n"/>
      <c r="P7043" s="27" t="n"/>
      <c r="Q7043" s="27" t="n"/>
      <c r="R7043" s="27" t="n"/>
      <c r="S7043" s="27" t="n"/>
      <c r="T7043" s="27" t="n"/>
    </row>
    <row r="7044" ht="13.8" customFormat="1" customHeight="1" s="70">
      <c r="M7044" s="27" t="n"/>
      <c r="N7044" s="27" t="n"/>
      <c r="O7044" s="27" t="n"/>
      <c r="P7044" s="27" t="n"/>
      <c r="Q7044" s="27" t="n"/>
      <c r="R7044" s="27" t="n"/>
      <c r="S7044" s="27" t="n"/>
      <c r="T7044" s="27" t="n"/>
    </row>
    <row r="7045" ht="13.8" customFormat="1" customHeight="1" s="70">
      <c r="M7045" s="27" t="n"/>
      <c r="N7045" s="27" t="n"/>
      <c r="O7045" s="27" t="n"/>
      <c r="P7045" s="27" t="n"/>
      <c r="Q7045" s="27" t="n"/>
      <c r="R7045" s="27" t="n"/>
      <c r="S7045" s="27" t="n"/>
      <c r="T7045" s="27" t="n"/>
    </row>
    <row r="7046" ht="13.8" customFormat="1" customHeight="1" s="70">
      <c r="M7046" s="27" t="n"/>
      <c r="N7046" s="27" t="n"/>
      <c r="O7046" s="27" t="n"/>
      <c r="P7046" s="27" t="n"/>
      <c r="Q7046" s="27" t="n"/>
      <c r="R7046" s="27" t="n"/>
      <c r="S7046" s="27" t="n"/>
      <c r="T7046" s="27" t="n"/>
    </row>
    <row r="7047" ht="13.8" customFormat="1" customHeight="1" s="70">
      <c r="M7047" s="27" t="n"/>
      <c r="N7047" s="27" t="n"/>
      <c r="O7047" s="27" t="n"/>
      <c r="P7047" s="27" t="n"/>
      <c r="Q7047" s="27" t="n"/>
      <c r="R7047" s="27" t="n"/>
      <c r="S7047" s="27" t="n"/>
      <c r="T7047" s="27" t="n"/>
    </row>
    <row r="7048" ht="13.8" customFormat="1" customHeight="1" s="70">
      <c r="M7048" s="27" t="n"/>
      <c r="N7048" s="27" t="n"/>
      <c r="O7048" s="27" t="n"/>
      <c r="P7048" s="27" t="n"/>
      <c r="Q7048" s="27" t="n"/>
      <c r="R7048" s="27" t="n"/>
      <c r="S7048" s="27" t="n"/>
      <c r="T7048" s="27" t="n"/>
    </row>
    <row r="7049" ht="13.8" customFormat="1" customHeight="1" s="70">
      <c r="M7049" s="27" t="n"/>
      <c r="N7049" s="27" t="n"/>
      <c r="O7049" s="27" t="n"/>
      <c r="P7049" s="27" t="n"/>
      <c r="Q7049" s="27" t="n"/>
      <c r="R7049" s="27" t="n"/>
      <c r="S7049" s="27" t="n"/>
      <c r="T7049" s="27" t="n"/>
    </row>
    <row r="7050" ht="13.8" customFormat="1" customHeight="1" s="70">
      <c r="M7050" s="27" t="n"/>
      <c r="N7050" s="27" t="n"/>
      <c r="O7050" s="27" t="n"/>
      <c r="P7050" s="27" t="n"/>
      <c r="Q7050" s="27" t="n"/>
      <c r="R7050" s="27" t="n"/>
      <c r="S7050" s="27" t="n"/>
      <c r="T7050" s="27" t="n"/>
    </row>
    <row r="7051" ht="13.8" customFormat="1" customHeight="1" s="70">
      <c r="M7051" s="27" t="n"/>
      <c r="N7051" s="27" t="n"/>
      <c r="O7051" s="27" t="n"/>
      <c r="P7051" s="27" t="n"/>
      <c r="Q7051" s="27" t="n"/>
      <c r="R7051" s="27" t="n"/>
      <c r="S7051" s="27" t="n"/>
      <c r="T7051" s="27" t="n"/>
    </row>
    <row r="7052" ht="13.8" customFormat="1" customHeight="1" s="70">
      <c r="M7052" s="27" t="n"/>
      <c r="N7052" s="27" t="n"/>
      <c r="O7052" s="27" t="n"/>
      <c r="P7052" s="27" t="n"/>
      <c r="Q7052" s="27" t="n"/>
      <c r="R7052" s="27" t="n"/>
      <c r="S7052" s="27" t="n"/>
      <c r="T7052" s="27" t="n"/>
    </row>
    <row r="7053" ht="13.8" customFormat="1" customHeight="1" s="70">
      <c r="M7053" s="27" t="n"/>
      <c r="N7053" s="27" t="n"/>
      <c r="O7053" s="27" t="n"/>
      <c r="P7053" s="27" t="n"/>
      <c r="Q7053" s="27" t="n"/>
      <c r="R7053" s="27" t="n"/>
      <c r="S7053" s="27" t="n"/>
      <c r="T7053" s="27" t="n"/>
    </row>
    <row r="7054" ht="13.8" customFormat="1" customHeight="1" s="70">
      <c r="M7054" s="27" t="n"/>
      <c r="N7054" s="27" t="n"/>
      <c r="O7054" s="27" t="n"/>
      <c r="P7054" s="27" t="n"/>
      <c r="Q7054" s="27" t="n"/>
      <c r="R7054" s="27" t="n"/>
      <c r="S7054" s="27" t="n"/>
      <c r="T7054" s="27" t="n"/>
    </row>
    <row r="7055" ht="13.8" customFormat="1" customHeight="1" s="70">
      <c r="M7055" s="27" t="n"/>
      <c r="N7055" s="27" t="n"/>
      <c r="O7055" s="27" t="n"/>
      <c r="P7055" s="27" t="n"/>
      <c r="Q7055" s="27" t="n"/>
      <c r="R7055" s="27" t="n"/>
      <c r="S7055" s="27" t="n"/>
      <c r="T7055" s="27" t="n"/>
    </row>
    <row r="7056" ht="13.8" customFormat="1" customHeight="1" s="70">
      <c r="M7056" s="27" t="n"/>
      <c r="N7056" s="27" t="n"/>
      <c r="O7056" s="27" t="n"/>
      <c r="P7056" s="27" t="n"/>
      <c r="Q7056" s="27" t="n"/>
      <c r="R7056" s="27" t="n"/>
      <c r="S7056" s="27" t="n"/>
      <c r="T7056" s="27" t="n"/>
    </row>
    <row r="7057" ht="13.8" customFormat="1" customHeight="1" s="70">
      <c r="M7057" s="27" t="n"/>
      <c r="N7057" s="27" t="n"/>
      <c r="O7057" s="27" t="n"/>
      <c r="P7057" s="27" t="n"/>
      <c r="Q7057" s="27" t="n"/>
      <c r="R7057" s="27" t="n"/>
      <c r="S7057" s="27" t="n"/>
      <c r="T7057" s="27" t="n"/>
    </row>
    <row r="7058" ht="13.8" customFormat="1" customHeight="1" s="70">
      <c r="M7058" s="27" t="n"/>
      <c r="N7058" s="27" t="n"/>
      <c r="O7058" s="27" t="n"/>
      <c r="P7058" s="27" t="n"/>
      <c r="Q7058" s="27" t="n"/>
      <c r="R7058" s="27" t="n"/>
      <c r="S7058" s="27" t="n"/>
      <c r="T7058" s="27" t="n"/>
    </row>
    <row r="7059" ht="13.8" customFormat="1" customHeight="1" s="70">
      <c r="M7059" s="27" t="n"/>
      <c r="N7059" s="27" t="n"/>
      <c r="O7059" s="27" t="n"/>
      <c r="P7059" s="27" t="n"/>
      <c r="Q7059" s="27" t="n"/>
      <c r="R7059" s="27" t="n"/>
      <c r="S7059" s="27" t="n"/>
      <c r="T7059" s="27" t="n"/>
    </row>
    <row r="7060" ht="13.8" customFormat="1" customHeight="1" s="70">
      <c r="M7060" s="27" t="n"/>
      <c r="N7060" s="27" t="n"/>
      <c r="O7060" s="27" t="n"/>
      <c r="P7060" s="27" t="n"/>
      <c r="Q7060" s="27" t="n"/>
      <c r="R7060" s="27" t="n"/>
      <c r="S7060" s="27" t="n"/>
      <c r="T7060" s="27" t="n"/>
    </row>
    <row r="7061" ht="13.8" customFormat="1" customHeight="1" s="70">
      <c r="M7061" s="27" t="n"/>
      <c r="N7061" s="27" t="n"/>
      <c r="O7061" s="27" t="n"/>
      <c r="P7061" s="27" t="n"/>
      <c r="Q7061" s="27" t="n"/>
      <c r="R7061" s="27" t="n"/>
      <c r="S7061" s="27" t="n"/>
      <c r="T7061" s="27" t="n"/>
    </row>
    <row r="7062" ht="13.8" customFormat="1" customHeight="1" s="70">
      <c r="M7062" s="27" t="n"/>
      <c r="N7062" s="27" t="n"/>
      <c r="O7062" s="27" t="n"/>
      <c r="P7062" s="27" t="n"/>
      <c r="Q7062" s="27" t="n"/>
      <c r="R7062" s="27" t="n"/>
      <c r="S7062" s="27" t="n"/>
      <c r="T7062" s="27" t="n"/>
    </row>
    <row r="7063" ht="13.8" customFormat="1" customHeight="1" s="70">
      <c r="M7063" s="27" t="n"/>
      <c r="N7063" s="27" t="n"/>
      <c r="O7063" s="27" t="n"/>
      <c r="P7063" s="27" t="n"/>
      <c r="Q7063" s="27" t="n"/>
      <c r="R7063" s="27" t="n"/>
      <c r="S7063" s="27" t="n"/>
      <c r="T7063" s="27" t="n"/>
    </row>
    <row r="7064" ht="13.8" customFormat="1" customHeight="1" s="70">
      <c r="M7064" s="27" t="n"/>
      <c r="N7064" s="27" t="n"/>
      <c r="O7064" s="27" t="n"/>
      <c r="P7064" s="27" t="n"/>
      <c r="Q7064" s="27" t="n"/>
      <c r="R7064" s="27" t="n"/>
      <c r="S7064" s="27" t="n"/>
      <c r="T7064" s="27" t="n"/>
    </row>
    <row r="7065" ht="13.8" customFormat="1" customHeight="1" s="70">
      <c r="M7065" s="27" t="n"/>
      <c r="N7065" s="27" t="n"/>
      <c r="O7065" s="27" t="n"/>
      <c r="P7065" s="27" t="n"/>
      <c r="Q7065" s="27" t="n"/>
      <c r="R7065" s="27" t="n"/>
      <c r="S7065" s="27" t="n"/>
      <c r="T7065" s="27" t="n"/>
    </row>
    <row r="7066" ht="13.8" customFormat="1" customHeight="1" s="70">
      <c r="M7066" s="27" t="n"/>
      <c r="N7066" s="27" t="n"/>
      <c r="O7066" s="27" t="n"/>
      <c r="P7066" s="27" t="n"/>
      <c r="Q7066" s="27" t="n"/>
      <c r="R7066" s="27" t="n"/>
      <c r="S7066" s="27" t="n"/>
      <c r="T7066" s="27" t="n"/>
    </row>
    <row r="7067" ht="13.8" customFormat="1" customHeight="1" s="70">
      <c r="M7067" s="27" t="n"/>
      <c r="N7067" s="27" t="n"/>
      <c r="O7067" s="27" t="n"/>
      <c r="P7067" s="27" t="n"/>
      <c r="Q7067" s="27" t="n"/>
      <c r="R7067" s="27" t="n"/>
      <c r="S7067" s="27" t="n"/>
      <c r="T7067" s="27" t="n"/>
    </row>
    <row r="7068" ht="13.8" customFormat="1" customHeight="1" s="70">
      <c r="M7068" s="27" t="n"/>
      <c r="N7068" s="27" t="n"/>
      <c r="O7068" s="27" t="n"/>
      <c r="P7068" s="27" t="n"/>
      <c r="Q7068" s="27" t="n"/>
      <c r="R7068" s="27" t="n"/>
      <c r="S7068" s="27" t="n"/>
      <c r="T7068" s="27" t="n"/>
    </row>
    <row r="7069" ht="13.8" customFormat="1" customHeight="1" s="70">
      <c r="M7069" s="27" t="n"/>
      <c r="N7069" s="27" t="n"/>
      <c r="O7069" s="27" t="n"/>
      <c r="P7069" s="27" t="n"/>
      <c r="Q7069" s="27" t="n"/>
      <c r="R7069" s="27" t="n"/>
      <c r="S7069" s="27" t="n"/>
      <c r="T7069" s="27" t="n"/>
    </row>
    <row r="7070" ht="13.8" customFormat="1" customHeight="1" s="70">
      <c r="M7070" s="27" t="n"/>
      <c r="N7070" s="27" t="n"/>
      <c r="O7070" s="27" t="n"/>
      <c r="P7070" s="27" t="n"/>
      <c r="Q7070" s="27" t="n"/>
      <c r="R7070" s="27" t="n"/>
      <c r="S7070" s="27" t="n"/>
      <c r="T7070" s="27" t="n"/>
    </row>
    <row r="7071" ht="13.8" customFormat="1" customHeight="1" s="70">
      <c r="M7071" s="27" t="n"/>
      <c r="N7071" s="27" t="n"/>
      <c r="O7071" s="27" t="n"/>
      <c r="P7071" s="27" t="n"/>
      <c r="Q7071" s="27" t="n"/>
      <c r="R7071" s="27" t="n"/>
      <c r="S7071" s="27" t="n"/>
      <c r="T7071" s="27" t="n"/>
    </row>
    <row r="7072" ht="13.8" customFormat="1" customHeight="1" s="70">
      <c r="M7072" s="27" t="n"/>
      <c r="N7072" s="27" t="n"/>
      <c r="O7072" s="27" t="n"/>
      <c r="P7072" s="27" t="n"/>
      <c r="Q7072" s="27" t="n"/>
      <c r="R7072" s="27" t="n"/>
      <c r="S7072" s="27" t="n"/>
      <c r="T7072" s="27" t="n"/>
    </row>
    <row r="7073" ht="13.8" customFormat="1" customHeight="1" s="70">
      <c r="M7073" s="27" t="n"/>
      <c r="N7073" s="27" t="n"/>
      <c r="O7073" s="27" t="n"/>
      <c r="P7073" s="27" t="n"/>
      <c r="Q7073" s="27" t="n"/>
      <c r="R7073" s="27" t="n"/>
      <c r="S7073" s="27" t="n"/>
      <c r="T7073" s="27" t="n"/>
    </row>
    <row r="7074" ht="13.8" customFormat="1" customHeight="1" s="70">
      <c r="M7074" s="27" t="n"/>
      <c r="N7074" s="27" t="n"/>
      <c r="O7074" s="27" t="n"/>
      <c r="P7074" s="27" t="n"/>
      <c r="Q7074" s="27" t="n"/>
      <c r="R7074" s="27" t="n"/>
      <c r="S7074" s="27" t="n"/>
      <c r="T7074" s="27" t="n"/>
    </row>
    <row r="7075" ht="13.8" customFormat="1" customHeight="1" s="70">
      <c r="M7075" s="27" t="n"/>
      <c r="N7075" s="27" t="n"/>
      <c r="O7075" s="27" t="n"/>
      <c r="P7075" s="27" t="n"/>
      <c r="Q7075" s="27" t="n"/>
      <c r="R7075" s="27" t="n"/>
      <c r="S7075" s="27" t="n"/>
      <c r="T7075" s="27" t="n"/>
    </row>
    <row r="7076" ht="13.8" customFormat="1" customHeight="1" s="70">
      <c r="M7076" s="27" t="n"/>
      <c r="N7076" s="27" t="n"/>
      <c r="O7076" s="27" t="n"/>
      <c r="P7076" s="27" t="n"/>
      <c r="Q7076" s="27" t="n"/>
      <c r="R7076" s="27" t="n"/>
      <c r="S7076" s="27" t="n"/>
      <c r="T7076" s="27" t="n"/>
    </row>
    <row r="7077" ht="13.8" customFormat="1" customHeight="1" s="70">
      <c r="M7077" s="27" t="n"/>
      <c r="N7077" s="27" t="n"/>
      <c r="O7077" s="27" t="n"/>
      <c r="P7077" s="27" t="n"/>
      <c r="Q7077" s="27" t="n"/>
      <c r="R7077" s="27" t="n"/>
      <c r="S7077" s="27" t="n"/>
      <c r="T7077" s="27" t="n"/>
    </row>
    <row r="7078" ht="13.8" customFormat="1" customHeight="1" s="70">
      <c r="M7078" s="27" t="n"/>
      <c r="N7078" s="27" t="n"/>
      <c r="O7078" s="27" t="n"/>
      <c r="P7078" s="27" t="n"/>
      <c r="Q7078" s="27" t="n"/>
      <c r="R7078" s="27" t="n"/>
      <c r="S7078" s="27" t="n"/>
      <c r="T7078" s="27" t="n"/>
    </row>
    <row r="7079" ht="13.8" customFormat="1" customHeight="1" s="70">
      <c r="M7079" s="27" t="n"/>
      <c r="N7079" s="27" t="n"/>
      <c r="O7079" s="27" t="n"/>
      <c r="P7079" s="27" t="n"/>
      <c r="Q7079" s="27" t="n"/>
      <c r="R7079" s="27" t="n"/>
      <c r="S7079" s="27" t="n"/>
      <c r="T7079" s="27" t="n"/>
    </row>
    <row r="7080" ht="13.8" customFormat="1" customHeight="1" s="70">
      <c r="M7080" s="27" t="n"/>
      <c r="N7080" s="27" t="n"/>
      <c r="O7080" s="27" t="n"/>
      <c r="P7080" s="27" t="n"/>
      <c r="Q7080" s="27" t="n"/>
      <c r="R7080" s="27" t="n"/>
      <c r="S7080" s="27" t="n"/>
      <c r="T7080" s="27" t="n"/>
    </row>
    <row r="7081" ht="13.8" customFormat="1" customHeight="1" s="70">
      <c r="M7081" s="27" t="n"/>
      <c r="N7081" s="27" t="n"/>
      <c r="O7081" s="27" t="n"/>
      <c r="P7081" s="27" t="n"/>
      <c r="Q7081" s="27" t="n"/>
      <c r="R7081" s="27" t="n"/>
      <c r="S7081" s="27" t="n"/>
      <c r="T7081" s="27" t="n"/>
    </row>
    <row r="7082" ht="13.8" customFormat="1" customHeight="1" s="70">
      <c r="M7082" s="27" t="n"/>
      <c r="N7082" s="27" t="n"/>
      <c r="O7082" s="27" t="n"/>
      <c r="P7082" s="27" t="n"/>
      <c r="Q7082" s="27" t="n"/>
      <c r="R7082" s="27" t="n"/>
      <c r="S7082" s="27" t="n"/>
      <c r="T7082" s="27" t="n"/>
    </row>
    <row r="7083" ht="13.8" customFormat="1" customHeight="1" s="70">
      <c r="M7083" s="27" t="n"/>
      <c r="N7083" s="27" t="n"/>
      <c r="O7083" s="27" t="n"/>
      <c r="P7083" s="27" t="n"/>
      <c r="Q7083" s="27" t="n"/>
      <c r="R7083" s="27" t="n"/>
      <c r="S7083" s="27" t="n"/>
      <c r="T7083" s="27" t="n"/>
    </row>
    <row r="7084" ht="13.8" customFormat="1" customHeight="1" s="70">
      <c r="M7084" s="27" t="n"/>
      <c r="N7084" s="27" t="n"/>
      <c r="O7084" s="27" t="n"/>
      <c r="P7084" s="27" t="n"/>
      <c r="Q7084" s="27" t="n"/>
      <c r="R7084" s="27" t="n"/>
      <c r="S7084" s="27" t="n"/>
      <c r="T7084" s="27" t="n"/>
    </row>
    <row r="7085" ht="13.8" customFormat="1" customHeight="1" s="70">
      <c r="M7085" s="27" t="n"/>
      <c r="N7085" s="27" t="n"/>
      <c r="O7085" s="27" t="n"/>
      <c r="P7085" s="27" t="n"/>
      <c r="Q7085" s="27" t="n"/>
      <c r="R7085" s="27" t="n"/>
      <c r="S7085" s="27" t="n"/>
      <c r="T7085" s="27" t="n"/>
    </row>
    <row r="7086" ht="13.8" customFormat="1" customHeight="1" s="70">
      <c r="M7086" s="27" t="n"/>
      <c r="N7086" s="27" t="n"/>
      <c r="O7086" s="27" t="n"/>
      <c r="P7086" s="27" t="n"/>
      <c r="Q7086" s="27" t="n"/>
      <c r="R7086" s="27" t="n"/>
      <c r="S7086" s="27" t="n"/>
      <c r="T7086" s="27" t="n"/>
    </row>
    <row r="7087" ht="13.8" customFormat="1" customHeight="1" s="70">
      <c r="M7087" s="27" t="n"/>
      <c r="N7087" s="27" t="n"/>
      <c r="O7087" s="27" t="n"/>
      <c r="P7087" s="27" t="n"/>
      <c r="Q7087" s="27" t="n"/>
      <c r="R7087" s="27" t="n"/>
      <c r="S7087" s="27" t="n"/>
      <c r="T7087" s="27" t="n"/>
    </row>
    <row r="7088" ht="13.8" customFormat="1" customHeight="1" s="70">
      <c r="M7088" s="27" t="n"/>
      <c r="N7088" s="27" t="n"/>
      <c r="O7088" s="27" t="n"/>
      <c r="P7088" s="27" t="n"/>
      <c r="Q7088" s="27" t="n"/>
      <c r="R7088" s="27" t="n"/>
      <c r="S7088" s="27" t="n"/>
      <c r="T7088" s="27" t="n"/>
    </row>
    <row r="7089" ht="13.8" customFormat="1" customHeight="1" s="70">
      <c r="M7089" s="27" t="n"/>
      <c r="N7089" s="27" t="n"/>
      <c r="O7089" s="27" t="n"/>
      <c r="P7089" s="27" t="n"/>
      <c r="Q7089" s="27" t="n"/>
      <c r="R7089" s="27" t="n"/>
      <c r="S7089" s="27" t="n"/>
      <c r="T7089" s="27" t="n"/>
    </row>
    <row r="7090" ht="13.8" customFormat="1" customHeight="1" s="70">
      <c r="M7090" s="27" t="n"/>
      <c r="N7090" s="27" t="n"/>
      <c r="O7090" s="27" t="n"/>
      <c r="P7090" s="27" t="n"/>
      <c r="Q7090" s="27" t="n"/>
      <c r="R7090" s="27" t="n"/>
      <c r="S7090" s="27" t="n"/>
      <c r="T7090" s="27" t="n"/>
    </row>
    <row r="7091" ht="13.8" customFormat="1" customHeight="1" s="70">
      <c r="M7091" s="27" t="n"/>
      <c r="N7091" s="27" t="n"/>
      <c r="O7091" s="27" t="n"/>
      <c r="P7091" s="27" t="n"/>
      <c r="Q7091" s="27" t="n"/>
      <c r="R7091" s="27" t="n"/>
      <c r="S7091" s="27" t="n"/>
      <c r="T7091" s="27" t="n"/>
    </row>
    <row r="7092" ht="13.8" customFormat="1" customHeight="1" s="70">
      <c r="M7092" s="27" t="n"/>
      <c r="N7092" s="27" t="n"/>
      <c r="O7092" s="27" t="n"/>
      <c r="P7092" s="27" t="n"/>
      <c r="Q7092" s="27" t="n"/>
      <c r="R7092" s="27" t="n"/>
      <c r="S7092" s="27" t="n"/>
      <c r="T7092" s="27" t="n"/>
    </row>
    <row r="7093" ht="13.8" customFormat="1" customHeight="1" s="70">
      <c r="M7093" s="27" t="n"/>
      <c r="N7093" s="27" t="n"/>
      <c r="O7093" s="27" t="n"/>
      <c r="P7093" s="27" t="n"/>
      <c r="Q7093" s="27" t="n"/>
      <c r="R7093" s="27" t="n"/>
      <c r="S7093" s="27" t="n"/>
      <c r="T7093" s="27" t="n"/>
    </row>
    <row r="7094" ht="13.8" customFormat="1" customHeight="1" s="70">
      <c r="M7094" s="27" t="n"/>
      <c r="N7094" s="27" t="n"/>
      <c r="O7094" s="27" t="n"/>
      <c r="P7094" s="27" t="n"/>
      <c r="Q7094" s="27" t="n"/>
      <c r="R7094" s="27" t="n"/>
      <c r="S7094" s="27" t="n"/>
      <c r="T7094" s="27" t="n"/>
    </row>
    <row r="7095" ht="13.8" customFormat="1" customHeight="1" s="70">
      <c r="M7095" s="27" t="n"/>
      <c r="N7095" s="27" t="n"/>
      <c r="O7095" s="27" t="n"/>
      <c r="P7095" s="27" t="n"/>
      <c r="Q7095" s="27" t="n"/>
      <c r="R7095" s="27" t="n"/>
      <c r="S7095" s="27" t="n"/>
      <c r="T7095" s="27" t="n"/>
    </row>
    <row r="7096" ht="13.8" customFormat="1" customHeight="1" s="70">
      <c r="M7096" s="27" t="n"/>
      <c r="N7096" s="27" t="n"/>
      <c r="O7096" s="27" t="n"/>
      <c r="P7096" s="27" t="n"/>
      <c r="Q7096" s="27" t="n"/>
      <c r="R7096" s="27" t="n"/>
      <c r="S7096" s="27" t="n"/>
      <c r="T7096" s="27" t="n"/>
    </row>
    <row r="7097" ht="13.8" customFormat="1" customHeight="1" s="70">
      <c r="M7097" s="27" t="n"/>
      <c r="N7097" s="27" t="n"/>
      <c r="O7097" s="27" t="n"/>
      <c r="P7097" s="27" t="n"/>
      <c r="Q7097" s="27" t="n"/>
      <c r="R7097" s="27" t="n"/>
      <c r="S7097" s="27" t="n"/>
      <c r="T7097" s="27" t="n"/>
    </row>
    <row r="7098" ht="13.8" customFormat="1" customHeight="1" s="70">
      <c r="M7098" s="27" t="n"/>
      <c r="N7098" s="27" t="n"/>
      <c r="O7098" s="27" t="n"/>
      <c r="P7098" s="27" t="n"/>
      <c r="Q7098" s="27" t="n"/>
      <c r="R7098" s="27" t="n"/>
      <c r="S7098" s="27" t="n"/>
      <c r="T7098" s="27" t="n"/>
    </row>
    <row r="7099" ht="13.8" customFormat="1" customHeight="1" s="70">
      <c r="M7099" s="27" t="n"/>
      <c r="N7099" s="27" t="n"/>
      <c r="O7099" s="27" t="n"/>
      <c r="P7099" s="27" t="n"/>
      <c r="Q7099" s="27" t="n"/>
      <c r="R7099" s="27" t="n"/>
      <c r="S7099" s="27" t="n"/>
      <c r="T7099" s="27" t="n"/>
    </row>
    <row r="7100" ht="13.8" customFormat="1" customHeight="1" s="70">
      <c r="M7100" s="27" t="n"/>
      <c r="N7100" s="27" t="n"/>
      <c r="O7100" s="27" t="n"/>
      <c r="P7100" s="27" t="n"/>
      <c r="Q7100" s="27" t="n"/>
      <c r="R7100" s="27" t="n"/>
      <c r="S7100" s="27" t="n"/>
      <c r="T7100" s="27" t="n"/>
    </row>
    <row r="7101" ht="13.8" customFormat="1" customHeight="1" s="70">
      <c r="M7101" s="27" t="n"/>
      <c r="N7101" s="27" t="n"/>
      <c r="O7101" s="27" t="n"/>
      <c r="P7101" s="27" t="n"/>
      <c r="Q7101" s="27" t="n"/>
      <c r="R7101" s="27" t="n"/>
      <c r="S7101" s="27" t="n"/>
      <c r="T7101" s="27" t="n"/>
    </row>
    <row r="7102" ht="13.8" customFormat="1" customHeight="1" s="70">
      <c r="M7102" s="27" t="n"/>
      <c r="N7102" s="27" t="n"/>
      <c r="O7102" s="27" t="n"/>
      <c r="P7102" s="27" t="n"/>
      <c r="Q7102" s="27" t="n"/>
      <c r="R7102" s="27" t="n"/>
      <c r="S7102" s="27" t="n"/>
      <c r="T7102" s="27" t="n"/>
    </row>
    <row r="7103" ht="13.8" customFormat="1" customHeight="1" s="70">
      <c r="M7103" s="27" t="n"/>
      <c r="N7103" s="27" t="n"/>
      <c r="O7103" s="27" t="n"/>
      <c r="P7103" s="27" t="n"/>
      <c r="Q7103" s="27" t="n"/>
      <c r="R7103" s="27" t="n"/>
      <c r="S7103" s="27" t="n"/>
      <c r="T7103" s="27" t="n"/>
    </row>
    <row r="7104" ht="13.8" customFormat="1" customHeight="1" s="70">
      <c r="M7104" s="27" t="n"/>
      <c r="N7104" s="27" t="n"/>
      <c r="O7104" s="27" t="n"/>
      <c r="P7104" s="27" t="n"/>
      <c r="Q7104" s="27" t="n"/>
      <c r="R7104" s="27" t="n"/>
      <c r="S7104" s="27" t="n"/>
      <c r="T7104" s="27" t="n"/>
    </row>
    <row r="7105" ht="13.8" customFormat="1" customHeight="1" s="70">
      <c r="M7105" s="27" t="n"/>
      <c r="N7105" s="27" t="n"/>
      <c r="O7105" s="27" t="n"/>
      <c r="P7105" s="27" t="n"/>
      <c r="Q7105" s="27" t="n"/>
      <c r="R7105" s="27" t="n"/>
      <c r="S7105" s="27" t="n"/>
      <c r="T7105" s="27" t="n"/>
    </row>
    <row r="7106" ht="13.8" customFormat="1" customHeight="1" s="70">
      <c r="M7106" s="27" t="n"/>
      <c r="N7106" s="27" t="n"/>
      <c r="O7106" s="27" t="n"/>
      <c r="P7106" s="27" t="n"/>
      <c r="Q7106" s="27" t="n"/>
      <c r="R7106" s="27" t="n"/>
      <c r="S7106" s="27" t="n"/>
      <c r="T7106" s="27" t="n"/>
    </row>
    <row r="7107" ht="13.8" customFormat="1" customHeight="1" s="70">
      <c r="M7107" s="27" t="n"/>
      <c r="N7107" s="27" t="n"/>
      <c r="O7107" s="27" t="n"/>
      <c r="P7107" s="27" t="n"/>
      <c r="Q7107" s="27" t="n"/>
      <c r="R7107" s="27" t="n"/>
      <c r="S7107" s="27" t="n"/>
      <c r="T7107" s="27" t="n"/>
    </row>
    <row r="7108" ht="13.8" customFormat="1" customHeight="1" s="70">
      <c r="M7108" s="27" t="n"/>
      <c r="N7108" s="27" t="n"/>
      <c r="O7108" s="27" t="n"/>
      <c r="P7108" s="27" t="n"/>
      <c r="Q7108" s="27" t="n"/>
      <c r="R7108" s="27" t="n"/>
      <c r="S7108" s="27" t="n"/>
      <c r="T7108" s="27" t="n"/>
    </row>
    <row r="7109" ht="13.8" customFormat="1" customHeight="1" s="70">
      <c r="M7109" s="27" t="n"/>
      <c r="N7109" s="27" t="n"/>
      <c r="O7109" s="27" t="n"/>
      <c r="P7109" s="27" t="n"/>
      <c r="Q7109" s="27" t="n"/>
      <c r="R7109" s="27" t="n"/>
      <c r="S7109" s="27" t="n"/>
      <c r="T7109" s="27" t="n"/>
    </row>
    <row r="7110" ht="13.8" customFormat="1" customHeight="1" s="70">
      <c r="M7110" s="27" t="n"/>
      <c r="N7110" s="27" t="n"/>
      <c r="O7110" s="27" t="n"/>
      <c r="P7110" s="27" t="n"/>
      <c r="Q7110" s="27" t="n"/>
      <c r="R7110" s="27" t="n"/>
      <c r="S7110" s="27" t="n"/>
      <c r="T7110" s="27" t="n"/>
    </row>
    <row r="7111" ht="13.8" customFormat="1" customHeight="1" s="70">
      <c r="M7111" s="27" t="n"/>
      <c r="N7111" s="27" t="n"/>
      <c r="O7111" s="27" t="n"/>
      <c r="P7111" s="27" t="n"/>
      <c r="Q7111" s="27" t="n"/>
      <c r="R7111" s="27" t="n"/>
      <c r="S7111" s="27" t="n"/>
      <c r="T7111" s="27" t="n"/>
    </row>
    <row r="7112" ht="13.8" customFormat="1" customHeight="1" s="70">
      <c r="M7112" s="27" t="n"/>
      <c r="N7112" s="27" t="n"/>
      <c r="O7112" s="27" t="n"/>
      <c r="P7112" s="27" t="n"/>
      <c r="Q7112" s="27" t="n"/>
      <c r="R7112" s="27" t="n"/>
      <c r="S7112" s="27" t="n"/>
      <c r="T7112" s="27" t="n"/>
    </row>
    <row r="7113" ht="13.8" customFormat="1" customHeight="1" s="70">
      <c r="M7113" s="27" t="n"/>
      <c r="N7113" s="27" t="n"/>
      <c r="O7113" s="27" t="n"/>
      <c r="P7113" s="27" t="n"/>
      <c r="Q7113" s="27" t="n"/>
      <c r="R7113" s="27" t="n"/>
      <c r="S7113" s="27" t="n"/>
      <c r="T7113" s="27" t="n"/>
    </row>
    <row r="7114" ht="13.8" customFormat="1" customHeight="1" s="70">
      <c r="M7114" s="27" t="n"/>
      <c r="N7114" s="27" t="n"/>
      <c r="O7114" s="27" t="n"/>
      <c r="P7114" s="27" t="n"/>
      <c r="Q7114" s="27" t="n"/>
      <c r="R7114" s="27" t="n"/>
      <c r="S7114" s="27" t="n"/>
      <c r="T7114" s="27" t="n"/>
    </row>
    <row r="7115" ht="13.8" customFormat="1" customHeight="1" s="70">
      <c r="M7115" s="27" t="n"/>
      <c r="N7115" s="27" t="n"/>
      <c r="O7115" s="27" t="n"/>
      <c r="P7115" s="27" t="n"/>
      <c r="Q7115" s="27" t="n"/>
      <c r="R7115" s="27" t="n"/>
      <c r="S7115" s="27" t="n"/>
      <c r="T7115" s="27" t="n"/>
    </row>
    <row r="7116" ht="13.8" customFormat="1" customHeight="1" s="70">
      <c r="M7116" s="27" t="n"/>
      <c r="N7116" s="27" t="n"/>
      <c r="O7116" s="27" t="n"/>
      <c r="P7116" s="27" t="n"/>
      <c r="Q7116" s="27" t="n"/>
      <c r="R7116" s="27" t="n"/>
      <c r="S7116" s="27" t="n"/>
      <c r="T7116" s="27" t="n"/>
    </row>
    <row r="7117" ht="13.8" customFormat="1" customHeight="1" s="70">
      <c r="M7117" s="27" t="n"/>
      <c r="N7117" s="27" t="n"/>
      <c r="O7117" s="27" t="n"/>
      <c r="P7117" s="27" t="n"/>
      <c r="Q7117" s="27" t="n"/>
      <c r="R7117" s="27" t="n"/>
      <c r="S7117" s="27" t="n"/>
      <c r="T7117" s="27" t="n"/>
    </row>
    <row r="7118" ht="13.8" customFormat="1" customHeight="1" s="70">
      <c r="M7118" s="27" t="n"/>
      <c r="N7118" s="27" t="n"/>
      <c r="O7118" s="27" t="n"/>
      <c r="P7118" s="27" t="n"/>
      <c r="Q7118" s="27" t="n"/>
      <c r="R7118" s="27" t="n"/>
      <c r="S7118" s="27" t="n"/>
      <c r="T7118" s="27" t="n"/>
    </row>
    <row r="7119" ht="13.8" customFormat="1" customHeight="1" s="70">
      <c r="M7119" s="27" t="n"/>
      <c r="N7119" s="27" t="n"/>
      <c r="O7119" s="27" t="n"/>
      <c r="P7119" s="27" t="n"/>
      <c r="Q7119" s="27" t="n"/>
      <c r="R7119" s="27" t="n"/>
      <c r="S7119" s="27" t="n"/>
      <c r="T7119" s="27" t="n"/>
    </row>
    <row r="7120" ht="13.8" customFormat="1" customHeight="1" s="70">
      <c r="M7120" s="27" t="n"/>
      <c r="N7120" s="27" t="n"/>
      <c r="O7120" s="27" t="n"/>
      <c r="P7120" s="27" t="n"/>
      <c r="Q7120" s="27" t="n"/>
      <c r="R7120" s="27" t="n"/>
      <c r="S7120" s="27" t="n"/>
      <c r="T7120" s="27" t="n"/>
    </row>
    <row r="7121" ht="13.8" customFormat="1" customHeight="1" s="70">
      <c r="M7121" s="27" t="n"/>
      <c r="N7121" s="27" t="n"/>
      <c r="O7121" s="27" t="n"/>
      <c r="P7121" s="27" t="n"/>
      <c r="Q7121" s="27" t="n"/>
      <c r="R7121" s="27" t="n"/>
      <c r="S7121" s="27" t="n"/>
      <c r="T7121" s="27" t="n"/>
    </row>
    <row r="7122" ht="13.8" customFormat="1" customHeight="1" s="70">
      <c r="M7122" s="27" t="n"/>
      <c r="N7122" s="27" t="n"/>
      <c r="O7122" s="27" t="n"/>
      <c r="P7122" s="27" t="n"/>
      <c r="Q7122" s="27" t="n"/>
      <c r="R7122" s="27" t="n"/>
      <c r="S7122" s="27" t="n"/>
      <c r="T7122" s="27" t="n"/>
    </row>
    <row r="7123" ht="13.8" customFormat="1" customHeight="1" s="70">
      <c r="M7123" s="27" t="n"/>
      <c r="N7123" s="27" t="n"/>
      <c r="O7123" s="27" t="n"/>
      <c r="P7123" s="27" t="n"/>
      <c r="Q7123" s="27" t="n"/>
      <c r="R7123" s="27" t="n"/>
      <c r="S7123" s="27" t="n"/>
      <c r="T7123" s="27" t="n"/>
    </row>
    <row r="7124" ht="13.8" customFormat="1" customHeight="1" s="70">
      <c r="M7124" s="27" t="n"/>
      <c r="N7124" s="27" t="n"/>
      <c r="O7124" s="27" t="n"/>
      <c r="P7124" s="27" t="n"/>
      <c r="Q7124" s="27" t="n"/>
      <c r="R7124" s="27" t="n"/>
      <c r="S7124" s="27" t="n"/>
      <c r="T7124" s="27" t="n"/>
    </row>
    <row r="7125" ht="13.8" customFormat="1" customHeight="1" s="70">
      <c r="M7125" s="27" t="n"/>
      <c r="N7125" s="27" t="n"/>
      <c r="O7125" s="27" t="n"/>
      <c r="P7125" s="27" t="n"/>
      <c r="Q7125" s="27" t="n"/>
      <c r="R7125" s="27" t="n"/>
      <c r="S7125" s="27" t="n"/>
      <c r="T7125" s="27" t="n"/>
    </row>
    <row r="7126" ht="13.8" customFormat="1" customHeight="1" s="70">
      <c r="M7126" s="27" t="n"/>
      <c r="N7126" s="27" t="n"/>
      <c r="O7126" s="27" t="n"/>
      <c r="P7126" s="27" t="n"/>
      <c r="Q7126" s="27" t="n"/>
      <c r="R7126" s="27" t="n"/>
      <c r="S7126" s="27" t="n"/>
      <c r="T7126" s="27" t="n"/>
    </row>
    <row r="7127" ht="13.8" customFormat="1" customHeight="1" s="70">
      <c r="M7127" s="27" t="n"/>
      <c r="N7127" s="27" t="n"/>
      <c r="O7127" s="27" t="n"/>
      <c r="P7127" s="27" t="n"/>
      <c r="Q7127" s="27" t="n"/>
      <c r="R7127" s="27" t="n"/>
      <c r="S7127" s="27" t="n"/>
      <c r="T7127" s="27" t="n"/>
    </row>
    <row r="7128" ht="13.8" customFormat="1" customHeight="1" s="70">
      <c r="M7128" s="27" t="n"/>
      <c r="N7128" s="27" t="n"/>
      <c r="O7128" s="27" t="n"/>
      <c r="P7128" s="27" t="n"/>
      <c r="Q7128" s="27" t="n"/>
      <c r="R7128" s="27" t="n"/>
      <c r="S7128" s="27" t="n"/>
      <c r="T7128" s="27" t="n"/>
    </row>
    <row r="7129" ht="13.8" customFormat="1" customHeight="1" s="70">
      <c r="M7129" s="27" t="n"/>
      <c r="N7129" s="27" t="n"/>
      <c r="O7129" s="27" t="n"/>
      <c r="P7129" s="27" t="n"/>
      <c r="Q7129" s="27" t="n"/>
      <c r="R7129" s="27" t="n"/>
      <c r="S7129" s="27" t="n"/>
      <c r="T7129" s="27" t="n"/>
    </row>
    <row r="7130" ht="13.8" customFormat="1" customHeight="1" s="70">
      <c r="M7130" s="27" t="n"/>
      <c r="N7130" s="27" t="n"/>
      <c r="O7130" s="27" t="n"/>
      <c r="P7130" s="27" t="n"/>
      <c r="Q7130" s="27" t="n"/>
      <c r="R7130" s="27" t="n"/>
      <c r="S7130" s="27" t="n"/>
      <c r="T7130" s="27" t="n"/>
    </row>
    <row r="7131" ht="13.8" customFormat="1" customHeight="1" s="70">
      <c r="M7131" s="27" t="n"/>
      <c r="N7131" s="27" t="n"/>
      <c r="O7131" s="27" t="n"/>
      <c r="P7131" s="27" t="n"/>
      <c r="Q7131" s="27" t="n"/>
      <c r="R7131" s="27" t="n"/>
      <c r="S7131" s="27" t="n"/>
      <c r="T7131" s="27" t="n"/>
    </row>
    <row r="7132" ht="13.8" customFormat="1" customHeight="1" s="70">
      <c r="M7132" s="27" t="n"/>
      <c r="N7132" s="27" t="n"/>
      <c r="O7132" s="27" t="n"/>
      <c r="P7132" s="27" t="n"/>
      <c r="Q7132" s="27" t="n"/>
      <c r="R7132" s="27" t="n"/>
      <c r="S7132" s="27" t="n"/>
      <c r="T7132" s="27" t="n"/>
    </row>
    <row r="7133" ht="13.8" customFormat="1" customHeight="1" s="70">
      <c r="M7133" s="27" t="n"/>
      <c r="N7133" s="27" t="n"/>
      <c r="O7133" s="27" t="n"/>
      <c r="P7133" s="27" t="n"/>
      <c r="Q7133" s="27" t="n"/>
      <c r="R7133" s="27" t="n"/>
      <c r="S7133" s="27" t="n"/>
      <c r="T7133" s="27" t="n"/>
    </row>
    <row r="7134" ht="13.8" customFormat="1" customHeight="1" s="70">
      <c r="M7134" s="27" t="n"/>
      <c r="N7134" s="27" t="n"/>
      <c r="O7134" s="27" t="n"/>
      <c r="P7134" s="27" t="n"/>
      <c r="Q7134" s="27" t="n"/>
      <c r="R7134" s="27" t="n"/>
      <c r="S7134" s="27" t="n"/>
      <c r="T7134" s="27" t="n"/>
    </row>
    <row r="7135" ht="13.8" customFormat="1" customHeight="1" s="70">
      <c r="M7135" s="27" t="n"/>
      <c r="N7135" s="27" t="n"/>
      <c r="O7135" s="27" t="n"/>
      <c r="P7135" s="27" t="n"/>
      <c r="Q7135" s="27" t="n"/>
      <c r="R7135" s="27" t="n"/>
      <c r="S7135" s="27" t="n"/>
      <c r="T7135" s="27" t="n"/>
    </row>
    <row r="7136" ht="13.8" customFormat="1" customHeight="1" s="70">
      <c r="M7136" s="27" t="n"/>
      <c r="N7136" s="27" t="n"/>
      <c r="O7136" s="27" t="n"/>
      <c r="P7136" s="27" t="n"/>
      <c r="Q7136" s="27" t="n"/>
      <c r="R7136" s="27" t="n"/>
      <c r="S7136" s="27" t="n"/>
      <c r="T7136" s="27" t="n"/>
    </row>
    <row r="7137" ht="13.8" customFormat="1" customHeight="1" s="70">
      <c r="M7137" s="27" t="n"/>
      <c r="N7137" s="27" t="n"/>
      <c r="O7137" s="27" t="n"/>
      <c r="P7137" s="27" t="n"/>
      <c r="Q7137" s="27" t="n"/>
      <c r="R7137" s="27" t="n"/>
      <c r="S7137" s="27" t="n"/>
      <c r="T7137" s="27" t="n"/>
    </row>
    <row r="7138" ht="13.8" customFormat="1" customHeight="1" s="70">
      <c r="M7138" s="27" t="n"/>
      <c r="N7138" s="27" t="n"/>
      <c r="O7138" s="27" t="n"/>
      <c r="P7138" s="27" t="n"/>
      <c r="Q7138" s="27" t="n"/>
      <c r="R7138" s="27" t="n"/>
      <c r="S7138" s="27" t="n"/>
      <c r="T7138" s="27" t="n"/>
    </row>
    <row r="7139" ht="13.8" customFormat="1" customHeight="1" s="70">
      <c r="M7139" s="27" t="n"/>
      <c r="N7139" s="27" t="n"/>
      <c r="O7139" s="27" t="n"/>
      <c r="P7139" s="27" t="n"/>
      <c r="Q7139" s="27" t="n"/>
      <c r="R7139" s="27" t="n"/>
      <c r="S7139" s="27" t="n"/>
      <c r="T7139" s="27" t="n"/>
    </row>
    <row r="7140" ht="13.8" customFormat="1" customHeight="1" s="70">
      <c r="M7140" s="27" t="n"/>
      <c r="N7140" s="27" t="n"/>
      <c r="O7140" s="27" t="n"/>
      <c r="P7140" s="27" t="n"/>
      <c r="Q7140" s="27" t="n"/>
      <c r="R7140" s="27" t="n"/>
      <c r="S7140" s="27" t="n"/>
      <c r="T7140" s="27" t="n"/>
    </row>
    <row r="7141" ht="13.8" customFormat="1" customHeight="1" s="70">
      <c r="M7141" s="27" t="n"/>
      <c r="N7141" s="27" t="n"/>
      <c r="O7141" s="27" t="n"/>
      <c r="P7141" s="27" t="n"/>
      <c r="Q7141" s="27" t="n"/>
      <c r="R7141" s="27" t="n"/>
      <c r="S7141" s="27" t="n"/>
      <c r="T7141" s="27" t="n"/>
    </row>
    <row r="7142" ht="13.8" customFormat="1" customHeight="1" s="70">
      <c r="M7142" s="27" t="n"/>
      <c r="N7142" s="27" t="n"/>
      <c r="O7142" s="27" t="n"/>
      <c r="P7142" s="27" t="n"/>
      <c r="Q7142" s="27" t="n"/>
      <c r="R7142" s="27" t="n"/>
      <c r="S7142" s="27" t="n"/>
      <c r="T7142" s="27" t="n"/>
    </row>
    <row r="7143" ht="13.8" customFormat="1" customHeight="1" s="70">
      <c r="M7143" s="27" t="n"/>
      <c r="N7143" s="27" t="n"/>
      <c r="O7143" s="27" t="n"/>
      <c r="P7143" s="27" t="n"/>
      <c r="Q7143" s="27" t="n"/>
      <c r="R7143" s="27" t="n"/>
      <c r="S7143" s="27" t="n"/>
      <c r="T7143" s="27" t="n"/>
    </row>
    <row r="7144" ht="13.8" customFormat="1" customHeight="1" s="70">
      <c r="M7144" s="27" t="n"/>
      <c r="N7144" s="27" t="n"/>
      <c r="O7144" s="27" t="n"/>
      <c r="P7144" s="27" t="n"/>
      <c r="Q7144" s="27" t="n"/>
      <c r="R7144" s="27" t="n"/>
      <c r="S7144" s="27" t="n"/>
      <c r="T7144" s="27" t="n"/>
    </row>
    <row r="7145" ht="13.8" customFormat="1" customHeight="1" s="70">
      <c r="M7145" s="27" t="n"/>
      <c r="N7145" s="27" t="n"/>
      <c r="O7145" s="27" t="n"/>
      <c r="P7145" s="27" t="n"/>
      <c r="Q7145" s="27" t="n"/>
      <c r="R7145" s="27" t="n"/>
      <c r="S7145" s="27" t="n"/>
      <c r="T7145" s="27" t="n"/>
    </row>
    <row r="7146" ht="13.8" customFormat="1" customHeight="1" s="70">
      <c r="M7146" s="27" t="n"/>
      <c r="N7146" s="27" t="n"/>
      <c r="O7146" s="27" t="n"/>
      <c r="P7146" s="27" t="n"/>
      <c r="Q7146" s="27" t="n"/>
      <c r="R7146" s="27" t="n"/>
      <c r="S7146" s="27" t="n"/>
      <c r="T7146" s="27" t="n"/>
    </row>
    <row r="7147" ht="13.8" customFormat="1" customHeight="1" s="70">
      <c r="M7147" s="27" t="n"/>
      <c r="N7147" s="27" t="n"/>
      <c r="O7147" s="27" t="n"/>
      <c r="P7147" s="27" t="n"/>
      <c r="Q7147" s="27" t="n"/>
      <c r="R7147" s="27" t="n"/>
      <c r="S7147" s="27" t="n"/>
      <c r="T7147" s="27" t="n"/>
    </row>
    <row r="7148" ht="13.8" customFormat="1" customHeight="1" s="70">
      <c r="M7148" s="27" t="n"/>
      <c r="N7148" s="27" t="n"/>
      <c r="O7148" s="27" t="n"/>
      <c r="P7148" s="27" t="n"/>
      <c r="Q7148" s="27" t="n"/>
      <c r="R7148" s="27" t="n"/>
      <c r="S7148" s="27" t="n"/>
      <c r="T7148" s="27" t="n"/>
    </row>
    <row r="7149" ht="13.8" customFormat="1" customHeight="1" s="70">
      <c r="M7149" s="27" t="n"/>
      <c r="N7149" s="27" t="n"/>
      <c r="O7149" s="27" t="n"/>
      <c r="P7149" s="27" t="n"/>
      <c r="Q7149" s="27" t="n"/>
      <c r="R7149" s="27" t="n"/>
      <c r="S7149" s="27" t="n"/>
      <c r="T7149" s="27" t="n"/>
    </row>
    <row r="7150" ht="13.8" customFormat="1" customHeight="1" s="70">
      <c r="M7150" s="27" t="n"/>
      <c r="N7150" s="27" t="n"/>
      <c r="O7150" s="27" t="n"/>
      <c r="P7150" s="27" t="n"/>
      <c r="Q7150" s="27" t="n"/>
      <c r="R7150" s="27" t="n"/>
      <c r="S7150" s="27" t="n"/>
      <c r="T7150" s="27" t="n"/>
    </row>
    <row r="7151" ht="13.8" customFormat="1" customHeight="1" s="70">
      <c r="M7151" s="27" t="n"/>
      <c r="N7151" s="27" t="n"/>
      <c r="O7151" s="27" t="n"/>
      <c r="P7151" s="27" t="n"/>
      <c r="Q7151" s="27" t="n"/>
      <c r="R7151" s="27" t="n"/>
      <c r="S7151" s="27" t="n"/>
      <c r="T7151" s="27" t="n"/>
    </row>
    <row r="7152" ht="13.8" customFormat="1" customHeight="1" s="70">
      <c r="M7152" s="27" t="n"/>
      <c r="N7152" s="27" t="n"/>
      <c r="O7152" s="27" t="n"/>
      <c r="P7152" s="27" t="n"/>
      <c r="Q7152" s="27" t="n"/>
      <c r="R7152" s="27" t="n"/>
      <c r="S7152" s="27" t="n"/>
      <c r="T7152" s="27" t="n"/>
    </row>
    <row r="7153" ht="13.8" customFormat="1" customHeight="1" s="70">
      <c r="M7153" s="27" t="n"/>
      <c r="N7153" s="27" t="n"/>
      <c r="O7153" s="27" t="n"/>
      <c r="P7153" s="27" t="n"/>
      <c r="Q7153" s="27" t="n"/>
      <c r="R7153" s="27" t="n"/>
      <c r="S7153" s="27" t="n"/>
      <c r="T7153" s="27" t="n"/>
    </row>
    <row r="7154" ht="13.8" customFormat="1" customHeight="1" s="70">
      <c r="M7154" s="27" t="n"/>
      <c r="N7154" s="27" t="n"/>
      <c r="O7154" s="27" t="n"/>
      <c r="P7154" s="27" t="n"/>
      <c r="Q7154" s="27" t="n"/>
      <c r="R7154" s="27" t="n"/>
      <c r="S7154" s="27" t="n"/>
      <c r="T7154" s="27" t="n"/>
    </row>
    <row r="7155" ht="13.8" customFormat="1" customHeight="1" s="70">
      <c r="M7155" s="27" t="n"/>
      <c r="N7155" s="27" t="n"/>
      <c r="O7155" s="27" t="n"/>
      <c r="P7155" s="27" t="n"/>
      <c r="Q7155" s="27" t="n"/>
      <c r="R7155" s="27" t="n"/>
      <c r="S7155" s="27" t="n"/>
      <c r="T7155" s="27" t="n"/>
    </row>
    <row r="7156" ht="13.8" customFormat="1" customHeight="1" s="70">
      <c r="M7156" s="27" t="n"/>
      <c r="N7156" s="27" t="n"/>
      <c r="O7156" s="27" t="n"/>
      <c r="P7156" s="27" t="n"/>
      <c r="Q7156" s="27" t="n"/>
      <c r="R7156" s="27" t="n"/>
      <c r="S7156" s="27" t="n"/>
      <c r="T7156" s="27" t="n"/>
    </row>
    <row r="7157" ht="13.8" customFormat="1" customHeight="1" s="70">
      <c r="M7157" s="27" t="n"/>
      <c r="N7157" s="27" t="n"/>
      <c r="O7157" s="27" t="n"/>
      <c r="P7157" s="27" t="n"/>
      <c r="Q7157" s="27" t="n"/>
      <c r="R7157" s="27" t="n"/>
      <c r="S7157" s="27" t="n"/>
      <c r="T7157" s="27" t="n"/>
    </row>
    <row r="7158" ht="13.8" customFormat="1" customHeight="1" s="70">
      <c r="M7158" s="27" t="n"/>
      <c r="N7158" s="27" t="n"/>
      <c r="O7158" s="27" t="n"/>
      <c r="P7158" s="27" t="n"/>
      <c r="Q7158" s="27" t="n"/>
      <c r="R7158" s="27" t="n"/>
      <c r="S7158" s="27" t="n"/>
      <c r="T7158" s="27" t="n"/>
    </row>
    <row r="7159" ht="13.8" customFormat="1" customHeight="1" s="70">
      <c r="M7159" s="27" t="n"/>
      <c r="N7159" s="27" t="n"/>
      <c r="O7159" s="27" t="n"/>
      <c r="P7159" s="27" t="n"/>
      <c r="Q7159" s="27" t="n"/>
      <c r="R7159" s="27" t="n"/>
      <c r="S7159" s="27" t="n"/>
      <c r="T7159" s="27" t="n"/>
    </row>
    <row r="7160" ht="13.8" customFormat="1" customHeight="1" s="70">
      <c r="M7160" s="27" t="n"/>
      <c r="N7160" s="27" t="n"/>
      <c r="O7160" s="27" t="n"/>
      <c r="P7160" s="27" t="n"/>
      <c r="Q7160" s="27" t="n"/>
      <c r="R7160" s="27" t="n"/>
      <c r="S7160" s="27" t="n"/>
      <c r="T7160" s="27" t="n"/>
    </row>
    <row r="7161" ht="13.8" customFormat="1" customHeight="1" s="70">
      <c r="M7161" s="27" t="n"/>
      <c r="N7161" s="27" t="n"/>
      <c r="O7161" s="27" t="n"/>
      <c r="P7161" s="27" t="n"/>
      <c r="Q7161" s="27" t="n"/>
      <c r="R7161" s="27" t="n"/>
      <c r="S7161" s="27" t="n"/>
      <c r="T7161" s="27" t="n"/>
    </row>
    <row r="7162" ht="13.8" customFormat="1" customHeight="1" s="70">
      <c r="M7162" s="27" t="n"/>
      <c r="N7162" s="27" t="n"/>
      <c r="O7162" s="27" t="n"/>
      <c r="P7162" s="27" t="n"/>
      <c r="Q7162" s="27" t="n"/>
      <c r="R7162" s="27" t="n"/>
      <c r="S7162" s="27" t="n"/>
      <c r="T7162" s="27" t="n"/>
    </row>
    <row r="7163" ht="13.8" customFormat="1" customHeight="1" s="70">
      <c r="M7163" s="27" t="n"/>
      <c r="N7163" s="27" t="n"/>
      <c r="O7163" s="27" t="n"/>
      <c r="P7163" s="27" t="n"/>
      <c r="Q7163" s="27" t="n"/>
      <c r="R7163" s="27" t="n"/>
      <c r="S7163" s="27" t="n"/>
      <c r="T7163" s="27" t="n"/>
    </row>
    <row r="7164" ht="13.8" customFormat="1" customHeight="1" s="70">
      <c r="M7164" s="27" t="n"/>
      <c r="N7164" s="27" t="n"/>
      <c r="O7164" s="27" t="n"/>
      <c r="P7164" s="27" t="n"/>
      <c r="Q7164" s="27" t="n"/>
      <c r="R7164" s="27" t="n"/>
      <c r="S7164" s="27" t="n"/>
      <c r="T7164" s="27" t="n"/>
    </row>
    <row r="7165" ht="13.8" customFormat="1" customHeight="1" s="70">
      <c r="M7165" s="27" t="n"/>
      <c r="N7165" s="27" t="n"/>
      <c r="O7165" s="27" t="n"/>
      <c r="P7165" s="27" t="n"/>
      <c r="Q7165" s="27" t="n"/>
      <c r="R7165" s="27" t="n"/>
      <c r="S7165" s="27" t="n"/>
      <c r="T7165" s="27" t="n"/>
    </row>
    <row r="7166" ht="13.8" customFormat="1" customHeight="1" s="70">
      <c r="M7166" s="27" t="n"/>
      <c r="N7166" s="27" t="n"/>
      <c r="O7166" s="27" t="n"/>
      <c r="P7166" s="27" t="n"/>
      <c r="Q7166" s="27" t="n"/>
      <c r="R7166" s="27" t="n"/>
      <c r="S7166" s="27" t="n"/>
      <c r="T7166" s="27" t="n"/>
    </row>
    <row r="7167" ht="13.8" customFormat="1" customHeight="1" s="70">
      <c r="M7167" s="27" t="n"/>
      <c r="N7167" s="27" t="n"/>
      <c r="O7167" s="27" t="n"/>
      <c r="P7167" s="27" t="n"/>
      <c r="Q7167" s="27" t="n"/>
      <c r="R7167" s="27" t="n"/>
      <c r="S7167" s="27" t="n"/>
      <c r="T7167" s="27" t="n"/>
    </row>
    <row r="7168" ht="13.8" customFormat="1" customHeight="1" s="70">
      <c r="M7168" s="27" t="n"/>
      <c r="N7168" s="27" t="n"/>
      <c r="O7168" s="27" t="n"/>
      <c r="P7168" s="27" t="n"/>
      <c r="Q7168" s="27" t="n"/>
      <c r="R7168" s="27" t="n"/>
      <c r="S7168" s="27" t="n"/>
      <c r="T7168" s="27" t="n"/>
    </row>
    <row r="7169" ht="13.8" customFormat="1" customHeight="1" s="70">
      <c r="M7169" s="27" t="n"/>
      <c r="N7169" s="27" t="n"/>
      <c r="O7169" s="27" t="n"/>
      <c r="P7169" s="27" t="n"/>
      <c r="Q7169" s="27" t="n"/>
      <c r="R7169" s="27" t="n"/>
      <c r="S7169" s="27" t="n"/>
      <c r="T7169" s="27" t="n"/>
    </row>
    <row r="7170" ht="13.8" customFormat="1" customHeight="1" s="70">
      <c r="M7170" s="27" t="n"/>
      <c r="N7170" s="27" t="n"/>
      <c r="O7170" s="27" t="n"/>
      <c r="P7170" s="27" t="n"/>
      <c r="Q7170" s="27" t="n"/>
      <c r="R7170" s="27" t="n"/>
      <c r="S7170" s="27" t="n"/>
      <c r="T7170" s="27" t="n"/>
    </row>
    <row r="7171" ht="13.8" customFormat="1" customHeight="1" s="70">
      <c r="M7171" s="27" t="n"/>
      <c r="N7171" s="27" t="n"/>
      <c r="O7171" s="27" t="n"/>
      <c r="P7171" s="27" t="n"/>
      <c r="Q7171" s="27" t="n"/>
      <c r="R7171" s="27" t="n"/>
      <c r="S7171" s="27" t="n"/>
      <c r="T7171" s="27" t="n"/>
    </row>
    <row r="7172" ht="13.8" customFormat="1" customHeight="1" s="70">
      <c r="M7172" s="27" t="n"/>
      <c r="N7172" s="27" t="n"/>
      <c r="O7172" s="27" t="n"/>
      <c r="P7172" s="27" t="n"/>
      <c r="Q7172" s="27" t="n"/>
      <c r="R7172" s="27" t="n"/>
      <c r="S7172" s="27" t="n"/>
      <c r="T7172" s="27" t="n"/>
    </row>
    <row r="7173" ht="13.8" customFormat="1" customHeight="1" s="70">
      <c r="M7173" s="27" t="n"/>
      <c r="N7173" s="27" t="n"/>
      <c r="O7173" s="27" t="n"/>
      <c r="P7173" s="27" t="n"/>
      <c r="Q7173" s="27" t="n"/>
      <c r="R7173" s="27" t="n"/>
      <c r="S7173" s="27" t="n"/>
      <c r="T7173" s="27" t="n"/>
    </row>
    <row r="7174" ht="13.8" customFormat="1" customHeight="1" s="70">
      <c r="M7174" s="27" t="n"/>
      <c r="N7174" s="27" t="n"/>
      <c r="O7174" s="27" t="n"/>
      <c r="P7174" s="27" t="n"/>
      <c r="Q7174" s="27" t="n"/>
      <c r="R7174" s="27" t="n"/>
      <c r="S7174" s="27" t="n"/>
      <c r="T7174" s="27" t="n"/>
    </row>
    <row r="7175" ht="13.8" customFormat="1" customHeight="1" s="70">
      <c r="M7175" s="27" t="n"/>
      <c r="N7175" s="27" t="n"/>
      <c r="O7175" s="27" t="n"/>
      <c r="P7175" s="27" t="n"/>
      <c r="Q7175" s="27" t="n"/>
      <c r="R7175" s="27" t="n"/>
      <c r="S7175" s="27" t="n"/>
      <c r="T7175" s="27" t="n"/>
    </row>
    <row r="7176" ht="13.8" customFormat="1" customHeight="1" s="70">
      <c r="M7176" s="27" t="n"/>
      <c r="N7176" s="27" t="n"/>
      <c r="O7176" s="27" t="n"/>
      <c r="P7176" s="27" t="n"/>
      <c r="Q7176" s="27" t="n"/>
      <c r="R7176" s="27" t="n"/>
      <c r="S7176" s="27" t="n"/>
      <c r="T7176" s="27" t="n"/>
    </row>
    <row r="7177" ht="13.8" customFormat="1" customHeight="1" s="70">
      <c r="M7177" s="27" t="n"/>
      <c r="N7177" s="27" t="n"/>
      <c r="O7177" s="27" t="n"/>
      <c r="P7177" s="27" t="n"/>
      <c r="Q7177" s="27" t="n"/>
      <c r="R7177" s="27" t="n"/>
      <c r="S7177" s="27" t="n"/>
      <c r="T7177" s="27" t="n"/>
    </row>
    <row r="7178" ht="13.8" customFormat="1" customHeight="1" s="70">
      <c r="M7178" s="27" t="n"/>
      <c r="N7178" s="27" t="n"/>
      <c r="O7178" s="27" t="n"/>
      <c r="P7178" s="27" t="n"/>
      <c r="Q7178" s="27" t="n"/>
      <c r="R7178" s="27" t="n"/>
      <c r="S7178" s="27" t="n"/>
      <c r="T7178" s="27" t="n"/>
    </row>
    <row r="7179" ht="13.8" customFormat="1" customHeight="1" s="70">
      <c r="M7179" s="27" t="n"/>
      <c r="N7179" s="27" t="n"/>
      <c r="O7179" s="27" t="n"/>
      <c r="P7179" s="27" t="n"/>
      <c r="Q7179" s="27" t="n"/>
      <c r="R7179" s="27" t="n"/>
      <c r="S7179" s="27" t="n"/>
      <c r="T7179" s="27" t="n"/>
    </row>
    <row r="7180" ht="13.8" customFormat="1" customHeight="1" s="70">
      <c r="M7180" s="27" t="n"/>
      <c r="N7180" s="27" t="n"/>
      <c r="O7180" s="27" t="n"/>
      <c r="P7180" s="27" t="n"/>
      <c r="Q7180" s="27" t="n"/>
      <c r="R7180" s="27" t="n"/>
      <c r="S7180" s="27" t="n"/>
      <c r="T7180" s="27" t="n"/>
    </row>
    <row r="7181" ht="13.8" customFormat="1" customHeight="1" s="70">
      <c r="M7181" s="27" t="n"/>
      <c r="N7181" s="27" t="n"/>
      <c r="O7181" s="27" t="n"/>
      <c r="P7181" s="27" t="n"/>
      <c r="Q7181" s="27" t="n"/>
      <c r="R7181" s="27" t="n"/>
      <c r="S7181" s="27" t="n"/>
      <c r="T7181" s="27" t="n"/>
    </row>
    <row r="7182" ht="13.8" customFormat="1" customHeight="1" s="70">
      <c r="M7182" s="27" t="n"/>
      <c r="N7182" s="27" t="n"/>
      <c r="O7182" s="27" t="n"/>
      <c r="P7182" s="27" t="n"/>
      <c r="Q7182" s="27" t="n"/>
      <c r="R7182" s="27" t="n"/>
      <c r="S7182" s="27" t="n"/>
      <c r="T7182" s="27" t="n"/>
    </row>
    <row r="7183" ht="13.8" customFormat="1" customHeight="1" s="70">
      <c r="M7183" s="27" t="n"/>
      <c r="N7183" s="27" t="n"/>
      <c r="O7183" s="27" t="n"/>
      <c r="P7183" s="27" t="n"/>
      <c r="Q7183" s="27" t="n"/>
      <c r="R7183" s="27" t="n"/>
      <c r="S7183" s="27" t="n"/>
      <c r="T7183" s="27" t="n"/>
    </row>
    <row r="7184" ht="13.8" customFormat="1" customHeight="1" s="70">
      <c r="M7184" s="27" t="n"/>
      <c r="N7184" s="27" t="n"/>
      <c r="O7184" s="27" t="n"/>
      <c r="P7184" s="27" t="n"/>
      <c r="Q7184" s="27" t="n"/>
      <c r="R7184" s="27" t="n"/>
      <c r="S7184" s="27" t="n"/>
      <c r="T7184" s="27" t="n"/>
    </row>
    <row r="7185" ht="13.8" customFormat="1" customHeight="1" s="70">
      <c r="M7185" s="27" t="n"/>
      <c r="N7185" s="27" t="n"/>
      <c r="O7185" s="27" t="n"/>
      <c r="P7185" s="27" t="n"/>
      <c r="Q7185" s="27" t="n"/>
      <c r="R7185" s="27" t="n"/>
      <c r="S7185" s="27" t="n"/>
      <c r="T7185" s="27" t="n"/>
    </row>
    <row r="7186" ht="13.8" customFormat="1" customHeight="1" s="70">
      <c r="M7186" s="27" t="n"/>
      <c r="N7186" s="27" t="n"/>
      <c r="O7186" s="27" t="n"/>
      <c r="P7186" s="27" t="n"/>
      <c r="Q7186" s="27" t="n"/>
      <c r="R7186" s="27" t="n"/>
      <c r="S7186" s="27" t="n"/>
      <c r="T7186" s="27" t="n"/>
    </row>
    <row r="7187" ht="13.8" customFormat="1" customHeight="1" s="70">
      <c r="M7187" s="27" t="n"/>
      <c r="N7187" s="27" t="n"/>
      <c r="O7187" s="27" t="n"/>
      <c r="P7187" s="27" t="n"/>
      <c r="Q7187" s="27" t="n"/>
      <c r="R7187" s="27" t="n"/>
      <c r="S7187" s="27" t="n"/>
      <c r="T7187" s="27" t="n"/>
    </row>
    <row r="7188" ht="13.8" customFormat="1" customHeight="1" s="70">
      <c r="M7188" s="27" t="n"/>
      <c r="N7188" s="27" t="n"/>
      <c r="O7188" s="27" t="n"/>
      <c r="P7188" s="27" t="n"/>
      <c r="Q7188" s="27" t="n"/>
      <c r="R7188" s="27" t="n"/>
      <c r="S7188" s="27" t="n"/>
      <c r="T7188" s="27" t="n"/>
    </row>
    <row r="7189" ht="13.8" customFormat="1" customHeight="1" s="70">
      <c r="M7189" s="27" t="n"/>
      <c r="N7189" s="27" t="n"/>
      <c r="O7189" s="27" t="n"/>
      <c r="P7189" s="27" t="n"/>
      <c r="Q7189" s="27" t="n"/>
      <c r="R7189" s="27" t="n"/>
      <c r="S7189" s="27" t="n"/>
      <c r="T7189" s="27" t="n"/>
    </row>
    <row r="7190" ht="13.8" customFormat="1" customHeight="1" s="70">
      <c r="M7190" s="27" t="n"/>
      <c r="N7190" s="27" t="n"/>
      <c r="O7190" s="27" t="n"/>
      <c r="P7190" s="27" t="n"/>
      <c r="Q7190" s="27" t="n"/>
      <c r="R7190" s="27" t="n"/>
      <c r="S7190" s="27" t="n"/>
      <c r="T7190" s="27" t="n"/>
    </row>
    <row r="7191" ht="13.8" customFormat="1" customHeight="1" s="70">
      <c r="M7191" s="27" t="n"/>
      <c r="N7191" s="27" t="n"/>
      <c r="O7191" s="27" t="n"/>
      <c r="P7191" s="27" t="n"/>
      <c r="Q7191" s="27" t="n"/>
      <c r="R7191" s="27" t="n"/>
      <c r="S7191" s="27" t="n"/>
      <c r="T7191" s="27" t="n"/>
    </row>
    <row r="7192" ht="13.8" customFormat="1" customHeight="1" s="70">
      <c r="M7192" s="27" t="n"/>
      <c r="N7192" s="27" t="n"/>
      <c r="O7192" s="27" t="n"/>
      <c r="P7192" s="27" t="n"/>
      <c r="Q7192" s="27" t="n"/>
      <c r="R7192" s="27" t="n"/>
      <c r="S7192" s="27" t="n"/>
      <c r="T7192" s="27" t="n"/>
    </row>
    <row r="7193" ht="13.8" customFormat="1" customHeight="1" s="70">
      <c r="M7193" s="27" t="n"/>
      <c r="N7193" s="27" t="n"/>
      <c r="O7193" s="27" t="n"/>
      <c r="P7193" s="27" t="n"/>
      <c r="Q7193" s="27" t="n"/>
      <c r="R7193" s="27" t="n"/>
      <c r="S7193" s="27" t="n"/>
      <c r="T7193" s="27" t="n"/>
    </row>
    <row r="7194" ht="13.8" customFormat="1" customHeight="1" s="70">
      <c r="M7194" s="27" t="n"/>
      <c r="N7194" s="27" t="n"/>
      <c r="O7194" s="27" t="n"/>
      <c r="P7194" s="27" t="n"/>
      <c r="Q7194" s="27" t="n"/>
      <c r="R7194" s="27" t="n"/>
      <c r="S7194" s="27" t="n"/>
      <c r="T7194" s="27" t="n"/>
    </row>
    <row r="7195" ht="13.8" customFormat="1" customHeight="1" s="70">
      <c r="M7195" s="27" t="n"/>
      <c r="N7195" s="27" t="n"/>
      <c r="O7195" s="27" t="n"/>
      <c r="P7195" s="27" t="n"/>
      <c r="Q7195" s="27" t="n"/>
      <c r="R7195" s="27" t="n"/>
      <c r="S7195" s="27" t="n"/>
      <c r="T7195" s="27" t="n"/>
    </row>
    <row r="7196" ht="13.8" customFormat="1" customHeight="1" s="70">
      <c r="M7196" s="27" t="n"/>
      <c r="N7196" s="27" t="n"/>
      <c r="O7196" s="27" t="n"/>
      <c r="P7196" s="27" t="n"/>
      <c r="Q7196" s="27" t="n"/>
      <c r="R7196" s="27" t="n"/>
      <c r="S7196" s="27" t="n"/>
      <c r="T7196" s="27" t="n"/>
    </row>
    <row r="7197" ht="13.8" customFormat="1" customHeight="1" s="70">
      <c r="M7197" s="27" t="n"/>
      <c r="N7197" s="27" t="n"/>
      <c r="O7197" s="27" t="n"/>
      <c r="P7197" s="27" t="n"/>
      <c r="Q7197" s="27" t="n"/>
      <c r="R7197" s="27" t="n"/>
      <c r="S7197" s="27" t="n"/>
      <c r="T7197" s="27" t="n"/>
    </row>
    <row r="7198" ht="13.8" customFormat="1" customHeight="1" s="70">
      <c r="M7198" s="27" t="n"/>
      <c r="N7198" s="27" t="n"/>
      <c r="O7198" s="27" t="n"/>
      <c r="P7198" s="27" t="n"/>
      <c r="Q7198" s="27" t="n"/>
      <c r="R7198" s="27" t="n"/>
      <c r="S7198" s="27" t="n"/>
      <c r="T7198" s="27" t="n"/>
    </row>
    <row r="7199" ht="13.8" customFormat="1" customHeight="1" s="70">
      <c r="M7199" s="27" t="n"/>
      <c r="N7199" s="27" t="n"/>
      <c r="O7199" s="27" t="n"/>
      <c r="P7199" s="27" t="n"/>
      <c r="Q7199" s="27" t="n"/>
      <c r="R7199" s="27" t="n"/>
      <c r="S7199" s="27" t="n"/>
      <c r="T7199" s="27" t="n"/>
    </row>
    <row r="7200" ht="13.8" customFormat="1" customHeight="1" s="70">
      <c r="M7200" s="27" t="n"/>
      <c r="N7200" s="27" t="n"/>
      <c r="O7200" s="27" t="n"/>
      <c r="P7200" s="27" t="n"/>
      <c r="Q7200" s="27" t="n"/>
      <c r="R7200" s="27" t="n"/>
      <c r="S7200" s="27" t="n"/>
      <c r="T7200" s="27" t="n"/>
    </row>
    <row r="7201" ht="13.8" customFormat="1" customHeight="1" s="70">
      <c r="M7201" s="27" t="n"/>
      <c r="N7201" s="27" t="n"/>
      <c r="O7201" s="27" t="n"/>
      <c r="P7201" s="27" t="n"/>
      <c r="Q7201" s="27" t="n"/>
      <c r="R7201" s="27" t="n"/>
      <c r="S7201" s="27" t="n"/>
      <c r="T7201" s="27" t="n"/>
    </row>
    <row r="7202" ht="13.8" customFormat="1" customHeight="1" s="70">
      <c r="M7202" s="27" t="n"/>
      <c r="N7202" s="27" t="n"/>
      <c r="O7202" s="27" t="n"/>
      <c r="P7202" s="27" t="n"/>
      <c r="Q7202" s="27" t="n"/>
      <c r="R7202" s="27" t="n"/>
      <c r="S7202" s="27" t="n"/>
      <c r="T7202" s="27" t="n"/>
    </row>
    <row r="7203" ht="13.8" customFormat="1" customHeight="1" s="70">
      <c r="M7203" s="27" t="n"/>
      <c r="N7203" s="27" t="n"/>
      <c r="O7203" s="27" t="n"/>
      <c r="P7203" s="27" t="n"/>
      <c r="Q7203" s="27" t="n"/>
      <c r="R7203" s="27" t="n"/>
      <c r="S7203" s="27" t="n"/>
      <c r="T7203" s="27" t="n"/>
    </row>
    <row r="7204" ht="13.8" customFormat="1" customHeight="1" s="70">
      <c r="M7204" s="27" t="n"/>
      <c r="N7204" s="27" t="n"/>
      <c r="O7204" s="27" t="n"/>
      <c r="P7204" s="27" t="n"/>
      <c r="Q7204" s="27" t="n"/>
      <c r="R7204" s="27" t="n"/>
      <c r="S7204" s="27" t="n"/>
      <c r="T7204" s="27" t="n"/>
    </row>
    <row r="7205" ht="13.8" customFormat="1" customHeight="1" s="70">
      <c r="M7205" s="27" t="n"/>
      <c r="N7205" s="27" t="n"/>
      <c r="O7205" s="27" t="n"/>
      <c r="P7205" s="27" t="n"/>
      <c r="Q7205" s="27" t="n"/>
      <c r="R7205" s="27" t="n"/>
      <c r="S7205" s="27" t="n"/>
      <c r="T7205" s="27" t="n"/>
    </row>
    <row r="7206" ht="13.8" customFormat="1" customHeight="1" s="70">
      <c r="M7206" s="27" t="n"/>
      <c r="N7206" s="27" t="n"/>
      <c r="O7206" s="27" t="n"/>
      <c r="P7206" s="27" t="n"/>
      <c r="Q7206" s="27" t="n"/>
      <c r="R7206" s="27" t="n"/>
      <c r="S7206" s="27" t="n"/>
      <c r="T7206" s="27" t="n"/>
    </row>
    <row r="7207" ht="13.8" customFormat="1" customHeight="1" s="70">
      <c r="M7207" s="27" t="n"/>
      <c r="N7207" s="27" t="n"/>
      <c r="O7207" s="27" t="n"/>
      <c r="P7207" s="27" t="n"/>
      <c r="Q7207" s="27" t="n"/>
      <c r="R7207" s="27" t="n"/>
      <c r="S7207" s="27" t="n"/>
      <c r="T7207" s="27" t="n"/>
    </row>
    <row r="7208" ht="13.8" customFormat="1" customHeight="1" s="70">
      <c r="M7208" s="27" t="n"/>
      <c r="N7208" s="27" t="n"/>
      <c r="O7208" s="27" t="n"/>
      <c r="P7208" s="27" t="n"/>
      <c r="Q7208" s="27" t="n"/>
      <c r="R7208" s="27" t="n"/>
      <c r="S7208" s="27" t="n"/>
      <c r="T7208" s="27" t="n"/>
    </row>
    <row r="7209" ht="13.8" customFormat="1" customHeight="1" s="70">
      <c r="M7209" s="27" t="n"/>
      <c r="N7209" s="27" t="n"/>
      <c r="O7209" s="27" t="n"/>
      <c r="P7209" s="27" t="n"/>
      <c r="Q7209" s="27" t="n"/>
      <c r="R7209" s="27" t="n"/>
      <c r="S7209" s="27" t="n"/>
      <c r="T7209" s="27" t="n"/>
    </row>
    <row r="7210" ht="13.8" customFormat="1" customHeight="1" s="70">
      <c r="M7210" s="27" t="n"/>
      <c r="N7210" s="27" t="n"/>
      <c r="O7210" s="27" t="n"/>
      <c r="P7210" s="27" t="n"/>
      <c r="Q7210" s="27" t="n"/>
      <c r="R7210" s="27" t="n"/>
      <c r="S7210" s="27" t="n"/>
      <c r="T7210" s="27" t="n"/>
    </row>
    <row r="7211" ht="13.8" customFormat="1" customHeight="1" s="70">
      <c r="M7211" s="27" t="n"/>
      <c r="N7211" s="27" t="n"/>
      <c r="O7211" s="27" t="n"/>
      <c r="P7211" s="27" t="n"/>
      <c r="Q7211" s="27" t="n"/>
      <c r="R7211" s="27" t="n"/>
      <c r="S7211" s="27" t="n"/>
      <c r="T7211" s="27" t="n"/>
    </row>
    <row r="7212" ht="13.8" customFormat="1" customHeight="1" s="70">
      <c r="M7212" s="27" t="n"/>
      <c r="N7212" s="27" t="n"/>
      <c r="O7212" s="27" t="n"/>
      <c r="P7212" s="27" t="n"/>
      <c r="Q7212" s="27" t="n"/>
      <c r="R7212" s="27" t="n"/>
      <c r="S7212" s="27" t="n"/>
      <c r="T7212" s="27" t="n"/>
    </row>
    <row r="7213" ht="13.8" customFormat="1" customHeight="1" s="70">
      <c r="M7213" s="27" t="n"/>
      <c r="N7213" s="27" t="n"/>
      <c r="O7213" s="27" t="n"/>
      <c r="P7213" s="27" t="n"/>
      <c r="Q7213" s="27" t="n"/>
      <c r="R7213" s="27" t="n"/>
      <c r="S7213" s="27" t="n"/>
      <c r="T7213" s="27" t="n"/>
    </row>
    <row r="7214" ht="13.8" customFormat="1" customHeight="1" s="70">
      <c r="M7214" s="27" t="n"/>
      <c r="N7214" s="27" t="n"/>
      <c r="O7214" s="27" t="n"/>
      <c r="P7214" s="27" t="n"/>
      <c r="Q7214" s="27" t="n"/>
      <c r="R7214" s="27" t="n"/>
      <c r="S7214" s="27" t="n"/>
      <c r="T7214" s="27" t="n"/>
    </row>
    <row r="7215" ht="13.8" customFormat="1" customHeight="1" s="70">
      <c r="M7215" s="27" t="n"/>
      <c r="N7215" s="27" t="n"/>
      <c r="O7215" s="27" t="n"/>
      <c r="P7215" s="27" t="n"/>
      <c r="Q7215" s="27" t="n"/>
      <c r="R7215" s="27" t="n"/>
      <c r="S7215" s="27" t="n"/>
      <c r="T7215" s="27" t="n"/>
    </row>
    <row r="7216" ht="13.8" customFormat="1" customHeight="1" s="70">
      <c r="M7216" s="27" t="n"/>
      <c r="N7216" s="27" t="n"/>
      <c r="O7216" s="27" t="n"/>
      <c r="P7216" s="27" t="n"/>
      <c r="Q7216" s="27" t="n"/>
      <c r="R7216" s="27" t="n"/>
      <c r="S7216" s="27" t="n"/>
      <c r="T7216" s="27" t="n"/>
    </row>
    <row r="7217" ht="13.8" customFormat="1" customHeight="1" s="70">
      <c r="M7217" s="27" t="n"/>
      <c r="N7217" s="27" t="n"/>
      <c r="O7217" s="27" t="n"/>
      <c r="P7217" s="27" t="n"/>
      <c r="Q7217" s="27" t="n"/>
      <c r="R7217" s="27" t="n"/>
      <c r="S7217" s="27" t="n"/>
      <c r="T7217" s="27" t="n"/>
    </row>
    <row r="7218" ht="13.8" customFormat="1" customHeight="1" s="70">
      <c r="M7218" s="27" t="n"/>
      <c r="N7218" s="27" t="n"/>
      <c r="O7218" s="27" t="n"/>
      <c r="P7218" s="27" t="n"/>
      <c r="Q7218" s="27" t="n"/>
      <c r="R7218" s="27" t="n"/>
      <c r="S7218" s="27" t="n"/>
      <c r="T7218" s="27" t="n"/>
    </row>
    <row r="7219" ht="13.8" customFormat="1" customHeight="1" s="70">
      <c r="M7219" s="27" t="n"/>
      <c r="N7219" s="27" t="n"/>
      <c r="O7219" s="27" t="n"/>
      <c r="P7219" s="27" t="n"/>
      <c r="Q7219" s="27" t="n"/>
      <c r="R7219" s="27" t="n"/>
      <c r="S7219" s="27" t="n"/>
      <c r="T7219" s="27" t="n"/>
    </row>
    <row r="7220" ht="13.8" customFormat="1" customHeight="1" s="70">
      <c r="M7220" s="27" t="n"/>
      <c r="N7220" s="27" t="n"/>
      <c r="O7220" s="27" t="n"/>
      <c r="P7220" s="27" t="n"/>
      <c r="Q7220" s="27" t="n"/>
      <c r="R7220" s="27" t="n"/>
      <c r="S7220" s="27" t="n"/>
      <c r="T7220" s="27" t="n"/>
    </row>
    <row r="7221" ht="13.8" customFormat="1" customHeight="1" s="70">
      <c r="M7221" s="27" t="n"/>
      <c r="N7221" s="27" t="n"/>
      <c r="O7221" s="27" t="n"/>
      <c r="P7221" s="27" t="n"/>
      <c r="Q7221" s="27" t="n"/>
      <c r="R7221" s="27" t="n"/>
      <c r="S7221" s="27" t="n"/>
      <c r="T7221" s="27" t="n"/>
    </row>
    <row r="7222" ht="13.8" customFormat="1" customHeight="1" s="70">
      <c r="M7222" s="27" t="n"/>
      <c r="N7222" s="27" t="n"/>
      <c r="O7222" s="27" t="n"/>
      <c r="P7222" s="27" t="n"/>
      <c r="Q7222" s="27" t="n"/>
      <c r="R7222" s="27" t="n"/>
      <c r="S7222" s="27" t="n"/>
      <c r="T7222" s="27" t="n"/>
    </row>
    <row r="7223" ht="13.8" customFormat="1" customHeight="1" s="70">
      <c r="M7223" s="27" t="n"/>
      <c r="N7223" s="27" t="n"/>
      <c r="O7223" s="27" t="n"/>
      <c r="P7223" s="27" t="n"/>
      <c r="Q7223" s="27" t="n"/>
      <c r="R7223" s="27" t="n"/>
      <c r="S7223" s="27" t="n"/>
      <c r="T7223" s="27" t="n"/>
    </row>
    <row r="7224" ht="13.8" customFormat="1" customHeight="1" s="70">
      <c r="M7224" s="27" t="n"/>
      <c r="N7224" s="27" t="n"/>
      <c r="O7224" s="27" t="n"/>
      <c r="P7224" s="27" t="n"/>
      <c r="Q7224" s="27" t="n"/>
      <c r="R7224" s="27" t="n"/>
      <c r="S7224" s="27" t="n"/>
      <c r="T7224" s="27" t="n"/>
    </row>
    <row r="7225" ht="13.8" customFormat="1" customHeight="1" s="70">
      <c r="M7225" s="27" t="n"/>
      <c r="N7225" s="27" t="n"/>
      <c r="O7225" s="27" t="n"/>
      <c r="P7225" s="27" t="n"/>
      <c r="Q7225" s="27" t="n"/>
      <c r="R7225" s="27" t="n"/>
      <c r="S7225" s="27" t="n"/>
      <c r="T7225" s="27" t="n"/>
    </row>
    <row r="7226" ht="13.8" customFormat="1" customHeight="1" s="70">
      <c r="M7226" s="27" t="n"/>
      <c r="N7226" s="27" t="n"/>
      <c r="O7226" s="27" t="n"/>
      <c r="P7226" s="27" t="n"/>
      <c r="Q7226" s="27" t="n"/>
      <c r="R7226" s="27" t="n"/>
      <c r="S7226" s="27" t="n"/>
      <c r="T7226" s="27" t="n"/>
    </row>
    <row r="7227" ht="13.8" customFormat="1" customHeight="1" s="70">
      <c r="M7227" s="27" t="n"/>
      <c r="N7227" s="27" t="n"/>
      <c r="O7227" s="27" t="n"/>
      <c r="P7227" s="27" t="n"/>
      <c r="Q7227" s="27" t="n"/>
      <c r="R7227" s="27" t="n"/>
      <c r="S7227" s="27" t="n"/>
      <c r="T7227" s="27" t="n"/>
    </row>
    <row r="7228" ht="13.8" customFormat="1" customHeight="1" s="70">
      <c r="M7228" s="27" t="n"/>
      <c r="N7228" s="27" t="n"/>
      <c r="O7228" s="27" t="n"/>
      <c r="P7228" s="27" t="n"/>
      <c r="Q7228" s="27" t="n"/>
      <c r="R7228" s="27" t="n"/>
      <c r="S7228" s="27" t="n"/>
      <c r="T7228" s="27" t="n"/>
    </row>
    <row r="7229" ht="13.8" customFormat="1" customHeight="1" s="70">
      <c r="M7229" s="27" t="n"/>
      <c r="N7229" s="27" t="n"/>
      <c r="O7229" s="27" t="n"/>
      <c r="P7229" s="27" t="n"/>
      <c r="Q7229" s="27" t="n"/>
      <c r="R7229" s="27" t="n"/>
      <c r="S7229" s="27" t="n"/>
      <c r="T7229" s="27" t="n"/>
    </row>
    <row r="7230" ht="13.8" customFormat="1" customHeight="1" s="70">
      <c r="M7230" s="27" t="n"/>
      <c r="N7230" s="27" t="n"/>
      <c r="O7230" s="27" t="n"/>
      <c r="P7230" s="27" t="n"/>
      <c r="Q7230" s="27" t="n"/>
      <c r="R7230" s="27" t="n"/>
      <c r="S7230" s="27" t="n"/>
      <c r="T7230" s="27" t="n"/>
    </row>
    <row r="7231" ht="13.8" customFormat="1" customHeight="1" s="70">
      <c r="M7231" s="27" t="n"/>
      <c r="N7231" s="27" t="n"/>
      <c r="O7231" s="27" t="n"/>
      <c r="P7231" s="27" t="n"/>
      <c r="Q7231" s="27" t="n"/>
      <c r="R7231" s="27" t="n"/>
      <c r="S7231" s="27" t="n"/>
      <c r="T7231" s="27" t="n"/>
    </row>
    <row r="7232" ht="13.8" customFormat="1" customHeight="1" s="70">
      <c r="M7232" s="27" t="n"/>
      <c r="N7232" s="27" t="n"/>
      <c r="O7232" s="27" t="n"/>
      <c r="P7232" s="27" t="n"/>
      <c r="Q7232" s="27" t="n"/>
      <c r="R7232" s="27" t="n"/>
      <c r="S7232" s="27" t="n"/>
      <c r="T7232" s="27" t="n"/>
    </row>
    <row r="7233" ht="13.8" customFormat="1" customHeight="1" s="70">
      <c r="M7233" s="27" t="n"/>
      <c r="N7233" s="27" t="n"/>
      <c r="O7233" s="27" t="n"/>
      <c r="P7233" s="27" t="n"/>
      <c r="Q7233" s="27" t="n"/>
      <c r="R7233" s="27" t="n"/>
      <c r="S7233" s="27" t="n"/>
      <c r="T7233" s="27" t="n"/>
    </row>
    <row r="7234" ht="13.8" customFormat="1" customHeight="1" s="70">
      <c r="M7234" s="27" t="n"/>
      <c r="N7234" s="27" t="n"/>
      <c r="O7234" s="27" t="n"/>
      <c r="P7234" s="27" t="n"/>
      <c r="Q7234" s="27" t="n"/>
      <c r="R7234" s="27" t="n"/>
      <c r="S7234" s="27" t="n"/>
      <c r="T7234" s="27" t="n"/>
    </row>
    <row r="7235" ht="13.8" customFormat="1" customHeight="1" s="70">
      <c r="M7235" s="27" t="n"/>
      <c r="N7235" s="27" t="n"/>
      <c r="O7235" s="27" t="n"/>
      <c r="P7235" s="27" t="n"/>
      <c r="Q7235" s="27" t="n"/>
      <c r="R7235" s="27" t="n"/>
      <c r="S7235" s="27" t="n"/>
      <c r="T7235" s="27" t="n"/>
    </row>
    <row r="7236" ht="13.8" customFormat="1" customHeight="1" s="70">
      <c r="M7236" s="27" t="n"/>
      <c r="N7236" s="27" t="n"/>
      <c r="O7236" s="27" t="n"/>
      <c r="P7236" s="27" t="n"/>
      <c r="Q7236" s="27" t="n"/>
      <c r="R7236" s="27" t="n"/>
      <c r="S7236" s="27" t="n"/>
      <c r="T7236" s="27" t="n"/>
    </row>
    <row r="7237" ht="13.8" customFormat="1" customHeight="1" s="70">
      <c r="M7237" s="27" t="n"/>
      <c r="N7237" s="27" t="n"/>
      <c r="O7237" s="27" t="n"/>
      <c r="P7237" s="27" t="n"/>
      <c r="Q7237" s="27" t="n"/>
      <c r="R7237" s="27" t="n"/>
      <c r="S7237" s="27" t="n"/>
      <c r="T7237" s="27" t="n"/>
    </row>
    <row r="7238" ht="13.8" customFormat="1" customHeight="1" s="70">
      <c r="M7238" s="27" t="n"/>
      <c r="N7238" s="27" t="n"/>
      <c r="O7238" s="27" t="n"/>
      <c r="P7238" s="27" t="n"/>
      <c r="Q7238" s="27" t="n"/>
      <c r="R7238" s="27" t="n"/>
      <c r="S7238" s="27" t="n"/>
      <c r="T7238" s="27" t="n"/>
    </row>
    <row r="7239" ht="13.8" customFormat="1" customHeight="1" s="70">
      <c r="M7239" s="27" t="n"/>
      <c r="N7239" s="27" t="n"/>
      <c r="O7239" s="27" t="n"/>
      <c r="P7239" s="27" t="n"/>
      <c r="Q7239" s="27" t="n"/>
      <c r="R7239" s="27" t="n"/>
      <c r="S7239" s="27" t="n"/>
      <c r="T7239" s="27" t="n"/>
    </row>
    <row r="7240" ht="13.8" customFormat="1" customHeight="1" s="70">
      <c r="M7240" s="27" t="n"/>
      <c r="N7240" s="27" t="n"/>
      <c r="O7240" s="27" t="n"/>
      <c r="P7240" s="27" t="n"/>
      <c r="Q7240" s="27" t="n"/>
      <c r="R7240" s="27" t="n"/>
      <c r="S7240" s="27" t="n"/>
      <c r="T7240" s="27" t="n"/>
    </row>
    <row r="7241" ht="13.8" customFormat="1" customHeight="1" s="70">
      <c r="M7241" s="27" t="n"/>
      <c r="N7241" s="27" t="n"/>
      <c r="O7241" s="27" t="n"/>
      <c r="P7241" s="27" t="n"/>
      <c r="Q7241" s="27" t="n"/>
      <c r="R7241" s="27" t="n"/>
      <c r="S7241" s="27" t="n"/>
      <c r="T7241" s="27" t="n"/>
    </row>
    <row r="7242" ht="13.8" customFormat="1" customHeight="1" s="70">
      <c r="M7242" s="27" t="n"/>
      <c r="N7242" s="27" t="n"/>
      <c r="O7242" s="27" t="n"/>
      <c r="P7242" s="27" t="n"/>
      <c r="Q7242" s="27" t="n"/>
      <c r="R7242" s="27" t="n"/>
      <c r="S7242" s="27" t="n"/>
      <c r="T7242" s="27" t="n"/>
    </row>
    <row r="7243" ht="13.8" customFormat="1" customHeight="1" s="70">
      <c r="M7243" s="27" t="n"/>
      <c r="N7243" s="27" t="n"/>
      <c r="O7243" s="27" t="n"/>
      <c r="P7243" s="27" t="n"/>
      <c r="Q7243" s="27" t="n"/>
      <c r="R7243" s="27" t="n"/>
      <c r="S7243" s="27" t="n"/>
      <c r="T7243" s="27" t="n"/>
    </row>
    <row r="7244" ht="13.8" customFormat="1" customHeight="1" s="70">
      <c r="M7244" s="27" t="n"/>
      <c r="N7244" s="27" t="n"/>
      <c r="O7244" s="27" t="n"/>
      <c r="P7244" s="27" t="n"/>
      <c r="Q7244" s="27" t="n"/>
      <c r="R7244" s="27" t="n"/>
      <c r="S7244" s="27" t="n"/>
      <c r="T7244" s="27" t="n"/>
    </row>
    <row r="7245" ht="13.8" customFormat="1" customHeight="1" s="70">
      <c r="M7245" s="27" t="n"/>
      <c r="N7245" s="27" t="n"/>
      <c r="O7245" s="27" t="n"/>
      <c r="P7245" s="27" t="n"/>
      <c r="Q7245" s="27" t="n"/>
      <c r="R7245" s="27" t="n"/>
      <c r="S7245" s="27" t="n"/>
      <c r="T7245" s="27" t="n"/>
    </row>
    <row r="7246" ht="13.8" customFormat="1" customHeight="1" s="70">
      <c r="M7246" s="27" t="n"/>
      <c r="N7246" s="27" t="n"/>
      <c r="O7246" s="27" t="n"/>
      <c r="P7246" s="27" t="n"/>
      <c r="Q7246" s="27" t="n"/>
      <c r="R7246" s="27" t="n"/>
      <c r="S7246" s="27" t="n"/>
      <c r="T7246" s="27" t="n"/>
    </row>
    <row r="7247" ht="13.8" customFormat="1" customHeight="1" s="70">
      <c r="M7247" s="27" t="n"/>
      <c r="N7247" s="27" t="n"/>
      <c r="O7247" s="27" t="n"/>
      <c r="P7247" s="27" t="n"/>
      <c r="Q7247" s="27" t="n"/>
      <c r="R7247" s="27" t="n"/>
      <c r="S7247" s="27" t="n"/>
      <c r="T7247" s="27" t="n"/>
    </row>
    <row r="7248" ht="13.8" customFormat="1" customHeight="1" s="70">
      <c r="M7248" s="27" t="n"/>
      <c r="N7248" s="27" t="n"/>
      <c r="O7248" s="27" t="n"/>
      <c r="P7248" s="27" t="n"/>
      <c r="Q7248" s="27" t="n"/>
      <c r="R7248" s="27" t="n"/>
      <c r="S7248" s="27" t="n"/>
      <c r="T7248" s="27" t="n"/>
    </row>
    <row r="7249" ht="13.8" customFormat="1" customHeight="1" s="70">
      <c r="M7249" s="27" t="n"/>
      <c r="N7249" s="27" t="n"/>
      <c r="O7249" s="27" t="n"/>
      <c r="P7249" s="27" t="n"/>
      <c r="Q7249" s="27" t="n"/>
      <c r="R7249" s="27" t="n"/>
      <c r="S7249" s="27" t="n"/>
      <c r="T7249" s="27" t="n"/>
    </row>
    <row r="7250" ht="13.8" customFormat="1" customHeight="1" s="70">
      <c r="M7250" s="27" t="n"/>
      <c r="N7250" s="27" t="n"/>
      <c r="O7250" s="27" t="n"/>
      <c r="P7250" s="27" t="n"/>
      <c r="Q7250" s="27" t="n"/>
      <c r="R7250" s="27" t="n"/>
      <c r="S7250" s="27" t="n"/>
      <c r="T7250" s="27" t="n"/>
    </row>
    <row r="7251" ht="13.8" customFormat="1" customHeight="1" s="70">
      <c r="M7251" s="27" t="n"/>
      <c r="N7251" s="27" t="n"/>
      <c r="O7251" s="27" t="n"/>
      <c r="P7251" s="27" t="n"/>
      <c r="Q7251" s="27" t="n"/>
      <c r="R7251" s="27" t="n"/>
      <c r="S7251" s="27" t="n"/>
      <c r="T7251" s="27" t="n"/>
    </row>
    <row r="7252" ht="13.8" customFormat="1" customHeight="1" s="70">
      <c r="M7252" s="27" t="n"/>
      <c r="N7252" s="27" t="n"/>
      <c r="O7252" s="27" t="n"/>
      <c r="P7252" s="27" t="n"/>
      <c r="Q7252" s="27" t="n"/>
      <c r="R7252" s="27" t="n"/>
      <c r="S7252" s="27" t="n"/>
      <c r="T7252" s="27" t="n"/>
    </row>
    <row r="7253" ht="13.8" customFormat="1" customHeight="1" s="70">
      <c r="M7253" s="27" t="n"/>
      <c r="N7253" s="27" t="n"/>
      <c r="O7253" s="27" t="n"/>
      <c r="P7253" s="27" t="n"/>
      <c r="Q7253" s="27" t="n"/>
      <c r="R7253" s="27" t="n"/>
      <c r="S7253" s="27" t="n"/>
      <c r="T7253" s="27" t="n"/>
    </row>
    <row r="7254" ht="13.8" customFormat="1" customHeight="1" s="70">
      <c r="M7254" s="27" t="n"/>
      <c r="N7254" s="27" t="n"/>
      <c r="O7254" s="27" t="n"/>
      <c r="P7254" s="27" t="n"/>
      <c r="Q7254" s="27" t="n"/>
      <c r="R7254" s="27" t="n"/>
      <c r="S7254" s="27" t="n"/>
      <c r="T7254" s="27" t="n"/>
    </row>
    <row r="7255" ht="13.8" customFormat="1" customHeight="1" s="70">
      <c r="M7255" s="27" t="n"/>
      <c r="N7255" s="27" t="n"/>
      <c r="O7255" s="27" t="n"/>
      <c r="P7255" s="27" t="n"/>
      <c r="Q7255" s="27" t="n"/>
      <c r="R7255" s="27" t="n"/>
      <c r="S7255" s="27" t="n"/>
      <c r="T7255" s="27" t="n"/>
    </row>
    <row r="7256" ht="13.8" customFormat="1" customHeight="1" s="70">
      <c r="M7256" s="27" t="n"/>
      <c r="N7256" s="27" t="n"/>
      <c r="O7256" s="27" t="n"/>
      <c r="P7256" s="27" t="n"/>
      <c r="Q7256" s="27" t="n"/>
      <c r="R7256" s="27" t="n"/>
      <c r="S7256" s="27" t="n"/>
      <c r="T7256" s="27" t="n"/>
    </row>
    <row r="7257" ht="13.8" customFormat="1" customHeight="1" s="70">
      <c r="M7257" s="27" t="n"/>
      <c r="N7257" s="27" t="n"/>
      <c r="O7257" s="27" t="n"/>
      <c r="P7257" s="27" t="n"/>
      <c r="Q7257" s="27" t="n"/>
      <c r="R7257" s="27" t="n"/>
      <c r="S7257" s="27" t="n"/>
      <c r="T7257" s="27" t="n"/>
    </row>
    <row r="7258" ht="13.8" customFormat="1" customHeight="1" s="70">
      <c r="M7258" s="27" t="n"/>
      <c r="N7258" s="27" t="n"/>
      <c r="O7258" s="27" t="n"/>
      <c r="P7258" s="27" t="n"/>
      <c r="Q7258" s="27" t="n"/>
      <c r="R7258" s="27" t="n"/>
      <c r="S7258" s="27" t="n"/>
      <c r="T7258" s="27" t="n"/>
    </row>
    <row r="7259" ht="13.8" customFormat="1" customHeight="1" s="70">
      <c r="M7259" s="27" t="n"/>
      <c r="N7259" s="27" t="n"/>
      <c r="O7259" s="27" t="n"/>
      <c r="P7259" s="27" t="n"/>
      <c r="Q7259" s="27" t="n"/>
      <c r="R7259" s="27" t="n"/>
      <c r="S7259" s="27" t="n"/>
      <c r="T7259" s="27" t="n"/>
    </row>
    <row r="7260" ht="13.8" customFormat="1" customHeight="1" s="70">
      <c r="M7260" s="27" t="n"/>
      <c r="N7260" s="27" t="n"/>
      <c r="O7260" s="27" t="n"/>
      <c r="P7260" s="27" t="n"/>
      <c r="Q7260" s="27" t="n"/>
      <c r="R7260" s="27" t="n"/>
      <c r="S7260" s="27" t="n"/>
      <c r="T7260" s="27" t="n"/>
    </row>
    <row r="7261" ht="13.8" customFormat="1" customHeight="1" s="70">
      <c r="M7261" s="27" t="n"/>
      <c r="N7261" s="27" t="n"/>
      <c r="O7261" s="27" t="n"/>
      <c r="P7261" s="27" t="n"/>
      <c r="Q7261" s="27" t="n"/>
      <c r="R7261" s="27" t="n"/>
      <c r="S7261" s="27" t="n"/>
      <c r="T7261" s="27" t="n"/>
    </row>
    <row r="7262" ht="13.8" customFormat="1" customHeight="1" s="70">
      <c r="M7262" s="27" t="n"/>
      <c r="N7262" s="27" t="n"/>
      <c r="O7262" s="27" t="n"/>
      <c r="P7262" s="27" t="n"/>
      <c r="Q7262" s="27" t="n"/>
      <c r="R7262" s="27" t="n"/>
      <c r="S7262" s="27" t="n"/>
      <c r="T7262" s="27" t="n"/>
    </row>
    <row r="7263" ht="13.8" customFormat="1" customHeight="1" s="70">
      <c r="M7263" s="27" t="n"/>
      <c r="N7263" s="27" t="n"/>
      <c r="O7263" s="27" t="n"/>
      <c r="P7263" s="27" t="n"/>
      <c r="Q7263" s="27" t="n"/>
      <c r="R7263" s="27" t="n"/>
      <c r="S7263" s="27" t="n"/>
      <c r="T7263" s="27" t="n"/>
    </row>
    <row r="7264" ht="13.8" customFormat="1" customHeight="1" s="70">
      <c r="M7264" s="27" t="n"/>
      <c r="N7264" s="27" t="n"/>
      <c r="O7264" s="27" t="n"/>
      <c r="P7264" s="27" t="n"/>
      <c r="Q7264" s="27" t="n"/>
      <c r="R7264" s="27" t="n"/>
      <c r="S7264" s="27" t="n"/>
      <c r="T7264" s="27" t="n"/>
    </row>
    <row r="7265" ht="13.8" customFormat="1" customHeight="1" s="70">
      <c r="M7265" s="27" t="n"/>
      <c r="N7265" s="27" t="n"/>
      <c r="O7265" s="27" t="n"/>
      <c r="P7265" s="27" t="n"/>
      <c r="Q7265" s="27" t="n"/>
      <c r="R7265" s="27" t="n"/>
      <c r="S7265" s="27" t="n"/>
      <c r="T7265" s="27" t="n"/>
    </row>
    <row r="7266" ht="13.8" customFormat="1" customHeight="1" s="70">
      <c r="M7266" s="27" t="n"/>
      <c r="N7266" s="27" t="n"/>
      <c r="O7266" s="27" t="n"/>
      <c r="P7266" s="27" t="n"/>
      <c r="Q7266" s="27" t="n"/>
      <c r="R7266" s="27" t="n"/>
      <c r="S7266" s="27" t="n"/>
      <c r="T7266" s="27" t="n"/>
    </row>
    <row r="7267" ht="13.8" customFormat="1" customHeight="1" s="70">
      <c r="M7267" s="27" t="n"/>
      <c r="N7267" s="27" t="n"/>
      <c r="O7267" s="27" t="n"/>
      <c r="P7267" s="27" t="n"/>
      <c r="Q7267" s="27" t="n"/>
      <c r="R7267" s="27" t="n"/>
      <c r="S7267" s="27" t="n"/>
      <c r="T7267" s="27" t="n"/>
    </row>
    <row r="7268" ht="13.8" customFormat="1" customHeight="1" s="70">
      <c r="M7268" s="27" t="n"/>
      <c r="N7268" s="27" t="n"/>
      <c r="O7268" s="27" t="n"/>
      <c r="P7268" s="27" t="n"/>
      <c r="Q7268" s="27" t="n"/>
      <c r="R7268" s="27" t="n"/>
      <c r="S7268" s="27" t="n"/>
      <c r="T7268" s="27" t="n"/>
    </row>
    <row r="7269" ht="13.8" customFormat="1" customHeight="1" s="70">
      <c r="M7269" s="27" t="n"/>
      <c r="N7269" s="27" t="n"/>
      <c r="O7269" s="27" t="n"/>
      <c r="P7269" s="27" t="n"/>
      <c r="Q7269" s="27" t="n"/>
      <c r="R7269" s="27" t="n"/>
      <c r="S7269" s="27" t="n"/>
      <c r="T7269" s="27" t="n"/>
    </row>
    <row r="7270" ht="13.8" customFormat="1" customHeight="1" s="70">
      <c r="M7270" s="27" t="n"/>
      <c r="N7270" s="27" t="n"/>
      <c r="O7270" s="27" t="n"/>
      <c r="P7270" s="27" t="n"/>
      <c r="Q7270" s="27" t="n"/>
      <c r="R7270" s="27" t="n"/>
      <c r="S7270" s="27" t="n"/>
      <c r="T7270" s="27" t="n"/>
    </row>
    <row r="7271" ht="13.8" customFormat="1" customHeight="1" s="70">
      <c r="M7271" s="27" t="n"/>
      <c r="N7271" s="27" t="n"/>
      <c r="O7271" s="27" t="n"/>
      <c r="P7271" s="27" t="n"/>
      <c r="Q7271" s="27" t="n"/>
      <c r="R7271" s="27" t="n"/>
      <c r="S7271" s="27" t="n"/>
      <c r="T7271" s="27" t="n"/>
    </row>
    <row r="7272" ht="13.8" customFormat="1" customHeight="1" s="70">
      <c r="M7272" s="27" t="n"/>
      <c r="N7272" s="27" t="n"/>
      <c r="O7272" s="27" t="n"/>
      <c r="P7272" s="27" t="n"/>
      <c r="Q7272" s="27" t="n"/>
      <c r="R7272" s="27" t="n"/>
      <c r="S7272" s="27" t="n"/>
      <c r="T7272" s="27" t="n"/>
    </row>
    <row r="7273" ht="13.8" customFormat="1" customHeight="1" s="70">
      <c r="M7273" s="27" t="n"/>
      <c r="N7273" s="27" t="n"/>
      <c r="O7273" s="27" t="n"/>
      <c r="P7273" s="27" t="n"/>
      <c r="Q7273" s="27" t="n"/>
      <c r="R7273" s="27" t="n"/>
      <c r="S7273" s="27" t="n"/>
      <c r="T7273" s="27" t="n"/>
    </row>
    <row r="7274" ht="13.8" customFormat="1" customHeight="1" s="70">
      <c r="M7274" s="27" t="n"/>
      <c r="N7274" s="27" t="n"/>
      <c r="O7274" s="27" t="n"/>
      <c r="P7274" s="27" t="n"/>
      <c r="Q7274" s="27" t="n"/>
      <c r="R7274" s="27" t="n"/>
      <c r="S7274" s="27" t="n"/>
      <c r="T7274" s="27" t="n"/>
    </row>
    <row r="7275" ht="13.8" customFormat="1" customHeight="1" s="70">
      <c r="M7275" s="27" t="n"/>
      <c r="N7275" s="27" t="n"/>
      <c r="O7275" s="27" t="n"/>
      <c r="P7275" s="27" t="n"/>
      <c r="Q7275" s="27" t="n"/>
      <c r="R7275" s="27" t="n"/>
      <c r="S7275" s="27" t="n"/>
      <c r="T7275" s="27" t="n"/>
    </row>
    <row r="7276" ht="13.8" customFormat="1" customHeight="1" s="70">
      <c r="M7276" s="27" t="n"/>
      <c r="N7276" s="27" t="n"/>
      <c r="O7276" s="27" t="n"/>
      <c r="P7276" s="27" t="n"/>
      <c r="Q7276" s="27" t="n"/>
      <c r="R7276" s="27" t="n"/>
      <c r="S7276" s="27" t="n"/>
      <c r="T7276" s="27" t="n"/>
    </row>
    <row r="7277" ht="13.8" customFormat="1" customHeight="1" s="70">
      <c r="M7277" s="27" t="n"/>
      <c r="N7277" s="27" t="n"/>
      <c r="O7277" s="27" t="n"/>
      <c r="P7277" s="27" t="n"/>
      <c r="Q7277" s="27" t="n"/>
      <c r="R7277" s="27" t="n"/>
      <c r="S7277" s="27" t="n"/>
      <c r="T7277" s="27" t="n"/>
    </row>
    <row r="7278" ht="13.8" customFormat="1" customHeight="1" s="70">
      <c r="M7278" s="27" t="n"/>
      <c r="N7278" s="27" t="n"/>
      <c r="O7278" s="27" t="n"/>
      <c r="P7278" s="27" t="n"/>
      <c r="Q7278" s="27" t="n"/>
      <c r="R7278" s="27" t="n"/>
      <c r="S7278" s="27" t="n"/>
      <c r="T7278" s="27" t="n"/>
    </row>
    <row r="7279" ht="13.8" customFormat="1" customHeight="1" s="70">
      <c r="M7279" s="27" t="n"/>
      <c r="N7279" s="27" t="n"/>
      <c r="O7279" s="27" t="n"/>
      <c r="P7279" s="27" t="n"/>
      <c r="Q7279" s="27" t="n"/>
      <c r="R7279" s="27" t="n"/>
      <c r="S7279" s="27" t="n"/>
      <c r="T7279" s="27" t="n"/>
    </row>
    <row r="7280" ht="13.8" customFormat="1" customHeight="1" s="70">
      <c r="M7280" s="27" t="n"/>
      <c r="N7280" s="27" t="n"/>
      <c r="O7280" s="27" t="n"/>
      <c r="P7280" s="27" t="n"/>
      <c r="Q7280" s="27" t="n"/>
      <c r="R7280" s="27" t="n"/>
      <c r="S7280" s="27" t="n"/>
      <c r="T7280" s="27" t="n"/>
    </row>
    <row r="7281" ht="13.8" customFormat="1" customHeight="1" s="70">
      <c r="M7281" s="27" t="n"/>
      <c r="N7281" s="27" t="n"/>
      <c r="O7281" s="27" t="n"/>
      <c r="P7281" s="27" t="n"/>
      <c r="Q7281" s="27" t="n"/>
      <c r="R7281" s="27" t="n"/>
      <c r="S7281" s="27" t="n"/>
      <c r="T7281" s="27" t="n"/>
    </row>
    <row r="7282" ht="13.8" customFormat="1" customHeight="1" s="70">
      <c r="M7282" s="27" t="n"/>
      <c r="N7282" s="27" t="n"/>
      <c r="O7282" s="27" t="n"/>
      <c r="P7282" s="27" t="n"/>
      <c r="Q7282" s="27" t="n"/>
      <c r="R7282" s="27" t="n"/>
      <c r="S7282" s="27" t="n"/>
      <c r="T7282" s="27" t="n"/>
    </row>
    <row r="7283" ht="13.8" customFormat="1" customHeight="1" s="70">
      <c r="M7283" s="27" t="n"/>
      <c r="N7283" s="27" t="n"/>
      <c r="O7283" s="27" t="n"/>
      <c r="P7283" s="27" t="n"/>
      <c r="Q7283" s="27" t="n"/>
      <c r="R7283" s="27" t="n"/>
      <c r="S7283" s="27" t="n"/>
      <c r="T7283" s="27" t="n"/>
    </row>
    <row r="7284" ht="13.8" customFormat="1" customHeight="1" s="70">
      <c r="M7284" s="27" t="n"/>
      <c r="N7284" s="27" t="n"/>
      <c r="O7284" s="27" t="n"/>
      <c r="P7284" s="27" t="n"/>
      <c r="Q7284" s="27" t="n"/>
      <c r="R7284" s="27" t="n"/>
      <c r="S7284" s="27" t="n"/>
      <c r="T7284" s="27" t="n"/>
    </row>
    <row r="7285" ht="13.8" customFormat="1" customHeight="1" s="70">
      <c r="M7285" s="27" t="n"/>
      <c r="N7285" s="27" t="n"/>
      <c r="O7285" s="27" t="n"/>
      <c r="P7285" s="27" t="n"/>
      <c r="Q7285" s="27" t="n"/>
      <c r="R7285" s="27" t="n"/>
      <c r="S7285" s="27" t="n"/>
      <c r="T7285" s="27" t="n"/>
    </row>
    <row r="7286" ht="13.8" customFormat="1" customHeight="1" s="70">
      <c r="M7286" s="27" t="n"/>
      <c r="N7286" s="27" t="n"/>
      <c r="O7286" s="27" t="n"/>
      <c r="P7286" s="27" t="n"/>
      <c r="Q7286" s="27" t="n"/>
      <c r="R7286" s="27" t="n"/>
      <c r="S7286" s="27" t="n"/>
      <c r="T7286" s="27" t="n"/>
    </row>
    <row r="7287" ht="13.8" customFormat="1" customHeight="1" s="70">
      <c r="M7287" s="27" t="n"/>
      <c r="N7287" s="27" t="n"/>
      <c r="O7287" s="27" t="n"/>
      <c r="P7287" s="27" t="n"/>
      <c r="Q7287" s="27" t="n"/>
      <c r="R7287" s="27" t="n"/>
      <c r="S7287" s="27" t="n"/>
      <c r="T7287" s="27" t="n"/>
    </row>
    <row r="7288" ht="13.8" customFormat="1" customHeight="1" s="70">
      <c r="M7288" s="27" t="n"/>
      <c r="N7288" s="27" t="n"/>
      <c r="O7288" s="27" t="n"/>
      <c r="P7288" s="27" t="n"/>
      <c r="Q7288" s="27" t="n"/>
      <c r="R7288" s="27" t="n"/>
      <c r="S7288" s="27" t="n"/>
      <c r="T7288" s="27" t="n"/>
    </row>
    <row r="7289" ht="13.8" customFormat="1" customHeight="1" s="70">
      <c r="M7289" s="27" t="n"/>
      <c r="N7289" s="27" t="n"/>
      <c r="O7289" s="27" t="n"/>
      <c r="P7289" s="27" t="n"/>
      <c r="Q7289" s="27" t="n"/>
      <c r="R7289" s="27" t="n"/>
      <c r="S7289" s="27" t="n"/>
      <c r="T7289" s="27" t="n"/>
    </row>
    <row r="7290" ht="13.8" customFormat="1" customHeight="1" s="70">
      <c r="M7290" s="27" t="n"/>
      <c r="N7290" s="27" t="n"/>
      <c r="O7290" s="27" t="n"/>
      <c r="P7290" s="27" t="n"/>
      <c r="Q7290" s="27" t="n"/>
      <c r="R7290" s="27" t="n"/>
      <c r="S7290" s="27" t="n"/>
      <c r="T7290" s="27" t="n"/>
    </row>
    <row r="7291" ht="13.8" customFormat="1" customHeight="1" s="70">
      <c r="M7291" s="27" t="n"/>
      <c r="N7291" s="27" t="n"/>
      <c r="O7291" s="27" t="n"/>
      <c r="P7291" s="27" t="n"/>
      <c r="Q7291" s="27" t="n"/>
      <c r="R7291" s="27" t="n"/>
      <c r="S7291" s="27" t="n"/>
      <c r="T7291" s="27" t="n"/>
    </row>
    <row r="7292" ht="13.8" customFormat="1" customHeight="1" s="70">
      <c r="M7292" s="27" t="n"/>
      <c r="N7292" s="27" t="n"/>
      <c r="O7292" s="27" t="n"/>
      <c r="P7292" s="27" t="n"/>
      <c r="Q7292" s="27" t="n"/>
      <c r="R7292" s="27" t="n"/>
      <c r="S7292" s="27" t="n"/>
      <c r="T7292" s="27" t="n"/>
    </row>
    <row r="7293" ht="13.8" customFormat="1" customHeight="1" s="70">
      <c r="M7293" s="27" t="n"/>
      <c r="N7293" s="27" t="n"/>
      <c r="O7293" s="27" t="n"/>
      <c r="P7293" s="27" t="n"/>
      <c r="Q7293" s="27" t="n"/>
      <c r="R7293" s="27" t="n"/>
      <c r="S7293" s="27" t="n"/>
      <c r="T7293" s="27" t="n"/>
    </row>
    <row r="7294" ht="13.8" customFormat="1" customHeight="1" s="70">
      <c r="M7294" s="27" t="n"/>
      <c r="N7294" s="27" t="n"/>
      <c r="O7294" s="27" t="n"/>
      <c r="P7294" s="27" t="n"/>
      <c r="Q7294" s="27" t="n"/>
      <c r="R7294" s="27" t="n"/>
      <c r="S7294" s="27" t="n"/>
      <c r="T7294" s="27" t="n"/>
    </row>
    <row r="7295" ht="13.8" customFormat="1" customHeight="1" s="70">
      <c r="M7295" s="27" t="n"/>
      <c r="N7295" s="27" t="n"/>
      <c r="O7295" s="27" t="n"/>
      <c r="P7295" s="27" t="n"/>
      <c r="Q7295" s="27" t="n"/>
      <c r="R7295" s="27" t="n"/>
      <c r="S7295" s="27" t="n"/>
      <c r="T7295" s="27" t="n"/>
    </row>
    <row r="7296" ht="13.8" customFormat="1" customHeight="1" s="70">
      <c r="M7296" s="27" t="n"/>
      <c r="N7296" s="27" t="n"/>
      <c r="O7296" s="27" t="n"/>
      <c r="P7296" s="27" t="n"/>
      <c r="Q7296" s="27" t="n"/>
      <c r="R7296" s="27" t="n"/>
      <c r="S7296" s="27" t="n"/>
      <c r="T7296" s="27" t="n"/>
    </row>
    <row r="7297" ht="13.8" customFormat="1" customHeight="1" s="70">
      <c r="M7297" s="27" t="n"/>
      <c r="N7297" s="27" t="n"/>
      <c r="O7297" s="27" t="n"/>
      <c r="P7297" s="27" t="n"/>
      <c r="Q7297" s="27" t="n"/>
      <c r="R7297" s="27" t="n"/>
      <c r="S7297" s="27" t="n"/>
      <c r="T7297" s="27" t="n"/>
    </row>
    <row r="7298" ht="13.8" customFormat="1" customHeight="1" s="70">
      <c r="M7298" s="27" t="n"/>
      <c r="N7298" s="27" t="n"/>
      <c r="O7298" s="27" t="n"/>
      <c r="P7298" s="27" t="n"/>
      <c r="Q7298" s="27" t="n"/>
      <c r="R7298" s="27" t="n"/>
      <c r="S7298" s="27" t="n"/>
      <c r="T7298" s="27" t="n"/>
    </row>
    <row r="7299" ht="13.8" customFormat="1" customHeight="1" s="70">
      <c r="M7299" s="27" t="n"/>
      <c r="N7299" s="27" t="n"/>
      <c r="O7299" s="27" t="n"/>
      <c r="P7299" s="27" t="n"/>
      <c r="Q7299" s="27" t="n"/>
      <c r="R7299" s="27" t="n"/>
      <c r="S7299" s="27" t="n"/>
      <c r="T7299" s="27" t="n"/>
    </row>
    <row r="7300" ht="13.8" customFormat="1" customHeight="1" s="70">
      <c r="M7300" s="27" t="n"/>
      <c r="N7300" s="27" t="n"/>
      <c r="O7300" s="27" t="n"/>
      <c r="P7300" s="27" t="n"/>
      <c r="Q7300" s="27" t="n"/>
      <c r="R7300" s="27" t="n"/>
      <c r="S7300" s="27" t="n"/>
      <c r="T7300" s="27" t="n"/>
    </row>
    <row r="7301" ht="13.8" customFormat="1" customHeight="1" s="70">
      <c r="M7301" s="27" t="n"/>
      <c r="N7301" s="27" t="n"/>
      <c r="O7301" s="27" t="n"/>
      <c r="P7301" s="27" t="n"/>
      <c r="Q7301" s="27" t="n"/>
      <c r="R7301" s="27" t="n"/>
      <c r="S7301" s="27" t="n"/>
      <c r="T7301" s="27" t="n"/>
    </row>
    <row r="7302" ht="13.8" customFormat="1" customHeight="1" s="70">
      <c r="M7302" s="27" t="n"/>
      <c r="N7302" s="27" t="n"/>
      <c r="O7302" s="27" t="n"/>
      <c r="P7302" s="27" t="n"/>
      <c r="Q7302" s="27" t="n"/>
      <c r="R7302" s="27" t="n"/>
      <c r="S7302" s="27" t="n"/>
      <c r="T7302" s="27" t="n"/>
    </row>
    <row r="7303" ht="13.8" customFormat="1" customHeight="1" s="70">
      <c r="M7303" s="27" t="n"/>
      <c r="N7303" s="27" t="n"/>
      <c r="O7303" s="27" t="n"/>
      <c r="P7303" s="27" t="n"/>
      <c r="Q7303" s="27" t="n"/>
      <c r="R7303" s="27" t="n"/>
      <c r="S7303" s="27" t="n"/>
      <c r="T7303" s="27" t="n"/>
    </row>
    <row r="7304" ht="13.8" customFormat="1" customHeight="1" s="70">
      <c r="M7304" s="27" t="n"/>
      <c r="N7304" s="27" t="n"/>
      <c r="O7304" s="27" t="n"/>
      <c r="P7304" s="27" t="n"/>
      <c r="Q7304" s="27" t="n"/>
      <c r="R7304" s="27" t="n"/>
      <c r="S7304" s="27" t="n"/>
      <c r="T7304" s="27" t="n"/>
    </row>
    <row r="7305" ht="13.8" customFormat="1" customHeight="1" s="70">
      <c r="M7305" s="27" t="n"/>
      <c r="N7305" s="27" t="n"/>
      <c r="O7305" s="27" t="n"/>
      <c r="P7305" s="27" t="n"/>
      <c r="Q7305" s="27" t="n"/>
      <c r="R7305" s="27" t="n"/>
      <c r="S7305" s="27" t="n"/>
      <c r="T7305" s="27" t="n"/>
    </row>
    <row r="7306" ht="13.8" customFormat="1" customHeight="1" s="70">
      <c r="M7306" s="27" t="n"/>
      <c r="N7306" s="27" t="n"/>
      <c r="O7306" s="27" t="n"/>
      <c r="P7306" s="27" t="n"/>
      <c r="Q7306" s="27" t="n"/>
      <c r="R7306" s="27" t="n"/>
      <c r="S7306" s="27" t="n"/>
      <c r="T7306" s="27" t="n"/>
    </row>
    <row r="7307" ht="13.8" customFormat="1" customHeight="1" s="70">
      <c r="M7307" s="27" t="n"/>
      <c r="N7307" s="27" t="n"/>
      <c r="O7307" s="27" t="n"/>
      <c r="P7307" s="27" t="n"/>
      <c r="Q7307" s="27" t="n"/>
      <c r="R7307" s="27" t="n"/>
      <c r="S7307" s="27" t="n"/>
      <c r="T7307" s="27" t="n"/>
    </row>
    <row r="7308" ht="13.8" customFormat="1" customHeight="1" s="70">
      <c r="M7308" s="27" t="n"/>
      <c r="N7308" s="27" t="n"/>
      <c r="O7308" s="27" t="n"/>
      <c r="P7308" s="27" t="n"/>
      <c r="Q7308" s="27" t="n"/>
      <c r="R7308" s="27" t="n"/>
      <c r="S7308" s="27" t="n"/>
      <c r="T7308" s="27" t="n"/>
    </row>
    <row r="7309" ht="13.8" customFormat="1" customHeight="1" s="70">
      <c r="M7309" s="27" t="n"/>
      <c r="N7309" s="27" t="n"/>
      <c r="O7309" s="27" t="n"/>
      <c r="P7309" s="27" t="n"/>
      <c r="Q7309" s="27" t="n"/>
      <c r="R7309" s="27" t="n"/>
      <c r="S7309" s="27" t="n"/>
      <c r="T7309" s="27" t="n"/>
    </row>
    <row r="7310" ht="13.8" customFormat="1" customHeight="1" s="70">
      <c r="M7310" s="27" t="n"/>
      <c r="N7310" s="27" t="n"/>
      <c r="O7310" s="27" t="n"/>
      <c r="P7310" s="27" t="n"/>
      <c r="Q7310" s="27" t="n"/>
      <c r="R7310" s="27" t="n"/>
      <c r="S7310" s="27" t="n"/>
      <c r="T7310" s="27" t="n"/>
    </row>
    <row r="7311" ht="13.8" customFormat="1" customHeight="1" s="70">
      <c r="M7311" s="27" t="n"/>
      <c r="N7311" s="27" t="n"/>
      <c r="O7311" s="27" t="n"/>
      <c r="P7311" s="27" t="n"/>
      <c r="Q7311" s="27" t="n"/>
      <c r="R7311" s="27" t="n"/>
      <c r="S7311" s="27" t="n"/>
      <c r="T7311" s="27" t="n"/>
    </row>
    <row r="7312" ht="13.8" customFormat="1" customHeight="1" s="70">
      <c r="M7312" s="27" t="n"/>
      <c r="N7312" s="27" t="n"/>
      <c r="O7312" s="27" t="n"/>
      <c r="P7312" s="27" t="n"/>
      <c r="Q7312" s="27" t="n"/>
      <c r="R7312" s="27" t="n"/>
      <c r="S7312" s="27" t="n"/>
      <c r="T7312" s="27" t="n"/>
    </row>
    <row r="7313" ht="13.8" customFormat="1" customHeight="1" s="70">
      <c r="M7313" s="27" t="n"/>
      <c r="N7313" s="27" t="n"/>
      <c r="O7313" s="27" t="n"/>
      <c r="P7313" s="27" t="n"/>
      <c r="Q7313" s="27" t="n"/>
      <c r="R7313" s="27" t="n"/>
      <c r="S7313" s="27" t="n"/>
      <c r="T7313" s="27" t="n"/>
    </row>
    <row r="7314" ht="13.8" customFormat="1" customHeight="1" s="70">
      <c r="M7314" s="27" t="n"/>
      <c r="N7314" s="27" t="n"/>
      <c r="O7314" s="27" t="n"/>
      <c r="P7314" s="27" t="n"/>
      <c r="Q7314" s="27" t="n"/>
      <c r="R7314" s="27" t="n"/>
      <c r="S7314" s="27" t="n"/>
      <c r="T7314" s="27" t="n"/>
    </row>
    <row r="7315" ht="13.8" customFormat="1" customHeight="1" s="70">
      <c r="M7315" s="27" t="n"/>
      <c r="N7315" s="27" t="n"/>
      <c r="O7315" s="27" t="n"/>
      <c r="P7315" s="27" t="n"/>
      <c r="Q7315" s="27" t="n"/>
      <c r="R7315" s="27" t="n"/>
      <c r="S7315" s="27" t="n"/>
      <c r="T7315" s="27" t="n"/>
    </row>
    <row r="7316" ht="13.8" customFormat="1" customHeight="1" s="70">
      <c r="M7316" s="27" t="n"/>
      <c r="N7316" s="27" t="n"/>
      <c r="O7316" s="27" t="n"/>
      <c r="P7316" s="27" t="n"/>
      <c r="Q7316" s="27" t="n"/>
      <c r="R7316" s="27" t="n"/>
      <c r="S7316" s="27" t="n"/>
      <c r="T7316" s="27" t="n"/>
    </row>
    <row r="7317" ht="13.8" customFormat="1" customHeight="1" s="70">
      <c r="M7317" s="27" t="n"/>
      <c r="N7317" s="27" t="n"/>
      <c r="O7317" s="27" t="n"/>
      <c r="P7317" s="27" t="n"/>
      <c r="Q7317" s="27" t="n"/>
      <c r="R7317" s="27" t="n"/>
      <c r="S7317" s="27" t="n"/>
      <c r="T7317" s="27" t="n"/>
    </row>
    <row r="7318" ht="13.8" customFormat="1" customHeight="1" s="70">
      <c r="M7318" s="27" t="n"/>
      <c r="N7318" s="27" t="n"/>
      <c r="O7318" s="27" t="n"/>
      <c r="P7318" s="27" t="n"/>
      <c r="Q7318" s="27" t="n"/>
      <c r="R7318" s="27" t="n"/>
      <c r="S7318" s="27" t="n"/>
      <c r="T7318" s="27" t="n"/>
    </row>
    <row r="7319" ht="13.8" customFormat="1" customHeight="1" s="70">
      <c r="M7319" s="27" t="n"/>
      <c r="N7319" s="27" t="n"/>
      <c r="O7319" s="27" t="n"/>
      <c r="P7319" s="27" t="n"/>
      <c r="Q7319" s="27" t="n"/>
      <c r="R7319" s="27" t="n"/>
      <c r="S7319" s="27" t="n"/>
      <c r="T7319" s="27" t="n"/>
    </row>
    <row r="7320" ht="13.8" customFormat="1" customHeight="1" s="70">
      <c r="M7320" s="27" t="n"/>
      <c r="N7320" s="27" t="n"/>
      <c r="O7320" s="27" t="n"/>
      <c r="P7320" s="27" t="n"/>
      <c r="Q7320" s="27" t="n"/>
      <c r="R7320" s="27" t="n"/>
      <c r="S7320" s="27" t="n"/>
      <c r="T7320" s="27" t="n"/>
    </row>
    <row r="7321" ht="13.8" customFormat="1" customHeight="1" s="70">
      <c r="M7321" s="27" t="n"/>
      <c r="N7321" s="27" t="n"/>
      <c r="O7321" s="27" t="n"/>
      <c r="P7321" s="27" t="n"/>
      <c r="Q7321" s="27" t="n"/>
      <c r="R7321" s="27" t="n"/>
      <c r="S7321" s="27" t="n"/>
      <c r="T7321" s="27" t="n"/>
    </row>
    <row r="7322" ht="13.8" customFormat="1" customHeight="1" s="70">
      <c r="M7322" s="27" t="n"/>
      <c r="N7322" s="27" t="n"/>
      <c r="O7322" s="27" t="n"/>
      <c r="P7322" s="27" t="n"/>
      <c r="Q7322" s="27" t="n"/>
      <c r="R7322" s="27" t="n"/>
      <c r="S7322" s="27" t="n"/>
      <c r="T7322" s="27" t="n"/>
    </row>
    <row r="7323" ht="13.8" customFormat="1" customHeight="1" s="70">
      <c r="M7323" s="27" t="n"/>
      <c r="N7323" s="27" t="n"/>
      <c r="O7323" s="27" t="n"/>
      <c r="P7323" s="27" t="n"/>
      <c r="Q7323" s="27" t="n"/>
      <c r="R7323" s="27" t="n"/>
      <c r="S7323" s="27" t="n"/>
      <c r="T7323" s="27" t="n"/>
    </row>
    <row r="7324" ht="13.8" customFormat="1" customHeight="1" s="70">
      <c r="M7324" s="27" t="n"/>
      <c r="N7324" s="27" t="n"/>
      <c r="O7324" s="27" t="n"/>
      <c r="P7324" s="27" t="n"/>
      <c r="Q7324" s="27" t="n"/>
      <c r="R7324" s="27" t="n"/>
      <c r="S7324" s="27" t="n"/>
      <c r="T7324" s="27" t="n"/>
    </row>
    <row r="7325" ht="13.8" customFormat="1" customHeight="1" s="70">
      <c r="M7325" s="27" t="n"/>
      <c r="N7325" s="27" t="n"/>
      <c r="O7325" s="27" t="n"/>
      <c r="P7325" s="27" t="n"/>
      <c r="Q7325" s="27" t="n"/>
      <c r="R7325" s="27" t="n"/>
      <c r="S7325" s="27" t="n"/>
      <c r="T7325" s="27" t="n"/>
    </row>
    <row r="7326" ht="13.8" customFormat="1" customHeight="1" s="70">
      <c r="M7326" s="27" t="n"/>
      <c r="N7326" s="27" t="n"/>
      <c r="O7326" s="27" t="n"/>
      <c r="P7326" s="27" t="n"/>
      <c r="Q7326" s="27" t="n"/>
      <c r="R7326" s="27" t="n"/>
      <c r="S7326" s="27" t="n"/>
      <c r="T7326" s="27" t="n"/>
    </row>
    <row r="7327" ht="13.8" customFormat="1" customHeight="1" s="70">
      <c r="M7327" s="27" t="n"/>
      <c r="N7327" s="27" t="n"/>
      <c r="O7327" s="27" t="n"/>
      <c r="P7327" s="27" t="n"/>
      <c r="Q7327" s="27" t="n"/>
      <c r="R7327" s="27" t="n"/>
      <c r="S7327" s="27" t="n"/>
      <c r="T7327" s="27" t="n"/>
    </row>
    <row r="7328" ht="13.8" customFormat="1" customHeight="1" s="70">
      <c r="M7328" s="27" t="n"/>
      <c r="N7328" s="27" t="n"/>
      <c r="O7328" s="27" t="n"/>
      <c r="P7328" s="27" t="n"/>
      <c r="Q7328" s="27" t="n"/>
      <c r="R7328" s="27" t="n"/>
      <c r="S7328" s="27" t="n"/>
      <c r="T7328" s="27" t="n"/>
    </row>
    <row r="7329" ht="13.8" customFormat="1" customHeight="1" s="70">
      <c r="M7329" s="27" t="n"/>
      <c r="N7329" s="27" t="n"/>
      <c r="O7329" s="27" t="n"/>
      <c r="P7329" s="27" t="n"/>
      <c r="Q7329" s="27" t="n"/>
      <c r="R7329" s="27" t="n"/>
      <c r="S7329" s="27" t="n"/>
      <c r="T7329" s="27" t="n"/>
    </row>
    <row r="7330" ht="13.8" customFormat="1" customHeight="1" s="70">
      <c r="M7330" s="27" t="n"/>
      <c r="N7330" s="27" t="n"/>
      <c r="O7330" s="27" t="n"/>
      <c r="P7330" s="27" t="n"/>
      <c r="Q7330" s="27" t="n"/>
      <c r="R7330" s="27" t="n"/>
      <c r="S7330" s="27" t="n"/>
      <c r="T7330" s="27" t="n"/>
    </row>
    <row r="7331" ht="13.8" customFormat="1" customHeight="1" s="70">
      <c r="M7331" s="27" t="n"/>
      <c r="N7331" s="27" t="n"/>
      <c r="O7331" s="27" t="n"/>
      <c r="P7331" s="27" t="n"/>
      <c r="Q7331" s="27" t="n"/>
      <c r="R7331" s="27" t="n"/>
      <c r="S7331" s="27" t="n"/>
      <c r="T7331" s="27" t="n"/>
    </row>
    <row r="7332" ht="13.8" customFormat="1" customHeight="1" s="70">
      <c r="M7332" s="27" t="n"/>
      <c r="N7332" s="27" t="n"/>
      <c r="O7332" s="27" t="n"/>
      <c r="P7332" s="27" t="n"/>
      <c r="Q7332" s="27" t="n"/>
      <c r="R7332" s="27" t="n"/>
      <c r="S7332" s="27" t="n"/>
      <c r="T7332" s="27" t="n"/>
    </row>
    <row r="7333" ht="13.8" customFormat="1" customHeight="1" s="70">
      <c r="M7333" s="27" t="n"/>
      <c r="N7333" s="27" t="n"/>
      <c r="O7333" s="27" t="n"/>
      <c r="P7333" s="27" t="n"/>
      <c r="Q7333" s="27" t="n"/>
      <c r="R7333" s="27" t="n"/>
      <c r="S7333" s="27" t="n"/>
      <c r="T7333" s="27" t="n"/>
    </row>
    <row r="7334" ht="13.8" customFormat="1" customHeight="1" s="70">
      <c r="M7334" s="27" t="n"/>
      <c r="N7334" s="27" t="n"/>
      <c r="O7334" s="27" t="n"/>
      <c r="P7334" s="27" t="n"/>
      <c r="Q7334" s="27" t="n"/>
      <c r="R7334" s="27" t="n"/>
      <c r="S7334" s="27" t="n"/>
      <c r="T7334" s="27" t="n"/>
    </row>
    <row r="7335" ht="13.8" customFormat="1" customHeight="1" s="70">
      <c r="M7335" s="27" t="n"/>
      <c r="N7335" s="27" t="n"/>
      <c r="O7335" s="27" t="n"/>
      <c r="P7335" s="27" t="n"/>
      <c r="Q7335" s="27" t="n"/>
      <c r="R7335" s="27" t="n"/>
      <c r="S7335" s="27" t="n"/>
      <c r="T7335" s="27" t="n"/>
    </row>
    <row r="7336" ht="13.8" customFormat="1" customHeight="1" s="70">
      <c r="M7336" s="27" t="n"/>
      <c r="N7336" s="27" t="n"/>
      <c r="O7336" s="27" t="n"/>
      <c r="P7336" s="27" t="n"/>
      <c r="Q7336" s="27" t="n"/>
      <c r="R7336" s="27" t="n"/>
      <c r="S7336" s="27" t="n"/>
      <c r="T7336" s="27" t="n"/>
    </row>
    <row r="7337" ht="13.8" customFormat="1" customHeight="1" s="70">
      <c r="M7337" s="27" t="n"/>
      <c r="N7337" s="27" t="n"/>
      <c r="O7337" s="27" t="n"/>
      <c r="P7337" s="27" t="n"/>
      <c r="Q7337" s="27" t="n"/>
      <c r="R7337" s="27" t="n"/>
      <c r="S7337" s="27" t="n"/>
      <c r="T7337" s="27" t="n"/>
    </row>
    <row r="7338" ht="13.8" customFormat="1" customHeight="1" s="70">
      <c r="M7338" s="27" t="n"/>
      <c r="N7338" s="27" t="n"/>
      <c r="O7338" s="27" t="n"/>
      <c r="P7338" s="27" t="n"/>
      <c r="Q7338" s="27" t="n"/>
      <c r="R7338" s="27" t="n"/>
      <c r="S7338" s="27" t="n"/>
      <c r="T7338" s="27" t="n"/>
    </row>
    <row r="7339" ht="13.8" customFormat="1" customHeight="1" s="70">
      <c r="M7339" s="27" t="n"/>
      <c r="N7339" s="27" t="n"/>
      <c r="O7339" s="27" t="n"/>
      <c r="P7339" s="27" t="n"/>
      <c r="Q7339" s="27" t="n"/>
      <c r="R7339" s="27" t="n"/>
      <c r="S7339" s="27" t="n"/>
      <c r="T7339" s="27" t="n"/>
    </row>
    <row r="7340" ht="13.8" customFormat="1" customHeight="1" s="70">
      <c r="M7340" s="27" t="n"/>
      <c r="N7340" s="27" t="n"/>
      <c r="O7340" s="27" t="n"/>
      <c r="P7340" s="27" t="n"/>
      <c r="Q7340" s="27" t="n"/>
      <c r="R7340" s="27" t="n"/>
      <c r="S7340" s="27" t="n"/>
      <c r="T7340" s="27" t="n"/>
    </row>
    <row r="7341" ht="13.8" customFormat="1" customHeight="1" s="70">
      <c r="M7341" s="27" t="n"/>
      <c r="N7341" s="27" t="n"/>
      <c r="O7341" s="27" t="n"/>
      <c r="P7341" s="27" t="n"/>
      <c r="Q7341" s="27" t="n"/>
      <c r="R7341" s="27" t="n"/>
      <c r="S7341" s="27" t="n"/>
      <c r="T7341" s="27" t="n"/>
    </row>
    <row r="7342" ht="13.8" customFormat="1" customHeight="1" s="70">
      <c r="M7342" s="27" t="n"/>
      <c r="N7342" s="27" t="n"/>
      <c r="O7342" s="27" t="n"/>
      <c r="P7342" s="27" t="n"/>
      <c r="Q7342" s="27" t="n"/>
      <c r="R7342" s="27" t="n"/>
      <c r="S7342" s="27" t="n"/>
      <c r="T7342" s="27" t="n"/>
    </row>
    <row r="7343" ht="13.8" customFormat="1" customHeight="1" s="70">
      <c r="M7343" s="27" t="n"/>
      <c r="N7343" s="27" t="n"/>
      <c r="O7343" s="27" t="n"/>
      <c r="P7343" s="27" t="n"/>
      <c r="Q7343" s="27" t="n"/>
      <c r="R7343" s="27" t="n"/>
      <c r="S7343" s="27" t="n"/>
      <c r="T7343" s="27" t="n"/>
    </row>
    <row r="7344" ht="13.8" customFormat="1" customHeight="1" s="70">
      <c r="M7344" s="27" t="n"/>
      <c r="N7344" s="27" t="n"/>
      <c r="O7344" s="27" t="n"/>
      <c r="P7344" s="27" t="n"/>
      <c r="Q7344" s="27" t="n"/>
      <c r="R7344" s="27" t="n"/>
      <c r="S7344" s="27" t="n"/>
      <c r="T7344" s="27" t="n"/>
    </row>
    <row r="7345" ht="13.8" customFormat="1" customHeight="1" s="70">
      <c r="M7345" s="27" t="n"/>
      <c r="N7345" s="27" t="n"/>
      <c r="O7345" s="27" t="n"/>
      <c r="P7345" s="27" t="n"/>
      <c r="Q7345" s="27" t="n"/>
      <c r="R7345" s="27" t="n"/>
      <c r="S7345" s="27" t="n"/>
      <c r="T7345" s="27" t="n"/>
    </row>
    <row r="7346" ht="13.8" customFormat="1" customHeight="1" s="70">
      <c r="M7346" s="27" t="n"/>
      <c r="N7346" s="27" t="n"/>
      <c r="O7346" s="27" t="n"/>
      <c r="P7346" s="27" t="n"/>
      <c r="Q7346" s="27" t="n"/>
      <c r="R7346" s="27" t="n"/>
      <c r="S7346" s="27" t="n"/>
      <c r="T7346" s="27" t="n"/>
    </row>
    <row r="7347" ht="13.8" customFormat="1" customHeight="1" s="70">
      <c r="M7347" s="27" t="n"/>
      <c r="N7347" s="27" t="n"/>
      <c r="O7347" s="27" t="n"/>
      <c r="P7347" s="27" t="n"/>
      <c r="Q7347" s="27" t="n"/>
      <c r="R7347" s="27" t="n"/>
      <c r="S7347" s="27" t="n"/>
      <c r="T7347" s="27" t="n"/>
    </row>
    <row r="7348" ht="13.8" customFormat="1" customHeight="1" s="70">
      <c r="M7348" s="27" t="n"/>
      <c r="N7348" s="27" t="n"/>
      <c r="O7348" s="27" t="n"/>
      <c r="P7348" s="27" t="n"/>
      <c r="Q7348" s="27" t="n"/>
      <c r="R7348" s="27" t="n"/>
      <c r="S7348" s="27" t="n"/>
      <c r="T7348" s="27" t="n"/>
    </row>
    <row r="7349" ht="13.8" customFormat="1" customHeight="1" s="70">
      <c r="M7349" s="27" t="n"/>
      <c r="N7349" s="27" t="n"/>
      <c r="O7349" s="27" t="n"/>
      <c r="P7349" s="27" t="n"/>
      <c r="Q7349" s="27" t="n"/>
      <c r="R7349" s="27" t="n"/>
      <c r="S7349" s="27" t="n"/>
      <c r="T7349" s="27" t="n"/>
    </row>
    <row r="7350" ht="13.8" customFormat="1" customHeight="1" s="70">
      <c r="M7350" s="27" t="n"/>
      <c r="N7350" s="27" t="n"/>
      <c r="O7350" s="27" t="n"/>
      <c r="P7350" s="27" t="n"/>
      <c r="Q7350" s="27" t="n"/>
      <c r="R7350" s="27" t="n"/>
      <c r="S7350" s="27" t="n"/>
      <c r="T7350" s="27" t="n"/>
    </row>
    <row r="7351" ht="13.8" customFormat="1" customHeight="1" s="70">
      <c r="M7351" s="27" t="n"/>
      <c r="N7351" s="27" t="n"/>
      <c r="O7351" s="27" t="n"/>
      <c r="P7351" s="27" t="n"/>
      <c r="Q7351" s="27" t="n"/>
      <c r="R7351" s="27" t="n"/>
      <c r="S7351" s="27" t="n"/>
      <c r="T7351" s="27" t="n"/>
    </row>
    <row r="7352" ht="13.8" customFormat="1" customHeight="1" s="70">
      <c r="M7352" s="27" t="n"/>
      <c r="N7352" s="27" t="n"/>
      <c r="O7352" s="27" t="n"/>
      <c r="P7352" s="27" t="n"/>
      <c r="Q7352" s="27" t="n"/>
      <c r="R7352" s="27" t="n"/>
      <c r="S7352" s="27" t="n"/>
      <c r="T7352" s="27" t="n"/>
    </row>
    <row r="7353" ht="13.8" customFormat="1" customHeight="1" s="70">
      <c r="M7353" s="27" t="n"/>
      <c r="N7353" s="27" t="n"/>
      <c r="O7353" s="27" t="n"/>
      <c r="P7353" s="27" t="n"/>
      <c r="Q7353" s="27" t="n"/>
      <c r="R7353" s="27" t="n"/>
      <c r="S7353" s="27" t="n"/>
      <c r="T7353" s="27" t="n"/>
    </row>
    <row r="7354" ht="13.8" customFormat="1" customHeight="1" s="70">
      <c r="M7354" s="27" t="n"/>
      <c r="N7354" s="27" t="n"/>
      <c r="O7354" s="27" t="n"/>
      <c r="P7354" s="27" t="n"/>
      <c r="Q7354" s="27" t="n"/>
      <c r="R7354" s="27" t="n"/>
      <c r="S7354" s="27" t="n"/>
      <c r="T7354" s="27" t="n"/>
    </row>
    <row r="7355" ht="13.8" customFormat="1" customHeight="1" s="70">
      <c r="M7355" s="27" t="n"/>
      <c r="N7355" s="27" t="n"/>
      <c r="O7355" s="27" t="n"/>
      <c r="P7355" s="27" t="n"/>
      <c r="Q7355" s="27" t="n"/>
      <c r="R7355" s="27" t="n"/>
      <c r="S7355" s="27" t="n"/>
      <c r="T7355" s="27" t="n"/>
    </row>
    <row r="7356" ht="13.8" customFormat="1" customHeight="1" s="70">
      <c r="M7356" s="27" t="n"/>
      <c r="N7356" s="27" t="n"/>
      <c r="O7356" s="27" t="n"/>
      <c r="P7356" s="27" t="n"/>
      <c r="Q7356" s="27" t="n"/>
      <c r="R7356" s="27" t="n"/>
      <c r="S7356" s="27" t="n"/>
      <c r="T7356" s="27" t="n"/>
    </row>
    <row r="7357" ht="13.8" customFormat="1" customHeight="1" s="70">
      <c r="M7357" s="27" t="n"/>
      <c r="N7357" s="27" t="n"/>
      <c r="O7357" s="27" t="n"/>
      <c r="P7357" s="27" t="n"/>
      <c r="Q7357" s="27" t="n"/>
      <c r="R7357" s="27" t="n"/>
      <c r="S7357" s="27" t="n"/>
      <c r="T7357" s="27" t="n"/>
    </row>
    <row r="7358" ht="13.8" customFormat="1" customHeight="1" s="70">
      <c r="M7358" s="27" t="n"/>
      <c r="N7358" s="27" t="n"/>
      <c r="O7358" s="27" t="n"/>
      <c r="P7358" s="27" t="n"/>
      <c r="Q7358" s="27" t="n"/>
      <c r="R7358" s="27" t="n"/>
      <c r="S7358" s="27" t="n"/>
      <c r="T7358" s="27" t="n"/>
    </row>
    <row r="7359" ht="13.8" customFormat="1" customHeight="1" s="70">
      <c r="M7359" s="27" t="n"/>
      <c r="N7359" s="27" t="n"/>
      <c r="O7359" s="27" t="n"/>
      <c r="P7359" s="27" t="n"/>
      <c r="Q7359" s="27" t="n"/>
      <c r="R7359" s="27" t="n"/>
      <c r="S7359" s="27" t="n"/>
      <c r="T7359" s="27" t="n"/>
    </row>
    <row r="7360" ht="13.8" customFormat="1" customHeight="1" s="70">
      <c r="M7360" s="27" t="n"/>
      <c r="N7360" s="27" t="n"/>
      <c r="O7360" s="27" t="n"/>
      <c r="P7360" s="27" t="n"/>
      <c r="Q7360" s="27" t="n"/>
      <c r="R7360" s="27" t="n"/>
      <c r="S7360" s="27" t="n"/>
      <c r="T7360" s="27" t="n"/>
    </row>
    <row r="7361" ht="13.8" customFormat="1" customHeight="1" s="70">
      <c r="M7361" s="27" t="n"/>
      <c r="N7361" s="27" t="n"/>
      <c r="O7361" s="27" t="n"/>
      <c r="P7361" s="27" t="n"/>
      <c r="Q7361" s="27" t="n"/>
      <c r="R7361" s="27" t="n"/>
      <c r="S7361" s="27" t="n"/>
      <c r="T7361" s="27" t="n"/>
    </row>
    <row r="7362" ht="13.8" customFormat="1" customHeight="1" s="70">
      <c r="M7362" s="27" t="n"/>
      <c r="N7362" s="27" t="n"/>
      <c r="O7362" s="27" t="n"/>
      <c r="P7362" s="27" t="n"/>
      <c r="Q7362" s="27" t="n"/>
      <c r="R7362" s="27" t="n"/>
      <c r="S7362" s="27" t="n"/>
      <c r="T7362" s="27" t="n"/>
    </row>
    <row r="7363" ht="13.8" customFormat="1" customHeight="1" s="70">
      <c r="M7363" s="27" t="n"/>
      <c r="N7363" s="27" t="n"/>
      <c r="O7363" s="27" t="n"/>
      <c r="P7363" s="27" t="n"/>
      <c r="Q7363" s="27" t="n"/>
      <c r="R7363" s="27" t="n"/>
      <c r="S7363" s="27" t="n"/>
      <c r="T7363" s="27" t="n"/>
    </row>
    <row r="7364" ht="13.8" customFormat="1" customHeight="1" s="70">
      <c r="M7364" s="27" t="n"/>
      <c r="N7364" s="27" t="n"/>
      <c r="O7364" s="27" t="n"/>
      <c r="P7364" s="27" t="n"/>
      <c r="Q7364" s="27" t="n"/>
      <c r="R7364" s="27" t="n"/>
      <c r="S7364" s="27" t="n"/>
      <c r="T7364" s="27" t="n"/>
    </row>
    <row r="7365" ht="13.8" customFormat="1" customHeight="1" s="70">
      <c r="M7365" s="27" t="n"/>
      <c r="N7365" s="27" t="n"/>
      <c r="O7365" s="27" t="n"/>
      <c r="P7365" s="27" t="n"/>
      <c r="Q7365" s="27" t="n"/>
      <c r="R7365" s="27" t="n"/>
      <c r="S7365" s="27" t="n"/>
      <c r="T7365" s="27" t="n"/>
    </row>
    <row r="7366" ht="13.8" customFormat="1" customHeight="1" s="70">
      <c r="M7366" s="27" t="n"/>
      <c r="N7366" s="27" t="n"/>
      <c r="O7366" s="27" t="n"/>
      <c r="P7366" s="27" t="n"/>
      <c r="Q7366" s="27" t="n"/>
      <c r="R7366" s="27" t="n"/>
      <c r="S7366" s="27" t="n"/>
      <c r="T7366" s="27" t="n"/>
    </row>
    <row r="7367" ht="13.8" customFormat="1" customHeight="1" s="70">
      <c r="M7367" s="27" t="n"/>
      <c r="N7367" s="27" t="n"/>
      <c r="O7367" s="27" t="n"/>
      <c r="P7367" s="27" t="n"/>
      <c r="Q7367" s="27" t="n"/>
      <c r="R7367" s="27" t="n"/>
      <c r="S7367" s="27" t="n"/>
      <c r="T7367" s="27" t="n"/>
    </row>
    <row r="7368" ht="13.8" customFormat="1" customHeight="1" s="70">
      <c r="M7368" s="27" t="n"/>
      <c r="N7368" s="27" t="n"/>
      <c r="O7368" s="27" t="n"/>
      <c r="P7368" s="27" t="n"/>
      <c r="Q7368" s="27" t="n"/>
      <c r="R7368" s="27" t="n"/>
      <c r="S7368" s="27" t="n"/>
      <c r="T7368" s="27" t="n"/>
    </row>
    <row r="7369" ht="13.8" customFormat="1" customHeight="1" s="70">
      <c r="M7369" s="27" t="n"/>
      <c r="N7369" s="27" t="n"/>
      <c r="O7369" s="27" t="n"/>
      <c r="P7369" s="27" t="n"/>
      <c r="Q7369" s="27" t="n"/>
      <c r="R7369" s="27" t="n"/>
      <c r="S7369" s="27" t="n"/>
      <c r="T7369" s="27" t="n"/>
    </row>
    <row r="7370" ht="13.8" customFormat="1" customHeight="1" s="70">
      <c r="M7370" s="27" t="n"/>
      <c r="N7370" s="27" t="n"/>
      <c r="O7370" s="27" t="n"/>
      <c r="P7370" s="27" t="n"/>
      <c r="Q7370" s="27" t="n"/>
      <c r="R7370" s="27" t="n"/>
      <c r="S7370" s="27" t="n"/>
      <c r="T7370" s="27" t="n"/>
    </row>
    <row r="7371" ht="13.8" customFormat="1" customHeight="1" s="70">
      <c r="M7371" s="27" t="n"/>
      <c r="N7371" s="27" t="n"/>
      <c r="O7371" s="27" t="n"/>
      <c r="P7371" s="27" t="n"/>
      <c r="Q7371" s="27" t="n"/>
      <c r="R7371" s="27" t="n"/>
      <c r="S7371" s="27" t="n"/>
      <c r="T7371" s="27" t="n"/>
    </row>
    <row r="7372" ht="13.8" customFormat="1" customHeight="1" s="70">
      <c r="M7372" s="27" t="n"/>
      <c r="N7372" s="27" t="n"/>
      <c r="O7372" s="27" t="n"/>
      <c r="P7372" s="27" t="n"/>
      <c r="Q7372" s="27" t="n"/>
      <c r="R7372" s="27" t="n"/>
      <c r="S7372" s="27" t="n"/>
      <c r="T7372" s="27" t="n"/>
    </row>
    <row r="7373" ht="13.8" customFormat="1" customHeight="1" s="70">
      <c r="M7373" s="27" t="n"/>
      <c r="N7373" s="27" t="n"/>
      <c r="O7373" s="27" t="n"/>
      <c r="P7373" s="27" t="n"/>
      <c r="Q7373" s="27" t="n"/>
      <c r="R7373" s="27" t="n"/>
      <c r="S7373" s="27" t="n"/>
      <c r="T7373" s="27" t="n"/>
    </row>
    <row r="7374" ht="13.8" customFormat="1" customHeight="1" s="70">
      <c r="M7374" s="27" t="n"/>
      <c r="N7374" s="27" t="n"/>
      <c r="O7374" s="27" t="n"/>
      <c r="P7374" s="27" t="n"/>
      <c r="Q7374" s="27" t="n"/>
      <c r="R7374" s="27" t="n"/>
      <c r="S7374" s="27" t="n"/>
      <c r="T7374" s="27" t="n"/>
    </row>
    <row r="7375" ht="13.8" customFormat="1" customHeight="1" s="70">
      <c r="M7375" s="27" t="n"/>
      <c r="N7375" s="27" t="n"/>
      <c r="O7375" s="27" t="n"/>
      <c r="P7375" s="27" t="n"/>
      <c r="Q7375" s="27" t="n"/>
      <c r="R7375" s="27" t="n"/>
      <c r="S7375" s="27" t="n"/>
      <c r="T7375" s="27" t="n"/>
    </row>
    <row r="7376" ht="13.8" customFormat="1" customHeight="1" s="70">
      <c r="M7376" s="27" t="n"/>
      <c r="N7376" s="27" t="n"/>
      <c r="O7376" s="27" t="n"/>
      <c r="P7376" s="27" t="n"/>
      <c r="Q7376" s="27" t="n"/>
      <c r="R7376" s="27" t="n"/>
      <c r="S7376" s="27" t="n"/>
      <c r="T7376" s="27" t="n"/>
    </row>
    <row r="7377" ht="13.8" customFormat="1" customHeight="1" s="70">
      <c r="M7377" s="27" t="n"/>
      <c r="N7377" s="27" t="n"/>
      <c r="O7377" s="27" t="n"/>
      <c r="P7377" s="27" t="n"/>
      <c r="Q7377" s="27" t="n"/>
      <c r="R7377" s="27" t="n"/>
      <c r="S7377" s="27" t="n"/>
      <c r="T7377" s="27" t="n"/>
    </row>
    <row r="7378" ht="13.8" customFormat="1" customHeight="1" s="70">
      <c r="M7378" s="27" t="n"/>
      <c r="N7378" s="27" t="n"/>
      <c r="O7378" s="27" t="n"/>
      <c r="P7378" s="27" t="n"/>
      <c r="Q7378" s="27" t="n"/>
      <c r="R7378" s="27" t="n"/>
      <c r="S7378" s="27" t="n"/>
      <c r="T7378" s="27" t="n"/>
    </row>
    <row r="7379" ht="13.8" customFormat="1" customHeight="1" s="70">
      <c r="M7379" s="27" t="n"/>
      <c r="N7379" s="27" t="n"/>
      <c r="O7379" s="27" t="n"/>
      <c r="P7379" s="27" t="n"/>
      <c r="Q7379" s="27" t="n"/>
      <c r="R7379" s="27" t="n"/>
      <c r="S7379" s="27" t="n"/>
      <c r="T7379" s="27" t="n"/>
    </row>
    <row r="7380" ht="13.8" customFormat="1" customHeight="1" s="70">
      <c r="M7380" s="27" t="n"/>
      <c r="N7380" s="27" t="n"/>
      <c r="O7380" s="27" t="n"/>
      <c r="P7380" s="27" t="n"/>
      <c r="Q7380" s="27" t="n"/>
      <c r="R7380" s="27" t="n"/>
      <c r="S7380" s="27" t="n"/>
      <c r="T7380" s="27" t="n"/>
    </row>
    <row r="7381" ht="13.8" customFormat="1" customHeight="1" s="70">
      <c r="M7381" s="27" t="n"/>
      <c r="N7381" s="27" t="n"/>
      <c r="O7381" s="27" t="n"/>
      <c r="P7381" s="27" t="n"/>
      <c r="Q7381" s="27" t="n"/>
      <c r="R7381" s="27" t="n"/>
      <c r="S7381" s="27" t="n"/>
      <c r="T7381" s="27" t="n"/>
    </row>
    <row r="7382" ht="13.8" customFormat="1" customHeight="1" s="70">
      <c r="M7382" s="27" t="n"/>
      <c r="N7382" s="27" t="n"/>
      <c r="O7382" s="27" t="n"/>
      <c r="P7382" s="27" t="n"/>
      <c r="Q7382" s="27" t="n"/>
      <c r="R7382" s="27" t="n"/>
      <c r="S7382" s="27" t="n"/>
      <c r="T7382" s="27" t="n"/>
    </row>
    <row r="7383" ht="13.8" customFormat="1" customHeight="1" s="70">
      <c r="M7383" s="27" t="n"/>
      <c r="N7383" s="27" t="n"/>
      <c r="O7383" s="27" t="n"/>
      <c r="P7383" s="27" t="n"/>
      <c r="Q7383" s="27" t="n"/>
      <c r="R7383" s="27" t="n"/>
      <c r="S7383" s="27" t="n"/>
      <c r="T7383" s="27" t="n"/>
    </row>
    <row r="7384" ht="13.8" customFormat="1" customHeight="1" s="70">
      <c r="M7384" s="27" t="n"/>
      <c r="N7384" s="27" t="n"/>
      <c r="O7384" s="27" t="n"/>
      <c r="P7384" s="27" t="n"/>
      <c r="Q7384" s="27" t="n"/>
      <c r="R7384" s="27" t="n"/>
      <c r="S7384" s="27" t="n"/>
      <c r="T7384" s="27" t="n"/>
    </row>
    <row r="7385" ht="13.8" customFormat="1" customHeight="1" s="70">
      <c r="M7385" s="27" t="n"/>
      <c r="N7385" s="27" t="n"/>
      <c r="O7385" s="27" t="n"/>
      <c r="P7385" s="27" t="n"/>
      <c r="Q7385" s="27" t="n"/>
      <c r="R7385" s="27" t="n"/>
      <c r="S7385" s="27" t="n"/>
      <c r="T7385" s="27" t="n"/>
    </row>
    <row r="7386" ht="13.8" customFormat="1" customHeight="1" s="70">
      <c r="M7386" s="27" t="n"/>
      <c r="N7386" s="27" t="n"/>
      <c r="O7386" s="27" t="n"/>
      <c r="P7386" s="27" t="n"/>
      <c r="Q7386" s="27" t="n"/>
      <c r="R7386" s="27" t="n"/>
      <c r="S7386" s="27" t="n"/>
      <c r="T7386" s="27" t="n"/>
    </row>
    <row r="7387" ht="13.8" customFormat="1" customHeight="1" s="70">
      <c r="M7387" s="27" t="n"/>
      <c r="N7387" s="27" t="n"/>
      <c r="O7387" s="27" t="n"/>
      <c r="P7387" s="27" t="n"/>
      <c r="Q7387" s="27" t="n"/>
      <c r="R7387" s="27" t="n"/>
      <c r="S7387" s="27" t="n"/>
      <c r="T7387" s="27" t="n"/>
    </row>
    <row r="7388" ht="13.8" customFormat="1" customHeight="1" s="70">
      <c r="M7388" s="27" t="n"/>
      <c r="N7388" s="27" t="n"/>
      <c r="O7388" s="27" t="n"/>
      <c r="P7388" s="27" t="n"/>
      <c r="Q7388" s="27" t="n"/>
      <c r="R7388" s="27" t="n"/>
      <c r="S7388" s="27" t="n"/>
      <c r="T7388" s="27" t="n"/>
    </row>
    <row r="7389" ht="13.8" customFormat="1" customHeight="1" s="70">
      <c r="M7389" s="27" t="n"/>
      <c r="N7389" s="27" t="n"/>
      <c r="O7389" s="27" t="n"/>
      <c r="P7389" s="27" t="n"/>
      <c r="Q7389" s="27" t="n"/>
      <c r="R7389" s="27" t="n"/>
      <c r="S7389" s="27" t="n"/>
      <c r="T7389" s="27" t="n"/>
    </row>
    <row r="7390" ht="13.8" customFormat="1" customHeight="1" s="70">
      <c r="M7390" s="27" t="n"/>
      <c r="N7390" s="27" t="n"/>
      <c r="O7390" s="27" t="n"/>
      <c r="P7390" s="27" t="n"/>
      <c r="Q7390" s="27" t="n"/>
      <c r="R7390" s="27" t="n"/>
      <c r="S7390" s="27" t="n"/>
      <c r="T7390" s="27" t="n"/>
    </row>
    <row r="7391" ht="13.8" customFormat="1" customHeight="1" s="70">
      <c r="M7391" s="27" t="n"/>
      <c r="N7391" s="27" t="n"/>
      <c r="O7391" s="27" t="n"/>
      <c r="P7391" s="27" t="n"/>
      <c r="Q7391" s="27" t="n"/>
      <c r="R7391" s="27" t="n"/>
      <c r="S7391" s="27" t="n"/>
      <c r="T7391" s="27" t="n"/>
    </row>
    <row r="7392" ht="13.8" customFormat="1" customHeight="1" s="70">
      <c r="M7392" s="27" t="n"/>
      <c r="N7392" s="27" t="n"/>
      <c r="O7392" s="27" t="n"/>
      <c r="P7392" s="27" t="n"/>
      <c r="Q7392" s="27" t="n"/>
      <c r="R7392" s="27" t="n"/>
      <c r="S7392" s="27" t="n"/>
      <c r="T7392" s="27" t="n"/>
    </row>
    <row r="7393" ht="13.8" customFormat="1" customHeight="1" s="70">
      <c r="M7393" s="27" t="n"/>
      <c r="N7393" s="27" t="n"/>
      <c r="O7393" s="27" t="n"/>
      <c r="P7393" s="27" t="n"/>
      <c r="Q7393" s="27" t="n"/>
      <c r="R7393" s="27" t="n"/>
      <c r="S7393" s="27" t="n"/>
      <c r="T7393" s="27" t="n"/>
    </row>
    <row r="7394" ht="13.8" customFormat="1" customHeight="1" s="70">
      <c r="M7394" s="27" t="n"/>
      <c r="N7394" s="27" t="n"/>
      <c r="O7394" s="27" t="n"/>
      <c r="P7394" s="27" t="n"/>
      <c r="Q7394" s="27" t="n"/>
      <c r="R7394" s="27" t="n"/>
      <c r="S7394" s="27" t="n"/>
      <c r="T7394" s="27" t="n"/>
    </row>
    <row r="7395" ht="13.8" customFormat="1" customHeight="1" s="70">
      <c r="M7395" s="27" t="n"/>
      <c r="N7395" s="27" t="n"/>
      <c r="O7395" s="27" t="n"/>
      <c r="P7395" s="27" t="n"/>
      <c r="Q7395" s="27" t="n"/>
      <c r="R7395" s="27" t="n"/>
      <c r="S7395" s="27" t="n"/>
      <c r="T7395" s="27" t="n"/>
    </row>
    <row r="7396" ht="13.8" customFormat="1" customHeight="1" s="70">
      <c r="M7396" s="27" t="n"/>
      <c r="N7396" s="27" t="n"/>
      <c r="O7396" s="27" t="n"/>
      <c r="P7396" s="27" t="n"/>
      <c r="Q7396" s="27" t="n"/>
      <c r="R7396" s="27" t="n"/>
      <c r="S7396" s="27" t="n"/>
      <c r="T7396" s="27" t="n"/>
    </row>
    <row r="7397" ht="13.8" customFormat="1" customHeight="1" s="70">
      <c r="M7397" s="27" t="n"/>
      <c r="N7397" s="27" t="n"/>
      <c r="O7397" s="27" t="n"/>
      <c r="P7397" s="27" t="n"/>
      <c r="Q7397" s="27" t="n"/>
      <c r="R7397" s="27" t="n"/>
      <c r="S7397" s="27" t="n"/>
      <c r="T7397" s="27" t="n"/>
    </row>
    <row r="7398" ht="13.8" customFormat="1" customHeight="1" s="70">
      <c r="M7398" s="27" t="n"/>
      <c r="N7398" s="27" t="n"/>
      <c r="O7398" s="27" t="n"/>
      <c r="P7398" s="27" t="n"/>
      <c r="Q7398" s="27" t="n"/>
      <c r="R7398" s="27" t="n"/>
      <c r="S7398" s="27" t="n"/>
      <c r="T7398" s="27" t="n"/>
    </row>
    <row r="7399" ht="13.8" customFormat="1" customHeight="1" s="70">
      <c r="M7399" s="27" t="n"/>
      <c r="N7399" s="27" t="n"/>
      <c r="O7399" s="27" t="n"/>
      <c r="P7399" s="27" t="n"/>
      <c r="Q7399" s="27" t="n"/>
      <c r="R7399" s="27" t="n"/>
      <c r="S7399" s="27" t="n"/>
      <c r="T7399" s="27" t="n"/>
    </row>
    <row r="7400" ht="13.8" customFormat="1" customHeight="1" s="70">
      <c r="M7400" s="27" t="n"/>
      <c r="N7400" s="27" t="n"/>
      <c r="O7400" s="27" t="n"/>
      <c r="P7400" s="27" t="n"/>
      <c r="Q7400" s="27" t="n"/>
      <c r="R7400" s="27" t="n"/>
      <c r="S7400" s="27" t="n"/>
      <c r="T7400" s="27" t="n"/>
    </row>
    <row r="7401" ht="13.8" customFormat="1" customHeight="1" s="70">
      <c r="M7401" s="27" t="n"/>
      <c r="N7401" s="27" t="n"/>
      <c r="O7401" s="27" t="n"/>
      <c r="P7401" s="27" t="n"/>
      <c r="Q7401" s="27" t="n"/>
      <c r="R7401" s="27" t="n"/>
      <c r="S7401" s="27" t="n"/>
      <c r="T7401" s="27" t="n"/>
    </row>
    <row r="7402" ht="13.8" customFormat="1" customHeight="1" s="70">
      <c r="M7402" s="27" t="n"/>
      <c r="N7402" s="27" t="n"/>
      <c r="O7402" s="27" t="n"/>
      <c r="P7402" s="27" t="n"/>
      <c r="Q7402" s="27" t="n"/>
      <c r="R7402" s="27" t="n"/>
      <c r="S7402" s="27" t="n"/>
      <c r="T7402" s="27" t="n"/>
    </row>
    <row r="7403" ht="13.8" customFormat="1" customHeight="1" s="70">
      <c r="M7403" s="27" t="n"/>
      <c r="N7403" s="27" t="n"/>
      <c r="O7403" s="27" t="n"/>
      <c r="P7403" s="27" t="n"/>
      <c r="Q7403" s="27" t="n"/>
      <c r="R7403" s="27" t="n"/>
      <c r="S7403" s="27" t="n"/>
      <c r="T7403" s="27" t="n"/>
    </row>
    <row r="7404" ht="13.8" customFormat="1" customHeight="1" s="70">
      <c r="M7404" s="27" t="n"/>
      <c r="N7404" s="27" t="n"/>
      <c r="O7404" s="27" t="n"/>
      <c r="P7404" s="27" t="n"/>
      <c r="Q7404" s="27" t="n"/>
      <c r="R7404" s="27" t="n"/>
      <c r="S7404" s="27" t="n"/>
      <c r="T7404" s="27" t="n"/>
    </row>
    <row r="7405" ht="13.8" customFormat="1" customHeight="1" s="70">
      <c r="M7405" s="27" t="n"/>
      <c r="N7405" s="27" t="n"/>
      <c r="O7405" s="27" t="n"/>
      <c r="P7405" s="27" t="n"/>
      <c r="Q7405" s="27" t="n"/>
      <c r="R7405" s="27" t="n"/>
      <c r="S7405" s="27" t="n"/>
      <c r="T7405" s="27" t="n"/>
    </row>
    <row r="7406" ht="13.8" customFormat="1" customHeight="1" s="70">
      <c r="M7406" s="27" t="n"/>
      <c r="N7406" s="27" t="n"/>
      <c r="O7406" s="27" t="n"/>
      <c r="P7406" s="27" t="n"/>
      <c r="Q7406" s="27" t="n"/>
      <c r="R7406" s="27" t="n"/>
      <c r="S7406" s="27" t="n"/>
      <c r="T7406" s="27" t="n"/>
    </row>
    <row r="7407" ht="13.8" customFormat="1" customHeight="1" s="70">
      <c r="M7407" s="27" t="n"/>
      <c r="N7407" s="27" t="n"/>
      <c r="O7407" s="27" t="n"/>
      <c r="P7407" s="27" t="n"/>
      <c r="Q7407" s="27" t="n"/>
      <c r="R7407" s="27" t="n"/>
      <c r="S7407" s="27" t="n"/>
      <c r="T7407" s="27" t="n"/>
    </row>
    <row r="7408" ht="13.8" customFormat="1" customHeight="1" s="70">
      <c r="M7408" s="27" t="n"/>
      <c r="N7408" s="27" t="n"/>
      <c r="O7408" s="27" t="n"/>
      <c r="P7408" s="27" t="n"/>
      <c r="Q7408" s="27" t="n"/>
      <c r="R7408" s="27" t="n"/>
      <c r="S7408" s="27" t="n"/>
      <c r="T7408" s="27" t="n"/>
    </row>
    <row r="7409" ht="13.8" customFormat="1" customHeight="1" s="70">
      <c r="M7409" s="27" t="n"/>
      <c r="N7409" s="27" t="n"/>
      <c r="O7409" s="27" t="n"/>
      <c r="P7409" s="27" t="n"/>
      <c r="Q7409" s="27" t="n"/>
      <c r="R7409" s="27" t="n"/>
      <c r="S7409" s="27" t="n"/>
      <c r="T7409" s="27" t="n"/>
    </row>
    <row r="7410" ht="13.8" customFormat="1" customHeight="1" s="70">
      <c r="M7410" s="27" t="n"/>
      <c r="N7410" s="27" t="n"/>
      <c r="O7410" s="27" t="n"/>
      <c r="P7410" s="27" t="n"/>
      <c r="Q7410" s="27" t="n"/>
      <c r="R7410" s="27" t="n"/>
      <c r="S7410" s="27" t="n"/>
      <c r="T7410" s="27" t="n"/>
    </row>
    <row r="7411" ht="13.8" customFormat="1" customHeight="1" s="70">
      <c r="M7411" s="27" t="n"/>
      <c r="N7411" s="27" t="n"/>
      <c r="O7411" s="27" t="n"/>
      <c r="P7411" s="27" t="n"/>
      <c r="Q7411" s="27" t="n"/>
      <c r="R7411" s="27" t="n"/>
      <c r="S7411" s="27" t="n"/>
      <c r="T7411" s="27" t="n"/>
    </row>
    <row r="7412" ht="13.8" customFormat="1" customHeight="1" s="70">
      <c r="M7412" s="27" t="n"/>
      <c r="N7412" s="27" t="n"/>
      <c r="O7412" s="27" t="n"/>
      <c r="P7412" s="27" t="n"/>
      <c r="Q7412" s="27" t="n"/>
      <c r="R7412" s="27" t="n"/>
      <c r="S7412" s="27" t="n"/>
      <c r="T7412" s="27" t="n"/>
    </row>
    <row r="7413" ht="13.8" customFormat="1" customHeight="1" s="70">
      <c r="M7413" s="27" t="n"/>
      <c r="N7413" s="27" t="n"/>
      <c r="O7413" s="27" t="n"/>
      <c r="P7413" s="27" t="n"/>
      <c r="Q7413" s="27" t="n"/>
      <c r="R7413" s="27" t="n"/>
      <c r="S7413" s="27" t="n"/>
      <c r="T7413" s="27" t="n"/>
    </row>
    <row r="7414" ht="13.8" customFormat="1" customHeight="1" s="70">
      <c r="M7414" s="27" t="n"/>
      <c r="N7414" s="27" t="n"/>
      <c r="O7414" s="27" t="n"/>
      <c r="P7414" s="27" t="n"/>
      <c r="Q7414" s="27" t="n"/>
      <c r="R7414" s="27" t="n"/>
      <c r="S7414" s="27" t="n"/>
      <c r="T7414" s="27" t="n"/>
    </row>
    <row r="7415" ht="13.8" customFormat="1" customHeight="1" s="70">
      <c r="M7415" s="27" t="n"/>
      <c r="N7415" s="27" t="n"/>
      <c r="O7415" s="27" t="n"/>
      <c r="P7415" s="27" t="n"/>
      <c r="Q7415" s="27" t="n"/>
      <c r="R7415" s="27" t="n"/>
      <c r="S7415" s="27" t="n"/>
      <c r="T7415" s="27" t="n"/>
    </row>
    <row r="7416" ht="13.8" customFormat="1" customHeight="1" s="70">
      <c r="M7416" s="27" t="n"/>
      <c r="N7416" s="27" t="n"/>
      <c r="O7416" s="27" t="n"/>
      <c r="P7416" s="27" t="n"/>
      <c r="Q7416" s="27" t="n"/>
      <c r="R7416" s="27" t="n"/>
      <c r="S7416" s="27" t="n"/>
      <c r="T7416" s="27" t="n"/>
    </row>
    <row r="7417" ht="13.8" customFormat="1" customHeight="1" s="70">
      <c r="M7417" s="27" t="n"/>
      <c r="N7417" s="27" t="n"/>
      <c r="O7417" s="27" t="n"/>
      <c r="P7417" s="27" t="n"/>
      <c r="Q7417" s="27" t="n"/>
      <c r="R7417" s="27" t="n"/>
      <c r="S7417" s="27" t="n"/>
      <c r="T7417" s="27" t="n"/>
    </row>
    <row r="7418" ht="13.8" customFormat="1" customHeight="1" s="70">
      <c r="M7418" s="27" t="n"/>
      <c r="N7418" s="27" t="n"/>
      <c r="O7418" s="27" t="n"/>
      <c r="P7418" s="27" t="n"/>
      <c r="Q7418" s="27" t="n"/>
      <c r="R7418" s="27" t="n"/>
      <c r="S7418" s="27" t="n"/>
      <c r="T7418" s="27" t="n"/>
    </row>
    <row r="7419" ht="13.8" customFormat="1" customHeight="1" s="70">
      <c r="M7419" s="27" t="n"/>
      <c r="N7419" s="27" t="n"/>
      <c r="O7419" s="27" t="n"/>
      <c r="P7419" s="27" t="n"/>
      <c r="Q7419" s="27" t="n"/>
      <c r="R7419" s="27" t="n"/>
      <c r="S7419" s="27" t="n"/>
      <c r="T7419" s="27" t="n"/>
    </row>
    <row r="7420" ht="13.8" customFormat="1" customHeight="1" s="70">
      <c r="M7420" s="27" t="n"/>
      <c r="N7420" s="27" t="n"/>
      <c r="O7420" s="27" t="n"/>
      <c r="P7420" s="27" t="n"/>
      <c r="Q7420" s="27" t="n"/>
      <c r="R7420" s="27" t="n"/>
      <c r="S7420" s="27" t="n"/>
      <c r="T7420" s="27" t="n"/>
    </row>
    <row r="7421" ht="13.8" customFormat="1" customHeight="1" s="70">
      <c r="M7421" s="27" t="n"/>
      <c r="N7421" s="27" t="n"/>
      <c r="O7421" s="27" t="n"/>
      <c r="P7421" s="27" t="n"/>
      <c r="Q7421" s="27" t="n"/>
      <c r="R7421" s="27" t="n"/>
      <c r="S7421" s="27" t="n"/>
      <c r="T7421" s="27" t="n"/>
    </row>
    <row r="7422" ht="13.8" customFormat="1" customHeight="1" s="70">
      <c r="M7422" s="27" t="n"/>
      <c r="N7422" s="27" t="n"/>
      <c r="O7422" s="27" t="n"/>
      <c r="P7422" s="27" t="n"/>
      <c r="Q7422" s="27" t="n"/>
      <c r="R7422" s="27" t="n"/>
      <c r="S7422" s="27" t="n"/>
      <c r="T7422" s="27" t="n"/>
    </row>
    <row r="7423" ht="13.8" customFormat="1" customHeight="1" s="70">
      <c r="M7423" s="27" t="n"/>
      <c r="N7423" s="27" t="n"/>
      <c r="O7423" s="27" t="n"/>
      <c r="P7423" s="27" t="n"/>
      <c r="Q7423" s="27" t="n"/>
      <c r="R7423" s="27" t="n"/>
      <c r="S7423" s="27" t="n"/>
      <c r="T7423" s="27" t="n"/>
    </row>
    <row r="7424" ht="13.8" customFormat="1" customHeight="1" s="70">
      <c r="M7424" s="27" t="n"/>
      <c r="N7424" s="27" t="n"/>
      <c r="O7424" s="27" t="n"/>
      <c r="P7424" s="27" t="n"/>
      <c r="Q7424" s="27" t="n"/>
      <c r="R7424" s="27" t="n"/>
      <c r="S7424" s="27" t="n"/>
      <c r="T7424" s="27" t="n"/>
    </row>
    <row r="7425" ht="13.8" customFormat="1" customHeight="1" s="70">
      <c r="M7425" s="27" t="n"/>
      <c r="N7425" s="27" t="n"/>
      <c r="O7425" s="27" t="n"/>
      <c r="P7425" s="27" t="n"/>
      <c r="Q7425" s="27" t="n"/>
      <c r="R7425" s="27" t="n"/>
      <c r="S7425" s="27" t="n"/>
      <c r="T7425" s="27" t="n"/>
    </row>
    <row r="7426" ht="13.8" customFormat="1" customHeight="1" s="70">
      <c r="M7426" s="27" t="n"/>
      <c r="N7426" s="27" t="n"/>
      <c r="O7426" s="27" t="n"/>
      <c r="P7426" s="27" t="n"/>
      <c r="Q7426" s="27" t="n"/>
      <c r="R7426" s="27" t="n"/>
      <c r="S7426" s="27" t="n"/>
      <c r="T7426" s="27" t="n"/>
    </row>
    <row r="7427" ht="13.8" customFormat="1" customHeight="1" s="70">
      <c r="M7427" s="27" t="n"/>
      <c r="N7427" s="27" t="n"/>
      <c r="O7427" s="27" t="n"/>
      <c r="P7427" s="27" t="n"/>
      <c r="Q7427" s="27" t="n"/>
      <c r="R7427" s="27" t="n"/>
      <c r="S7427" s="27" t="n"/>
      <c r="T7427" s="27" t="n"/>
    </row>
    <row r="7428" ht="13.8" customFormat="1" customHeight="1" s="70">
      <c r="M7428" s="27" t="n"/>
      <c r="N7428" s="27" t="n"/>
      <c r="O7428" s="27" t="n"/>
      <c r="P7428" s="27" t="n"/>
      <c r="Q7428" s="27" t="n"/>
      <c r="R7428" s="27" t="n"/>
      <c r="S7428" s="27" t="n"/>
      <c r="T7428" s="27" t="n"/>
    </row>
    <row r="7429" ht="13.8" customFormat="1" customHeight="1" s="70">
      <c r="M7429" s="27" t="n"/>
      <c r="N7429" s="27" t="n"/>
      <c r="O7429" s="27" t="n"/>
      <c r="P7429" s="27" t="n"/>
      <c r="Q7429" s="27" t="n"/>
      <c r="R7429" s="27" t="n"/>
      <c r="S7429" s="27" t="n"/>
      <c r="T7429" s="27" t="n"/>
    </row>
    <row r="7430" ht="13.8" customFormat="1" customHeight="1" s="70">
      <c r="M7430" s="27" t="n"/>
      <c r="N7430" s="27" t="n"/>
      <c r="O7430" s="27" t="n"/>
      <c r="P7430" s="27" t="n"/>
      <c r="Q7430" s="27" t="n"/>
      <c r="R7430" s="27" t="n"/>
      <c r="S7430" s="27" t="n"/>
      <c r="T7430" s="27" t="n"/>
    </row>
    <row r="7431" ht="13.8" customFormat="1" customHeight="1" s="70">
      <c r="M7431" s="27" t="n"/>
      <c r="N7431" s="27" t="n"/>
      <c r="O7431" s="27" t="n"/>
      <c r="P7431" s="27" t="n"/>
      <c r="Q7431" s="27" t="n"/>
      <c r="R7431" s="27" t="n"/>
      <c r="S7431" s="27" t="n"/>
      <c r="T7431" s="27" t="n"/>
    </row>
    <row r="7432" ht="13.8" customFormat="1" customHeight="1" s="70">
      <c r="M7432" s="27" t="n"/>
      <c r="N7432" s="27" t="n"/>
      <c r="O7432" s="27" t="n"/>
      <c r="P7432" s="27" t="n"/>
      <c r="Q7432" s="27" t="n"/>
      <c r="R7432" s="27" t="n"/>
      <c r="S7432" s="27" t="n"/>
      <c r="T7432" s="27" t="n"/>
    </row>
    <row r="7433" ht="13.8" customFormat="1" customHeight="1" s="70">
      <c r="M7433" s="27" t="n"/>
      <c r="N7433" s="27" t="n"/>
      <c r="O7433" s="27" t="n"/>
      <c r="P7433" s="27" t="n"/>
      <c r="Q7433" s="27" t="n"/>
      <c r="R7433" s="27" t="n"/>
      <c r="S7433" s="27" t="n"/>
      <c r="T7433" s="27" t="n"/>
    </row>
    <row r="7434" ht="13.8" customFormat="1" customHeight="1" s="70">
      <c r="M7434" s="27" t="n"/>
      <c r="N7434" s="27" t="n"/>
      <c r="O7434" s="27" t="n"/>
      <c r="P7434" s="27" t="n"/>
      <c r="Q7434" s="27" t="n"/>
      <c r="R7434" s="27" t="n"/>
      <c r="S7434" s="27" t="n"/>
      <c r="T7434" s="27" t="n"/>
    </row>
    <row r="7435" ht="13.8" customFormat="1" customHeight="1" s="70">
      <c r="M7435" s="27" t="n"/>
      <c r="N7435" s="27" t="n"/>
      <c r="O7435" s="27" t="n"/>
      <c r="P7435" s="27" t="n"/>
      <c r="Q7435" s="27" t="n"/>
      <c r="R7435" s="27" t="n"/>
      <c r="S7435" s="27" t="n"/>
      <c r="T7435" s="27" t="n"/>
    </row>
    <row r="7436" ht="13.8" customFormat="1" customHeight="1" s="70">
      <c r="M7436" s="27" t="n"/>
      <c r="N7436" s="27" t="n"/>
      <c r="O7436" s="27" t="n"/>
      <c r="P7436" s="27" t="n"/>
      <c r="Q7436" s="27" t="n"/>
      <c r="R7436" s="27" t="n"/>
      <c r="S7436" s="27" t="n"/>
      <c r="T7436" s="27" t="n"/>
    </row>
    <row r="7437" ht="13.8" customFormat="1" customHeight="1" s="70">
      <c r="M7437" s="27" t="n"/>
      <c r="N7437" s="27" t="n"/>
      <c r="O7437" s="27" t="n"/>
      <c r="P7437" s="27" t="n"/>
      <c r="Q7437" s="27" t="n"/>
      <c r="R7437" s="27" t="n"/>
      <c r="S7437" s="27" t="n"/>
      <c r="T7437" s="27" t="n"/>
    </row>
    <row r="7438" ht="13.8" customFormat="1" customHeight="1" s="70">
      <c r="M7438" s="27" t="n"/>
      <c r="N7438" s="27" t="n"/>
      <c r="O7438" s="27" t="n"/>
      <c r="P7438" s="27" t="n"/>
      <c r="Q7438" s="27" t="n"/>
      <c r="R7438" s="27" t="n"/>
      <c r="S7438" s="27" t="n"/>
      <c r="T7438" s="27" t="n"/>
    </row>
    <row r="7439" ht="13.8" customFormat="1" customHeight="1" s="70">
      <c r="M7439" s="27" t="n"/>
      <c r="N7439" s="27" t="n"/>
      <c r="O7439" s="27" t="n"/>
      <c r="P7439" s="27" t="n"/>
      <c r="Q7439" s="27" t="n"/>
      <c r="R7439" s="27" t="n"/>
      <c r="S7439" s="27" t="n"/>
      <c r="T7439" s="27" t="n"/>
    </row>
    <row r="7440" ht="13.8" customFormat="1" customHeight="1" s="70">
      <c r="M7440" s="27" t="n"/>
      <c r="N7440" s="27" t="n"/>
      <c r="O7440" s="27" t="n"/>
      <c r="P7440" s="27" t="n"/>
      <c r="Q7440" s="27" t="n"/>
      <c r="R7440" s="27" t="n"/>
      <c r="S7440" s="27" t="n"/>
      <c r="T7440" s="27" t="n"/>
    </row>
    <row r="7441" ht="13.8" customFormat="1" customHeight="1" s="70">
      <c r="M7441" s="27" t="n"/>
      <c r="N7441" s="27" t="n"/>
      <c r="O7441" s="27" t="n"/>
      <c r="P7441" s="27" t="n"/>
      <c r="Q7441" s="27" t="n"/>
      <c r="R7441" s="27" t="n"/>
      <c r="S7441" s="27" t="n"/>
      <c r="T7441" s="27" t="n"/>
    </row>
    <row r="7442" ht="13.8" customFormat="1" customHeight="1" s="70">
      <c r="M7442" s="27" t="n"/>
      <c r="N7442" s="27" t="n"/>
      <c r="O7442" s="27" t="n"/>
      <c r="P7442" s="27" t="n"/>
      <c r="Q7442" s="27" t="n"/>
      <c r="R7442" s="27" t="n"/>
      <c r="S7442" s="27" t="n"/>
      <c r="T7442" s="27" t="n"/>
    </row>
    <row r="7443" ht="13.8" customFormat="1" customHeight="1" s="70">
      <c r="M7443" s="27" t="n"/>
      <c r="N7443" s="27" t="n"/>
      <c r="O7443" s="27" t="n"/>
      <c r="P7443" s="27" t="n"/>
      <c r="Q7443" s="27" t="n"/>
      <c r="R7443" s="27" t="n"/>
      <c r="S7443" s="27" t="n"/>
      <c r="T7443" s="27" t="n"/>
    </row>
    <row r="7444" ht="13.8" customFormat="1" customHeight="1" s="70">
      <c r="M7444" s="27" t="n"/>
      <c r="N7444" s="27" t="n"/>
      <c r="O7444" s="27" t="n"/>
      <c r="P7444" s="27" t="n"/>
      <c r="Q7444" s="27" t="n"/>
      <c r="R7444" s="27" t="n"/>
      <c r="S7444" s="27" t="n"/>
      <c r="T7444" s="27" t="n"/>
    </row>
    <row r="7445" ht="13.8" customFormat="1" customHeight="1" s="70">
      <c r="M7445" s="27" t="n"/>
      <c r="N7445" s="27" t="n"/>
      <c r="O7445" s="27" t="n"/>
      <c r="P7445" s="27" t="n"/>
      <c r="Q7445" s="27" t="n"/>
      <c r="R7445" s="27" t="n"/>
      <c r="S7445" s="27" t="n"/>
      <c r="T7445" s="27" t="n"/>
    </row>
    <row r="7446" ht="13.8" customFormat="1" customHeight="1" s="70">
      <c r="M7446" s="27" t="n"/>
      <c r="N7446" s="27" t="n"/>
      <c r="O7446" s="27" t="n"/>
      <c r="P7446" s="27" t="n"/>
      <c r="Q7446" s="27" t="n"/>
      <c r="R7446" s="27" t="n"/>
      <c r="S7446" s="27" t="n"/>
      <c r="T7446" s="27" t="n"/>
    </row>
    <row r="7447" ht="13.8" customFormat="1" customHeight="1" s="70">
      <c r="M7447" s="27" t="n"/>
      <c r="N7447" s="27" t="n"/>
      <c r="O7447" s="27" t="n"/>
      <c r="P7447" s="27" t="n"/>
      <c r="Q7447" s="27" t="n"/>
      <c r="R7447" s="27" t="n"/>
      <c r="S7447" s="27" t="n"/>
      <c r="T7447" s="27" t="n"/>
    </row>
    <row r="7448" ht="13.8" customFormat="1" customHeight="1" s="70">
      <c r="M7448" s="27" t="n"/>
      <c r="N7448" s="27" t="n"/>
      <c r="O7448" s="27" t="n"/>
      <c r="P7448" s="27" t="n"/>
      <c r="Q7448" s="27" t="n"/>
      <c r="R7448" s="27" t="n"/>
      <c r="S7448" s="27" t="n"/>
      <c r="T7448" s="27" t="n"/>
    </row>
    <row r="7449" ht="13.8" customFormat="1" customHeight="1" s="70">
      <c r="M7449" s="27" t="n"/>
      <c r="N7449" s="27" t="n"/>
      <c r="O7449" s="27" t="n"/>
      <c r="P7449" s="27" t="n"/>
      <c r="Q7449" s="27" t="n"/>
      <c r="R7449" s="27" t="n"/>
      <c r="S7449" s="27" t="n"/>
      <c r="T7449" s="27" t="n"/>
    </row>
    <row r="7450" ht="13.8" customFormat="1" customHeight="1" s="70">
      <c r="M7450" s="27" t="n"/>
      <c r="N7450" s="27" t="n"/>
      <c r="O7450" s="27" t="n"/>
      <c r="P7450" s="27" t="n"/>
      <c r="Q7450" s="27" t="n"/>
      <c r="R7450" s="27" t="n"/>
      <c r="S7450" s="27" t="n"/>
      <c r="T7450" s="27" t="n"/>
    </row>
    <row r="7451" ht="13.8" customFormat="1" customHeight="1" s="70">
      <c r="M7451" s="27" t="n"/>
      <c r="N7451" s="27" t="n"/>
      <c r="O7451" s="27" t="n"/>
      <c r="P7451" s="27" t="n"/>
      <c r="Q7451" s="27" t="n"/>
      <c r="R7451" s="27" t="n"/>
      <c r="S7451" s="27" t="n"/>
      <c r="T7451" s="27" t="n"/>
    </row>
    <row r="7452" ht="13.8" customFormat="1" customHeight="1" s="70">
      <c r="M7452" s="27" t="n"/>
      <c r="N7452" s="27" t="n"/>
      <c r="O7452" s="27" t="n"/>
      <c r="P7452" s="27" t="n"/>
      <c r="Q7452" s="27" t="n"/>
      <c r="R7452" s="27" t="n"/>
      <c r="S7452" s="27" t="n"/>
      <c r="T7452" s="27" t="n"/>
    </row>
    <row r="7453" ht="13.8" customFormat="1" customHeight="1" s="70">
      <c r="M7453" s="27" t="n"/>
      <c r="N7453" s="27" t="n"/>
      <c r="O7453" s="27" t="n"/>
      <c r="P7453" s="27" t="n"/>
      <c r="Q7453" s="27" t="n"/>
      <c r="R7453" s="27" t="n"/>
      <c r="S7453" s="27" t="n"/>
      <c r="T7453" s="27" t="n"/>
    </row>
    <row r="7454" ht="13.8" customFormat="1" customHeight="1" s="70">
      <c r="M7454" s="27" t="n"/>
      <c r="N7454" s="27" t="n"/>
      <c r="O7454" s="27" t="n"/>
      <c r="P7454" s="27" t="n"/>
      <c r="Q7454" s="27" t="n"/>
      <c r="R7454" s="27" t="n"/>
      <c r="S7454" s="27" t="n"/>
      <c r="T7454" s="27" t="n"/>
    </row>
    <row r="7455" ht="13.8" customFormat="1" customHeight="1" s="70">
      <c r="M7455" s="27" t="n"/>
      <c r="N7455" s="27" t="n"/>
      <c r="O7455" s="27" t="n"/>
      <c r="P7455" s="27" t="n"/>
      <c r="Q7455" s="27" t="n"/>
      <c r="R7455" s="27" t="n"/>
      <c r="S7455" s="27" t="n"/>
      <c r="T7455" s="27" t="n"/>
    </row>
    <row r="7456" ht="13.8" customFormat="1" customHeight="1" s="70">
      <c r="M7456" s="27" t="n"/>
      <c r="N7456" s="27" t="n"/>
      <c r="O7456" s="27" t="n"/>
      <c r="P7456" s="27" t="n"/>
      <c r="Q7456" s="27" t="n"/>
      <c r="R7456" s="27" t="n"/>
      <c r="S7456" s="27" t="n"/>
      <c r="T7456" s="27" t="n"/>
    </row>
    <row r="7457" ht="13.8" customFormat="1" customHeight="1" s="70">
      <c r="M7457" s="27" t="n"/>
      <c r="N7457" s="27" t="n"/>
      <c r="O7457" s="27" t="n"/>
      <c r="P7457" s="27" t="n"/>
      <c r="Q7457" s="27" t="n"/>
      <c r="R7457" s="27" t="n"/>
      <c r="S7457" s="27" t="n"/>
      <c r="T7457" s="27" t="n"/>
    </row>
    <row r="7458" ht="13.8" customFormat="1" customHeight="1" s="70">
      <c r="M7458" s="27" t="n"/>
      <c r="N7458" s="27" t="n"/>
      <c r="O7458" s="27" t="n"/>
      <c r="P7458" s="27" t="n"/>
      <c r="Q7458" s="27" t="n"/>
      <c r="R7458" s="27" t="n"/>
      <c r="S7458" s="27" t="n"/>
      <c r="T7458" s="27" t="n"/>
    </row>
    <row r="7459" ht="13.8" customFormat="1" customHeight="1" s="70">
      <c r="M7459" s="27" t="n"/>
      <c r="N7459" s="27" t="n"/>
      <c r="O7459" s="27" t="n"/>
      <c r="P7459" s="27" t="n"/>
      <c r="Q7459" s="27" t="n"/>
      <c r="R7459" s="27" t="n"/>
      <c r="S7459" s="27" t="n"/>
      <c r="T7459" s="27" t="n"/>
    </row>
    <row r="7460" ht="13.8" customFormat="1" customHeight="1" s="70">
      <c r="M7460" s="27" t="n"/>
      <c r="N7460" s="27" t="n"/>
      <c r="O7460" s="27" t="n"/>
      <c r="P7460" s="27" t="n"/>
      <c r="Q7460" s="27" t="n"/>
      <c r="R7460" s="27" t="n"/>
      <c r="S7460" s="27" t="n"/>
      <c r="T7460" s="27" t="n"/>
    </row>
    <row r="7461" ht="13.8" customFormat="1" customHeight="1" s="70">
      <c r="M7461" s="27" t="n"/>
      <c r="N7461" s="27" t="n"/>
      <c r="O7461" s="27" t="n"/>
      <c r="P7461" s="27" t="n"/>
      <c r="Q7461" s="27" t="n"/>
      <c r="R7461" s="27" t="n"/>
      <c r="S7461" s="27" t="n"/>
      <c r="T7461" s="27" t="n"/>
    </row>
    <row r="7462" ht="13.8" customFormat="1" customHeight="1" s="70">
      <c r="M7462" s="27" t="n"/>
      <c r="N7462" s="27" t="n"/>
      <c r="O7462" s="27" t="n"/>
      <c r="P7462" s="27" t="n"/>
      <c r="Q7462" s="27" t="n"/>
      <c r="R7462" s="27" t="n"/>
      <c r="S7462" s="27" t="n"/>
      <c r="T7462" s="27" t="n"/>
    </row>
    <row r="7463" ht="13.8" customFormat="1" customHeight="1" s="70">
      <c r="M7463" s="27" t="n"/>
      <c r="N7463" s="27" t="n"/>
      <c r="O7463" s="27" t="n"/>
      <c r="P7463" s="27" t="n"/>
      <c r="Q7463" s="27" t="n"/>
      <c r="R7463" s="27" t="n"/>
      <c r="S7463" s="27" t="n"/>
      <c r="T7463" s="27" t="n"/>
    </row>
    <row r="7464" ht="13.8" customFormat="1" customHeight="1" s="70">
      <c r="M7464" s="27" t="n"/>
      <c r="N7464" s="27" t="n"/>
      <c r="O7464" s="27" t="n"/>
      <c r="P7464" s="27" t="n"/>
      <c r="Q7464" s="27" t="n"/>
      <c r="R7464" s="27" t="n"/>
      <c r="S7464" s="27" t="n"/>
      <c r="T7464" s="27" t="n"/>
    </row>
    <row r="7465" ht="13.8" customFormat="1" customHeight="1" s="70">
      <c r="M7465" s="27" t="n"/>
      <c r="N7465" s="27" t="n"/>
      <c r="O7465" s="27" t="n"/>
      <c r="P7465" s="27" t="n"/>
      <c r="Q7465" s="27" t="n"/>
      <c r="R7465" s="27" t="n"/>
      <c r="S7465" s="27" t="n"/>
      <c r="T7465" s="27" t="n"/>
    </row>
    <row r="7466" ht="13.8" customFormat="1" customHeight="1" s="70">
      <c r="M7466" s="27" t="n"/>
      <c r="N7466" s="27" t="n"/>
      <c r="O7466" s="27" t="n"/>
      <c r="P7466" s="27" t="n"/>
      <c r="Q7466" s="27" t="n"/>
      <c r="R7466" s="27" t="n"/>
      <c r="S7466" s="27" t="n"/>
      <c r="T7466" s="27" t="n"/>
    </row>
    <row r="7467" ht="13.8" customFormat="1" customHeight="1" s="70">
      <c r="M7467" s="27" t="n"/>
      <c r="N7467" s="27" t="n"/>
      <c r="O7467" s="27" t="n"/>
      <c r="P7467" s="27" t="n"/>
      <c r="Q7467" s="27" t="n"/>
      <c r="R7467" s="27" t="n"/>
      <c r="S7467" s="27" t="n"/>
      <c r="T7467" s="27" t="n"/>
    </row>
    <row r="7468" ht="13.8" customFormat="1" customHeight="1" s="70">
      <c r="M7468" s="27" t="n"/>
      <c r="N7468" s="27" t="n"/>
      <c r="O7468" s="27" t="n"/>
      <c r="P7468" s="27" t="n"/>
      <c r="Q7468" s="27" t="n"/>
      <c r="R7468" s="27" t="n"/>
      <c r="S7468" s="27" t="n"/>
      <c r="T7468" s="27" t="n"/>
    </row>
    <row r="7469" ht="13.8" customFormat="1" customHeight="1" s="70">
      <c r="M7469" s="27" t="n"/>
      <c r="N7469" s="27" t="n"/>
      <c r="O7469" s="27" t="n"/>
      <c r="P7469" s="27" t="n"/>
      <c r="Q7469" s="27" t="n"/>
      <c r="R7469" s="27" t="n"/>
      <c r="S7469" s="27" t="n"/>
      <c r="T7469" s="27" t="n"/>
    </row>
    <row r="7470" ht="13.8" customFormat="1" customHeight="1" s="70">
      <c r="M7470" s="27" t="n"/>
      <c r="N7470" s="27" t="n"/>
      <c r="O7470" s="27" t="n"/>
      <c r="P7470" s="27" t="n"/>
      <c r="Q7470" s="27" t="n"/>
      <c r="R7470" s="27" t="n"/>
      <c r="S7470" s="27" t="n"/>
      <c r="T7470" s="27" t="n"/>
    </row>
    <row r="7471" ht="13.8" customFormat="1" customHeight="1" s="70">
      <c r="M7471" s="27" t="n"/>
      <c r="N7471" s="27" t="n"/>
      <c r="O7471" s="27" t="n"/>
      <c r="P7471" s="27" t="n"/>
      <c r="Q7471" s="27" t="n"/>
      <c r="R7471" s="27" t="n"/>
      <c r="S7471" s="27" t="n"/>
      <c r="T7471" s="27" t="n"/>
    </row>
    <row r="7472" ht="13.8" customFormat="1" customHeight="1" s="70">
      <c r="M7472" s="27" t="n"/>
      <c r="N7472" s="27" t="n"/>
      <c r="O7472" s="27" t="n"/>
      <c r="P7472" s="27" t="n"/>
      <c r="Q7472" s="27" t="n"/>
      <c r="R7472" s="27" t="n"/>
      <c r="S7472" s="27" t="n"/>
      <c r="T7472" s="27" t="n"/>
    </row>
    <row r="7473" ht="13.8" customFormat="1" customHeight="1" s="70">
      <c r="M7473" s="27" t="n"/>
      <c r="N7473" s="27" t="n"/>
      <c r="O7473" s="27" t="n"/>
      <c r="P7473" s="27" t="n"/>
      <c r="Q7473" s="27" t="n"/>
      <c r="R7473" s="27" t="n"/>
      <c r="S7473" s="27" t="n"/>
      <c r="T7473" s="27" t="n"/>
    </row>
    <row r="7474" ht="13.8" customFormat="1" customHeight="1" s="70">
      <c r="M7474" s="27" t="n"/>
      <c r="N7474" s="27" t="n"/>
      <c r="O7474" s="27" t="n"/>
      <c r="P7474" s="27" t="n"/>
      <c r="Q7474" s="27" t="n"/>
      <c r="R7474" s="27" t="n"/>
      <c r="S7474" s="27" t="n"/>
      <c r="T7474" s="27" t="n"/>
    </row>
    <row r="7475" ht="13.8" customFormat="1" customHeight="1" s="70">
      <c r="M7475" s="27" t="n"/>
      <c r="N7475" s="27" t="n"/>
      <c r="O7475" s="27" t="n"/>
      <c r="P7475" s="27" t="n"/>
      <c r="Q7475" s="27" t="n"/>
      <c r="R7475" s="27" t="n"/>
      <c r="S7475" s="27" t="n"/>
      <c r="T7475" s="27" t="n"/>
    </row>
    <row r="7476" ht="13.8" customFormat="1" customHeight="1" s="70">
      <c r="M7476" s="27" t="n"/>
      <c r="N7476" s="27" t="n"/>
      <c r="O7476" s="27" t="n"/>
      <c r="P7476" s="27" t="n"/>
      <c r="Q7476" s="27" t="n"/>
      <c r="R7476" s="27" t="n"/>
      <c r="S7476" s="27" t="n"/>
      <c r="T7476" s="27" t="n"/>
    </row>
    <row r="7477" ht="13.8" customFormat="1" customHeight="1" s="70">
      <c r="M7477" s="27" t="n"/>
      <c r="N7477" s="27" t="n"/>
      <c r="O7477" s="27" t="n"/>
      <c r="P7477" s="27" t="n"/>
      <c r="Q7477" s="27" t="n"/>
      <c r="R7477" s="27" t="n"/>
      <c r="S7477" s="27" t="n"/>
      <c r="T7477" s="27" t="n"/>
    </row>
    <row r="7478" ht="13.8" customFormat="1" customHeight="1" s="70">
      <c r="M7478" s="27" t="n"/>
      <c r="N7478" s="27" t="n"/>
      <c r="O7478" s="27" t="n"/>
      <c r="P7478" s="27" t="n"/>
      <c r="Q7478" s="27" t="n"/>
      <c r="R7478" s="27" t="n"/>
      <c r="S7478" s="27" t="n"/>
      <c r="T7478" s="27" t="n"/>
    </row>
    <row r="7479" ht="13.8" customFormat="1" customHeight="1" s="70">
      <c r="M7479" s="27" t="n"/>
      <c r="N7479" s="27" t="n"/>
      <c r="O7479" s="27" t="n"/>
      <c r="P7479" s="27" t="n"/>
      <c r="Q7479" s="27" t="n"/>
      <c r="R7479" s="27" t="n"/>
      <c r="S7479" s="27" t="n"/>
      <c r="T7479" s="27" t="n"/>
    </row>
    <row r="7480" ht="13.8" customFormat="1" customHeight="1" s="70">
      <c r="M7480" s="27" t="n"/>
      <c r="N7480" s="27" t="n"/>
      <c r="O7480" s="27" t="n"/>
      <c r="P7480" s="27" t="n"/>
      <c r="Q7480" s="27" t="n"/>
      <c r="R7480" s="27" t="n"/>
      <c r="S7480" s="27" t="n"/>
      <c r="T7480" s="27" t="n"/>
    </row>
    <row r="7481" ht="13.8" customFormat="1" customHeight="1" s="70">
      <c r="M7481" s="27" t="n"/>
      <c r="N7481" s="27" t="n"/>
      <c r="O7481" s="27" t="n"/>
      <c r="P7481" s="27" t="n"/>
      <c r="Q7481" s="27" t="n"/>
      <c r="R7481" s="27" t="n"/>
      <c r="S7481" s="27" t="n"/>
      <c r="T7481" s="27" t="n"/>
    </row>
    <row r="7482" ht="13.8" customFormat="1" customHeight="1" s="70">
      <c r="M7482" s="27" t="n"/>
      <c r="N7482" s="27" t="n"/>
      <c r="O7482" s="27" t="n"/>
      <c r="P7482" s="27" t="n"/>
      <c r="Q7482" s="27" t="n"/>
      <c r="R7482" s="27" t="n"/>
      <c r="S7482" s="27" t="n"/>
      <c r="T7482" s="27" t="n"/>
    </row>
    <row r="7483" ht="13.8" customFormat="1" customHeight="1" s="70">
      <c r="M7483" s="27" t="n"/>
      <c r="N7483" s="27" t="n"/>
      <c r="O7483" s="27" t="n"/>
      <c r="P7483" s="27" t="n"/>
      <c r="Q7483" s="27" t="n"/>
      <c r="R7483" s="27" t="n"/>
      <c r="S7483" s="27" t="n"/>
      <c r="T7483" s="27" t="n"/>
    </row>
    <row r="7484" ht="13.8" customFormat="1" customHeight="1" s="70">
      <c r="M7484" s="27" t="n"/>
      <c r="N7484" s="27" t="n"/>
      <c r="O7484" s="27" t="n"/>
      <c r="P7484" s="27" t="n"/>
      <c r="Q7484" s="27" t="n"/>
      <c r="R7484" s="27" t="n"/>
      <c r="S7484" s="27" t="n"/>
      <c r="T7484" s="27" t="n"/>
    </row>
    <row r="7485" ht="13.8" customFormat="1" customHeight="1" s="70">
      <c r="M7485" s="27" t="n"/>
      <c r="N7485" s="27" t="n"/>
      <c r="O7485" s="27" t="n"/>
      <c r="P7485" s="27" t="n"/>
      <c r="Q7485" s="27" t="n"/>
      <c r="R7485" s="27" t="n"/>
      <c r="S7485" s="27" t="n"/>
      <c r="T7485" s="27" t="n"/>
    </row>
    <row r="7486" ht="13.8" customFormat="1" customHeight="1" s="70">
      <c r="M7486" s="27" t="n"/>
      <c r="N7486" s="27" t="n"/>
      <c r="O7486" s="27" t="n"/>
      <c r="P7486" s="27" t="n"/>
      <c r="Q7486" s="27" t="n"/>
      <c r="R7486" s="27" t="n"/>
      <c r="S7486" s="27" t="n"/>
      <c r="T7486" s="27" t="n"/>
    </row>
    <row r="7487" ht="13.8" customFormat="1" customHeight="1" s="70">
      <c r="M7487" s="27" t="n"/>
      <c r="N7487" s="27" t="n"/>
      <c r="O7487" s="27" t="n"/>
      <c r="P7487" s="27" t="n"/>
      <c r="Q7487" s="27" t="n"/>
      <c r="R7487" s="27" t="n"/>
      <c r="S7487" s="27" t="n"/>
      <c r="T7487" s="27" t="n"/>
    </row>
    <row r="7488" ht="13.8" customFormat="1" customHeight="1" s="70">
      <c r="M7488" s="27" t="n"/>
      <c r="N7488" s="27" t="n"/>
      <c r="O7488" s="27" t="n"/>
      <c r="P7488" s="27" t="n"/>
      <c r="Q7488" s="27" t="n"/>
      <c r="R7488" s="27" t="n"/>
      <c r="S7488" s="27" t="n"/>
      <c r="T7488" s="27" t="n"/>
    </row>
    <row r="7489" ht="13.8" customFormat="1" customHeight="1" s="70">
      <c r="M7489" s="27" t="n"/>
      <c r="N7489" s="27" t="n"/>
      <c r="O7489" s="27" t="n"/>
      <c r="P7489" s="27" t="n"/>
      <c r="Q7489" s="27" t="n"/>
      <c r="R7489" s="27" t="n"/>
      <c r="S7489" s="27" t="n"/>
      <c r="T7489" s="27" t="n"/>
    </row>
    <row r="7490" ht="13.8" customFormat="1" customHeight="1" s="70">
      <c r="M7490" s="27" t="n"/>
      <c r="N7490" s="27" t="n"/>
      <c r="O7490" s="27" t="n"/>
      <c r="P7490" s="27" t="n"/>
      <c r="Q7490" s="27" t="n"/>
      <c r="R7490" s="27" t="n"/>
      <c r="S7490" s="27" t="n"/>
      <c r="T7490" s="27" t="n"/>
    </row>
    <row r="7491" ht="13.8" customFormat="1" customHeight="1" s="70">
      <c r="M7491" s="27" t="n"/>
      <c r="N7491" s="27" t="n"/>
      <c r="O7491" s="27" t="n"/>
      <c r="P7491" s="27" t="n"/>
      <c r="Q7491" s="27" t="n"/>
      <c r="R7491" s="27" t="n"/>
      <c r="S7491" s="27" t="n"/>
      <c r="T7491" s="27" t="n"/>
    </row>
    <row r="7492" ht="13.8" customFormat="1" customHeight="1" s="70">
      <c r="M7492" s="27" t="n"/>
      <c r="N7492" s="27" t="n"/>
      <c r="O7492" s="27" t="n"/>
      <c r="P7492" s="27" t="n"/>
      <c r="Q7492" s="27" t="n"/>
      <c r="R7492" s="27" t="n"/>
      <c r="S7492" s="27" t="n"/>
      <c r="T7492" s="27" t="n"/>
    </row>
    <row r="7493" ht="13.8" customFormat="1" customHeight="1" s="70">
      <c r="M7493" s="27" t="n"/>
      <c r="N7493" s="27" t="n"/>
      <c r="O7493" s="27" t="n"/>
      <c r="P7493" s="27" t="n"/>
      <c r="Q7493" s="27" t="n"/>
      <c r="R7493" s="27" t="n"/>
      <c r="S7493" s="27" t="n"/>
      <c r="T7493" s="27" t="n"/>
    </row>
    <row r="7494" ht="13.8" customFormat="1" customHeight="1" s="70">
      <c r="M7494" s="27" t="n"/>
      <c r="N7494" s="27" t="n"/>
      <c r="O7494" s="27" t="n"/>
      <c r="P7494" s="27" t="n"/>
      <c r="Q7494" s="27" t="n"/>
      <c r="R7494" s="27" t="n"/>
      <c r="S7494" s="27" t="n"/>
      <c r="T7494" s="27" t="n"/>
    </row>
    <row r="7495" ht="13.8" customFormat="1" customHeight="1" s="70">
      <c r="M7495" s="27" t="n"/>
      <c r="N7495" s="27" t="n"/>
      <c r="O7495" s="27" t="n"/>
      <c r="P7495" s="27" t="n"/>
      <c r="Q7495" s="27" t="n"/>
      <c r="R7495" s="27" t="n"/>
      <c r="S7495" s="27" t="n"/>
      <c r="T7495" s="27" t="n"/>
    </row>
    <row r="7496" ht="13.8" customFormat="1" customHeight="1" s="70">
      <c r="M7496" s="27" t="n"/>
      <c r="N7496" s="27" t="n"/>
      <c r="O7496" s="27" t="n"/>
      <c r="P7496" s="27" t="n"/>
      <c r="Q7496" s="27" t="n"/>
      <c r="R7496" s="27" t="n"/>
      <c r="S7496" s="27" t="n"/>
      <c r="T7496" s="27" t="n"/>
    </row>
    <row r="7497" ht="13.8" customFormat="1" customHeight="1" s="70">
      <c r="M7497" s="27" t="n"/>
      <c r="N7497" s="27" t="n"/>
      <c r="O7497" s="27" t="n"/>
      <c r="P7497" s="27" t="n"/>
      <c r="Q7497" s="27" t="n"/>
      <c r="R7497" s="27" t="n"/>
      <c r="S7497" s="27" t="n"/>
      <c r="T7497" s="27" t="n"/>
    </row>
    <row r="7498" ht="13.8" customFormat="1" customHeight="1" s="70">
      <c r="M7498" s="27" t="n"/>
      <c r="N7498" s="27" t="n"/>
      <c r="O7498" s="27" t="n"/>
      <c r="P7498" s="27" t="n"/>
      <c r="Q7498" s="27" t="n"/>
      <c r="R7498" s="27" t="n"/>
      <c r="S7498" s="27" t="n"/>
      <c r="T7498" s="27" t="n"/>
    </row>
    <row r="7499" ht="13.8" customFormat="1" customHeight="1" s="70">
      <c r="M7499" s="27" t="n"/>
      <c r="N7499" s="27" t="n"/>
      <c r="O7499" s="27" t="n"/>
      <c r="P7499" s="27" t="n"/>
      <c r="Q7499" s="27" t="n"/>
      <c r="R7499" s="27" t="n"/>
      <c r="S7499" s="27" t="n"/>
      <c r="T7499" s="27" t="n"/>
    </row>
    <row r="7500" ht="13.8" customFormat="1" customHeight="1" s="70">
      <c r="M7500" s="27" t="n"/>
      <c r="N7500" s="27" t="n"/>
      <c r="O7500" s="27" t="n"/>
      <c r="P7500" s="27" t="n"/>
      <c r="Q7500" s="27" t="n"/>
      <c r="R7500" s="27" t="n"/>
      <c r="S7500" s="27" t="n"/>
      <c r="T7500" s="27" t="n"/>
    </row>
    <row r="7501" ht="13.8" customFormat="1" customHeight="1" s="70">
      <c r="M7501" s="27" t="n"/>
      <c r="N7501" s="27" t="n"/>
      <c r="O7501" s="27" t="n"/>
      <c r="P7501" s="27" t="n"/>
      <c r="Q7501" s="27" t="n"/>
      <c r="R7501" s="27" t="n"/>
      <c r="S7501" s="27" t="n"/>
      <c r="T7501" s="27" t="n"/>
    </row>
    <row r="7502" ht="13.8" customFormat="1" customHeight="1" s="70">
      <c r="M7502" s="27" t="n"/>
      <c r="N7502" s="27" t="n"/>
      <c r="O7502" s="27" t="n"/>
      <c r="P7502" s="27" t="n"/>
      <c r="Q7502" s="27" t="n"/>
      <c r="R7502" s="27" t="n"/>
      <c r="S7502" s="27" t="n"/>
      <c r="T7502" s="27" t="n"/>
    </row>
    <row r="7503" ht="13.8" customFormat="1" customHeight="1" s="70">
      <c r="M7503" s="27" t="n"/>
      <c r="N7503" s="27" t="n"/>
      <c r="O7503" s="27" t="n"/>
      <c r="P7503" s="27" t="n"/>
      <c r="Q7503" s="27" t="n"/>
      <c r="R7503" s="27" t="n"/>
      <c r="S7503" s="27" t="n"/>
      <c r="T7503" s="27" t="n"/>
    </row>
    <row r="7504" ht="13.8" customFormat="1" customHeight="1" s="70">
      <c r="M7504" s="27" t="n"/>
      <c r="N7504" s="27" t="n"/>
      <c r="O7504" s="27" t="n"/>
      <c r="P7504" s="27" t="n"/>
      <c r="Q7504" s="27" t="n"/>
      <c r="R7504" s="27" t="n"/>
      <c r="S7504" s="27" t="n"/>
      <c r="T7504" s="27" t="n"/>
    </row>
    <row r="7505" ht="13.8" customFormat="1" customHeight="1" s="70">
      <c r="M7505" s="27" t="n"/>
      <c r="N7505" s="27" t="n"/>
      <c r="O7505" s="27" t="n"/>
      <c r="P7505" s="27" t="n"/>
      <c r="Q7505" s="27" t="n"/>
      <c r="R7505" s="27" t="n"/>
      <c r="S7505" s="27" t="n"/>
      <c r="T7505" s="27" t="n"/>
    </row>
    <row r="7506" ht="13.8" customFormat="1" customHeight="1" s="70">
      <c r="M7506" s="27" t="n"/>
      <c r="N7506" s="27" t="n"/>
      <c r="O7506" s="27" t="n"/>
      <c r="P7506" s="27" t="n"/>
      <c r="Q7506" s="27" t="n"/>
      <c r="R7506" s="27" t="n"/>
      <c r="S7506" s="27" t="n"/>
      <c r="T7506" s="27" t="n"/>
    </row>
    <row r="7507" ht="13.8" customFormat="1" customHeight="1" s="70">
      <c r="M7507" s="27" t="n"/>
      <c r="N7507" s="27" t="n"/>
      <c r="O7507" s="27" t="n"/>
      <c r="P7507" s="27" t="n"/>
      <c r="Q7507" s="27" t="n"/>
      <c r="R7507" s="27" t="n"/>
      <c r="S7507" s="27" t="n"/>
      <c r="T7507" s="27" t="n"/>
    </row>
    <row r="7508" ht="13.8" customFormat="1" customHeight="1" s="70">
      <c r="M7508" s="27" t="n"/>
      <c r="N7508" s="27" t="n"/>
      <c r="O7508" s="27" t="n"/>
      <c r="P7508" s="27" t="n"/>
      <c r="Q7508" s="27" t="n"/>
      <c r="R7508" s="27" t="n"/>
      <c r="S7508" s="27" t="n"/>
      <c r="T7508" s="27" t="n"/>
    </row>
    <row r="7509" ht="13.8" customFormat="1" customHeight="1" s="70">
      <c r="M7509" s="27" t="n"/>
      <c r="N7509" s="27" t="n"/>
      <c r="O7509" s="27" t="n"/>
      <c r="P7509" s="27" t="n"/>
      <c r="Q7509" s="27" t="n"/>
      <c r="R7509" s="27" t="n"/>
      <c r="S7509" s="27" t="n"/>
      <c r="T7509" s="27" t="n"/>
    </row>
    <row r="7510" ht="13.8" customFormat="1" customHeight="1" s="70">
      <c r="M7510" s="27" t="n"/>
      <c r="N7510" s="27" t="n"/>
      <c r="O7510" s="27" t="n"/>
      <c r="P7510" s="27" t="n"/>
      <c r="Q7510" s="27" t="n"/>
      <c r="R7510" s="27" t="n"/>
      <c r="S7510" s="27" t="n"/>
      <c r="T7510" s="27" t="n"/>
    </row>
    <row r="7511" ht="13.8" customFormat="1" customHeight="1" s="70">
      <c r="M7511" s="27" t="n"/>
      <c r="N7511" s="27" t="n"/>
      <c r="O7511" s="27" t="n"/>
      <c r="P7511" s="27" t="n"/>
      <c r="Q7511" s="27" t="n"/>
      <c r="R7511" s="27" t="n"/>
      <c r="S7511" s="27" t="n"/>
      <c r="T7511" s="27" t="n"/>
    </row>
    <row r="7512" ht="13.8" customFormat="1" customHeight="1" s="70">
      <c r="M7512" s="27" t="n"/>
      <c r="N7512" s="27" t="n"/>
      <c r="O7512" s="27" t="n"/>
      <c r="P7512" s="27" t="n"/>
      <c r="Q7512" s="27" t="n"/>
      <c r="R7512" s="27" t="n"/>
      <c r="S7512" s="27" t="n"/>
      <c r="T7512" s="27" t="n"/>
    </row>
    <row r="7513" ht="13.8" customFormat="1" customHeight="1" s="70">
      <c r="M7513" s="27" t="n"/>
      <c r="N7513" s="27" t="n"/>
      <c r="O7513" s="27" t="n"/>
      <c r="P7513" s="27" t="n"/>
      <c r="Q7513" s="27" t="n"/>
      <c r="R7513" s="27" t="n"/>
      <c r="S7513" s="27" t="n"/>
      <c r="T7513" s="27" t="n"/>
    </row>
    <row r="7514" ht="13.8" customFormat="1" customHeight="1" s="70">
      <c r="M7514" s="27" t="n"/>
      <c r="N7514" s="27" t="n"/>
      <c r="O7514" s="27" t="n"/>
      <c r="P7514" s="27" t="n"/>
      <c r="Q7514" s="27" t="n"/>
      <c r="R7514" s="27" t="n"/>
      <c r="S7514" s="27" t="n"/>
      <c r="T7514" s="27" t="n"/>
    </row>
    <row r="7515" ht="13.8" customFormat="1" customHeight="1" s="70">
      <c r="M7515" s="27" t="n"/>
      <c r="N7515" s="27" t="n"/>
      <c r="O7515" s="27" t="n"/>
      <c r="P7515" s="27" t="n"/>
      <c r="Q7515" s="27" t="n"/>
      <c r="R7515" s="27" t="n"/>
      <c r="S7515" s="27" t="n"/>
      <c r="T7515" s="27" t="n"/>
    </row>
    <row r="7516" ht="13.8" customFormat="1" customHeight="1" s="70">
      <c r="M7516" s="27" t="n"/>
      <c r="N7516" s="27" t="n"/>
      <c r="O7516" s="27" t="n"/>
      <c r="P7516" s="27" t="n"/>
      <c r="Q7516" s="27" t="n"/>
      <c r="R7516" s="27" t="n"/>
      <c r="S7516" s="27" t="n"/>
      <c r="T7516" s="27" t="n"/>
    </row>
    <row r="7517" ht="13.8" customFormat="1" customHeight="1" s="70">
      <c r="M7517" s="27" t="n"/>
      <c r="N7517" s="27" t="n"/>
      <c r="O7517" s="27" t="n"/>
      <c r="P7517" s="27" t="n"/>
      <c r="Q7517" s="27" t="n"/>
      <c r="R7517" s="27" t="n"/>
      <c r="S7517" s="27" t="n"/>
      <c r="T7517" s="27" t="n"/>
    </row>
    <row r="7518" ht="13.8" customFormat="1" customHeight="1" s="70">
      <c r="M7518" s="27" t="n"/>
      <c r="N7518" s="27" t="n"/>
      <c r="O7518" s="27" t="n"/>
      <c r="P7518" s="27" t="n"/>
      <c r="Q7518" s="27" t="n"/>
      <c r="R7518" s="27" t="n"/>
      <c r="S7518" s="27" t="n"/>
      <c r="T7518" s="27" t="n"/>
    </row>
    <row r="7519" ht="13.8" customFormat="1" customHeight="1" s="70">
      <c r="M7519" s="27" t="n"/>
      <c r="N7519" s="27" t="n"/>
      <c r="O7519" s="27" t="n"/>
      <c r="P7519" s="27" t="n"/>
      <c r="Q7519" s="27" t="n"/>
      <c r="R7519" s="27" t="n"/>
      <c r="S7519" s="27" t="n"/>
      <c r="T7519" s="27" t="n"/>
    </row>
    <row r="7520" ht="13.8" customFormat="1" customHeight="1" s="70">
      <c r="M7520" s="27" t="n"/>
      <c r="N7520" s="27" t="n"/>
      <c r="O7520" s="27" t="n"/>
      <c r="P7520" s="27" t="n"/>
      <c r="Q7520" s="27" t="n"/>
      <c r="R7520" s="27" t="n"/>
      <c r="S7520" s="27" t="n"/>
      <c r="T7520" s="27" t="n"/>
    </row>
    <row r="7521" ht="13.8" customFormat="1" customHeight="1" s="70">
      <c r="M7521" s="27" t="n"/>
      <c r="N7521" s="27" t="n"/>
      <c r="O7521" s="27" t="n"/>
      <c r="P7521" s="27" t="n"/>
      <c r="Q7521" s="27" t="n"/>
      <c r="R7521" s="27" t="n"/>
      <c r="S7521" s="27" t="n"/>
      <c r="T7521" s="27" t="n"/>
    </row>
    <row r="7522" ht="13.8" customFormat="1" customHeight="1" s="70">
      <c r="M7522" s="27" t="n"/>
      <c r="N7522" s="27" t="n"/>
      <c r="O7522" s="27" t="n"/>
      <c r="P7522" s="27" t="n"/>
      <c r="Q7522" s="27" t="n"/>
      <c r="R7522" s="27" t="n"/>
      <c r="S7522" s="27" t="n"/>
      <c r="T7522" s="27" t="n"/>
    </row>
    <row r="7523" ht="13.8" customFormat="1" customHeight="1" s="70">
      <c r="M7523" s="27" t="n"/>
      <c r="N7523" s="27" t="n"/>
      <c r="O7523" s="27" t="n"/>
      <c r="P7523" s="27" t="n"/>
      <c r="Q7523" s="27" t="n"/>
      <c r="R7523" s="27" t="n"/>
      <c r="S7523" s="27" t="n"/>
      <c r="T7523" s="27" t="n"/>
    </row>
    <row r="7524" ht="13.8" customFormat="1" customHeight="1" s="70">
      <c r="M7524" s="27" t="n"/>
      <c r="N7524" s="27" t="n"/>
      <c r="O7524" s="27" t="n"/>
      <c r="P7524" s="27" t="n"/>
      <c r="Q7524" s="27" t="n"/>
      <c r="R7524" s="27" t="n"/>
      <c r="S7524" s="27" t="n"/>
      <c r="T7524" s="27" t="n"/>
    </row>
    <row r="7525" ht="13.8" customFormat="1" customHeight="1" s="70">
      <c r="M7525" s="27" t="n"/>
      <c r="N7525" s="27" t="n"/>
      <c r="O7525" s="27" t="n"/>
      <c r="P7525" s="27" t="n"/>
      <c r="Q7525" s="27" t="n"/>
      <c r="R7525" s="27" t="n"/>
      <c r="S7525" s="27" t="n"/>
      <c r="T7525" s="27" t="n"/>
    </row>
    <row r="7526" ht="13.8" customFormat="1" customHeight="1" s="70">
      <c r="M7526" s="27" t="n"/>
      <c r="N7526" s="27" t="n"/>
      <c r="O7526" s="27" t="n"/>
      <c r="P7526" s="27" t="n"/>
      <c r="Q7526" s="27" t="n"/>
      <c r="R7526" s="27" t="n"/>
      <c r="S7526" s="27" t="n"/>
      <c r="T7526" s="27" t="n"/>
    </row>
    <row r="7527" ht="13.8" customFormat="1" customHeight="1" s="70">
      <c r="M7527" s="27" t="n"/>
      <c r="N7527" s="27" t="n"/>
      <c r="O7527" s="27" t="n"/>
      <c r="P7527" s="27" t="n"/>
      <c r="Q7527" s="27" t="n"/>
      <c r="R7527" s="27" t="n"/>
      <c r="S7527" s="27" t="n"/>
      <c r="T7527" s="27" t="n"/>
    </row>
    <row r="7528" ht="13.8" customFormat="1" customHeight="1" s="70">
      <c r="M7528" s="27" t="n"/>
      <c r="N7528" s="27" t="n"/>
      <c r="O7528" s="27" t="n"/>
      <c r="P7528" s="27" t="n"/>
      <c r="Q7528" s="27" t="n"/>
      <c r="R7528" s="27" t="n"/>
      <c r="S7528" s="27" t="n"/>
      <c r="T7528" s="27" t="n"/>
    </row>
    <row r="7529" ht="13.8" customFormat="1" customHeight="1" s="70">
      <c r="M7529" s="27" t="n"/>
      <c r="N7529" s="27" t="n"/>
      <c r="O7529" s="27" t="n"/>
      <c r="P7529" s="27" t="n"/>
      <c r="Q7529" s="27" t="n"/>
      <c r="R7529" s="27" t="n"/>
      <c r="S7529" s="27" t="n"/>
      <c r="T7529" s="27" t="n"/>
    </row>
    <row r="7530" ht="13.8" customFormat="1" customHeight="1" s="70">
      <c r="M7530" s="27" t="n"/>
      <c r="N7530" s="27" t="n"/>
      <c r="O7530" s="27" t="n"/>
      <c r="P7530" s="27" t="n"/>
      <c r="Q7530" s="27" t="n"/>
      <c r="R7530" s="27" t="n"/>
      <c r="S7530" s="27" t="n"/>
      <c r="T7530" s="27" t="n"/>
    </row>
    <row r="7531" ht="13.8" customFormat="1" customHeight="1" s="70">
      <c r="M7531" s="27" t="n"/>
      <c r="N7531" s="27" t="n"/>
      <c r="O7531" s="27" t="n"/>
      <c r="P7531" s="27" t="n"/>
      <c r="Q7531" s="27" t="n"/>
      <c r="R7531" s="27" t="n"/>
      <c r="S7531" s="27" t="n"/>
      <c r="T7531" s="27" t="n"/>
    </row>
    <row r="7532" ht="13.8" customFormat="1" customHeight="1" s="70">
      <c r="M7532" s="27" t="n"/>
      <c r="N7532" s="27" t="n"/>
      <c r="O7532" s="27" t="n"/>
      <c r="P7532" s="27" t="n"/>
      <c r="Q7532" s="27" t="n"/>
      <c r="R7532" s="27" t="n"/>
      <c r="S7532" s="27" t="n"/>
      <c r="T7532" s="27" t="n"/>
    </row>
    <row r="7533" ht="13.8" customFormat="1" customHeight="1" s="70">
      <c r="M7533" s="27" t="n"/>
      <c r="N7533" s="27" t="n"/>
      <c r="O7533" s="27" t="n"/>
      <c r="P7533" s="27" t="n"/>
      <c r="Q7533" s="27" t="n"/>
      <c r="R7533" s="27" t="n"/>
      <c r="S7533" s="27" t="n"/>
      <c r="T7533" s="27" t="n"/>
    </row>
    <row r="7534" ht="13.8" customFormat="1" customHeight="1" s="70">
      <c r="M7534" s="27" t="n"/>
      <c r="N7534" s="27" t="n"/>
      <c r="O7534" s="27" t="n"/>
      <c r="P7534" s="27" t="n"/>
      <c r="Q7534" s="27" t="n"/>
      <c r="R7534" s="27" t="n"/>
      <c r="S7534" s="27" t="n"/>
      <c r="T7534" s="27" t="n"/>
    </row>
    <row r="7535" ht="13.8" customFormat="1" customHeight="1" s="70">
      <c r="M7535" s="27" t="n"/>
      <c r="N7535" s="27" t="n"/>
      <c r="O7535" s="27" t="n"/>
      <c r="P7535" s="27" t="n"/>
      <c r="Q7535" s="27" t="n"/>
      <c r="R7535" s="27" t="n"/>
      <c r="S7535" s="27" t="n"/>
      <c r="T7535" s="27" t="n"/>
    </row>
    <row r="7536" ht="13.8" customFormat="1" customHeight="1" s="70">
      <c r="M7536" s="27" t="n"/>
      <c r="N7536" s="27" t="n"/>
      <c r="O7536" s="27" t="n"/>
      <c r="P7536" s="27" t="n"/>
      <c r="Q7536" s="27" t="n"/>
      <c r="R7536" s="27" t="n"/>
      <c r="S7536" s="27" t="n"/>
      <c r="T7536" s="27" t="n"/>
    </row>
    <row r="7537" ht="13.8" customFormat="1" customHeight="1" s="70">
      <c r="M7537" s="27" t="n"/>
      <c r="N7537" s="27" t="n"/>
      <c r="O7537" s="27" t="n"/>
      <c r="P7537" s="27" t="n"/>
      <c r="Q7537" s="27" t="n"/>
      <c r="R7537" s="27" t="n"/>
      <c r="S7537" s="27" t="n"/>
      <c r="T7537" s="27" t="n"/>
    </row>
    <row r="7538" ht="13.8" customFormat="1" customHeight="1" s="70">
      <c r="M7538" s="27" t="n"/>
      <c r="N7538" s="27" t="n"/>
      <c r="O7538" s="27" t="n"/>
      <c r="P7538" s="27" t="n"/>
      <c r="Q7538" s="27" t="n"/>
      <c r="R7538" s="27" t="n"/>
      <c r="S7538" s="27" t="n"/>
      <c r="T7538" s="27" t="n"/>
    </row>
    <row r="7539" ht="13.8" customFormat="1" customHeight="1" s="70">
      <c r="M7539" s="27" t="n"/>
      <c r="N7539" s="27" t="n"/>
      <c r="O7539" s="27" t="n"/>
      <c r="P7539" s="27" t="n"/>
      <c r="Q7539" s="27" t="n"/>
      <c r="R7539" s="27" t="n"/>
      <c r="S7539" s="27" t="n"/>
      <c r="T7539" s="27" t="n"/>
    </row>
    <row r="7540" ht="13.8" customFormat="1" customHeight="1" s="70">
      <c r="M7540" s="27" t="n"/>
      <c r="N7540" s="27" t="n"/>
      <c r="O7540" s="27" t="n"/>
      <c r="P7540" s="27" t="n"/>
      <c r="Q7540" s="27" t="n"/>
      <c r="R7540" s="27" t="n"/>
      <c r="S7540" s="27" t="n"/>
      <c r="T7540" s="27" t="n"/>
    </row>
    <row r="7541" ht="13.8" customFormat="1" customHeight="1" s="70">
      <c r="M7541" s="27" t="n"/>
      <c r="N7541" s="27" t="n"/>
      <c r="O7541" s="27" t="n"/>
      <c r="P7541" s="27" t="n"/>
      <c r="Q7541" s="27" t="n"/>
      <c r="R7541" s="27" t="n"/>
      <c r="S7541" s="27" t="n"/>
      <c r="T7541" s="27" t="n"/>
    </row>
    <row r="7542" ht="13.8" customFormat="1" customHeight="1" s="70">
      <c r="M7542" s="27" t="n"/>
      <c r="N7542" s="27" t="n"/>
      <c r="O7542" s="27" t="n"/>
      <c r="P7542" s="27" t="n"/>
      <c r="Q7542" s="27" t="n"/>
      <c r="R7542" s="27" t="n"/>
      <c r="S7542" s="27" t="n"/>
      <c r="T7542" s="27" t="n"/>
    </row>
    <row r="7543" ht="13.8" customFormat="1" customHeight="1" s="70">
      <c r="M7543" s="27" t="n"/>
      <c r="N7543" s="27" t="n"/>
      <c r="O7543" s="27" t="n"/>
      <c r="P7543" s="27" t="n"/>
      <c r="Q7543" s="27" t="n"/>
      <c r="R7543" s="27" t="n"/>
      <c r="S7543" s="27" t="n"/>
      <c r="T7543" s="27" t="n"/>
    </row>
    <row r="7544" ht="13.8" customFormat="1" customHeight="1" s="70">
      <c r="M7544" s="27" t="n"/>
      <c r="N7544" s="27" t="n"/>
      <c r="O7544" s="27" t="n"/>
      <c r="P7544" s="27" t="n"/>
      <c r="Q7544" s="27" t="n"/>
      <c r="R7544" s="27" t="n"/>
      <c r="S7544" s="27" t="n"/>
      <c r="T7544" s="27" t="n"/>
    </row>
    <row r="7545" ht="13.8" customFormat="1" customHeight="1" s="70">
      <c r="M7545" s="27" t="n"/>
      <c r="N7545" s="27" t="n"/>
      <c r="O7545" s="27" t="n"/>
      <c r="P7545" s="27" t="n"/>
      <c r="Q7545" s="27" t="n"/>
      <c r="R7545" s="27" t="n"/>
      <c r="S7545" s="27" t="n"/>
      <c r="T7545" s="27" t="n"/>
    </row>
    <row r="7546" ht="13.8" customFormat="1" customHeight="1" s="70">
      <c r="M7546" s="27" t="n"/>
      <c r="N7546" s="27" t="n"/>
      <c r="O7546" s="27" t="n"/>
      <c r="P7546" s="27" t="n"/>
      <c r="Q7546" s="27" t="n"/>
      <c r="R7546" s="27" t="n"/>
      <c r="S7546" s="27" t="n"/>
      <c r="T7546" s="27" t="n"/>
    </row>
    <row r="7547" ht="13.8" customFormat="1" customHeight="1" s="70">
      <c r="M7547" s="27" t="n"/>
      <c r="N7547" s="27" t="n"/>
      <c r="O7547" s="27" t="n"/>
      <c r="P7547" s="27" t="n"/>
      <c r="Q7547" s="27" t="n"/>
      <c r="R7547" s="27" t="n"/>
      <c r="S7547" s="27" t="n"/>
      <c r="T7547" s="27" t="n"/>
    </row>
    <row r="7548" ht="13.8" customFormat="1" customHeight="1" s="70">
      <c r="M7548" s="27" t="n"/>
      <c r="N7548" s="27" t="n"/>
      <c r="O7548" s="27" t="n"/>
      <c r="P7548" s="27" t="n"/>
      <c r="Q7548" s="27" t="n"/>
      <c r="R7548" s="27" t="n"/>
      <c r="S7548" s="27" t="n"/>
      <c r="T7548" s="27" t="n"/>
    </row>
    <row r="7549" ht="13.8" customFormat="1" customHeight="1" s="70">
      <c r="M7549" s="27" t="n"/>
      <c r="N7549" s="27" t="n"/>
      <c r="O7549" s="27" t="n"/>
      <c r="P7549" s="27" t="n"/>
      <c r="Q7549" s="27" t="n"/>
      <c r="R7549" s="27" t="n"/>
      <c r="S7549" s="27" t="n"/>
      <c r="T7549" s="27" t="n"/>
    </row>
    <row r="7550" ht="13.8" customFormat="1" customHeight="1" s="70">
      <c r="M7550" s="27" t="n"/>
      <c r="N7550" s="27" t="n"/>
      <c r="O7550" s="27" t="n"/>
      <c r="P7550" s="27" t="n"/>
      <c r="Q7550" s="27" t="n"/>
      <c r="R7550" s="27" t="n"/>
      <c r="S7550" s="27" t="n"/>
      <c r="T7550" s="27" t="n"/>
    </row>
    <row r="7551" ht="13.8" customFormat="1" customHeight="1" s="70">
      <c r="M7551" s="27" t="n"/>
      <c r="N7551" s="27" t="n"/>
      <c r="O7551" s="27" t="n"/>
      <c r="P7551" s="27" t="n"/>
      <c r="Q7551" s="27" t="n"/>
      <c r="R7551" s="27" t="n"/>
      <c r="S7551" s="27" t="n"/>
      <c r="T7551" s="27" t="n"/>
    </row>
    <row r="7552" ht="13.8" customFormat="1" customHeight="1" s="70">
      <c r="M7552" s="27" t="n"/>
      <c r="N7552" s="27" t="n"/>
      <c r="O7552" s="27" t="n"/>
      <c r="P7552" s="27" t="n"/>
      <c r="Q7552" s="27" t="n"/>
      <c r="R7552" s="27" t="n"/>
      <c r="S7552" s="27" t="n"/>
      <c r="T7552" s="27" t="n"/>
    </row>
    <row r="7553" ht="13.8" customFormat="1" customHeight="1" s="70">
      <c r="M7553" s="27" t="n"/>
      <c r="N7553" s="27" t="n"/>
      <c r="O7553" s="27" t="n"/>
      <c r="P7553" s="27" t="n"/>
      <c r="Q7553" s="27" t="n"/>
      <c r="R7553" s="27" t="n"/>
      <c r="S7553" s="27" t="n"/>
      <c r="T7553" s="27" t="n"/>
    </row>
    <row r="7554" ht="13.8" customFormat="1" customHeight="1" s="70">
      <c r="M7554" s="27" t="n"/>
      <c r="N7554" s="27" t="n"/>
      <c r="O7554" s="27" t="n"/>
      <c r="P7554" s="27" t="n"/>
      <c r="Q7554" s="27" t="n"/>
      <c r="R7554" s="27" t="n"/>
      <c r="S7554" s="27" t="n"/>
      <c r="T7554" s="27" t="n"/>
    </row>
    <row r="7555" ht="13.8" customFormat="1" customHeight="1" s="70">
      <c r="M7555" s="27" t="n"/>
      <c r="N7555" s="27" t="n"/>
      <c r="O7555" s="27" t="n"/>
      <c r="P7555" s="27" t="n"/>
      <c r="Q7555" s="27" t="n"/>
      <c r="R7555" s="27" t="n"/>
      <c r="S7555" s="27" t="n"/>
      <c r="T7555" s="27" t="n"/>
    </row>
    <row r="7556" ht="13.8" customFormat="1" customHeight="1" s="70">
      <c r="M7556" s="27" t="n"/>
      <c r="N7556" s="27" t="n"/>
      <c r="O7556" s="27" t="n"/>
      <c r="P7556" s="27" t="n"/>
      <c r="Q7556" s="27" t="n"/>
      <c r="R7556" s="27" t="n"/>
      <c r="S7556" s="27" t="n"/>
      <c r="T7556" s="27" t="n"/>
    </row>
    <row r="7557" ht="13.8" customFormat="1" customHeight="1" s="70">
      <c r="M7557" s="27" t="n"/>
      <c r="N7557" s="27" t="n"/>
      <c r="O7557" s="27" t="n"/>
      <c r="P7557" s="27" t="n"/>
      <c r="Q7557" s="27" t="n"/>
      <c r="R7557" s="27" t="n"/>
      <c r="S7557" s="27" t="n"/>
      <c r="T7557" s="27" t="n"/>
    </row>
    <row r="7558" ht="13.8" customFormat="1" customHeight="1" s="70">
      <c r="M7558" s="27" t="n"/>
      <c r="N7558" s="27" t="n"/>
      <c r="O7558" s="27" t="n"/>
      <c r="P7558" s="27" t="n"/>
      <c r="Q7558" s="27" t="n"/>
      <c r="R7558" s="27" t="n"/>
      <c r="S7558" s="27" t="n"/>
      <c r="T7558" s="27" t="n"/>
    </row>
    <row r="7559" ht="13.8" customFormat="1" customHeight="1" s="70">
      <c r="M7559" s="27" t="n"/>
      <c r="N7559" s="27" t="n"/>
      <c r="O7559" s="27" t="n"/>
      <c r="P7559" s="27" t="n"/>
      <c r="Q7559" s="27" t="n"/>
      <c r="R7559" s="27" t="n"/>
      <c r="S7559" s="27" t="n"/>
      <c r="T7559" s="27" t="n"/>
    </row>
    <row r="7560" ht="13.8" customFormat="1" customHeight="1" s="70">
      <c r="M7560" s="27" t="n"/>
      <c r="N7560" s="27" t="n"/>
      <c r="O7560" s="27" t="n"/>
      <c r="P7560" s="27" t="n"/>
      <c r="Q7560" s="27" t="n"/>
      <c r="R7560" s="27" t="n"/>
      <c r="S7560" s="27" t="n"/>
      <c r="T7560" s="27" t="n"/>
    </row>
    <row r="7561" ht="13.8" customFormat="1" customHeight="1" s="70">
      <c r="M7561" s="27" t="n"/>
      <c r="N7561" s="27" t="n"/>
      <c r="O7561" s="27" t="n"/>
      <c r="P7561" s="27" t="n"/>
      <c r="Q7561" s="27" t="n"/>
      <c r="R7561" s="27" t="n"/>
      <c r="S7561" s="27" t="n"/>
      <c r="T7561" s="27" t="n"/>
    </row>
    <row r="7562" ht="13.8" customFormat="1" customHeight="1" s="70">
      <c r="M7562" s="27" t="n"/>
      <c r="N7562" s="27" t="n"/>
      <c r="O7562" s="27" t="n"/>
      <c r="P7562" s="27" t="n"/>
      <c r="Q7562" s="27" t="n"/>
      <c r="R7562" s="27" t="n"/>
      <c r="S7562" s="27" t="n"/>
      <c r="T7562" s="27" t="n"/>
    </row>
    <row r="7563" ht="13.8" customFormat="1" customHeight="1" s="70">
      <c r="M7563" s="27" t="n"/>
      <c r="N7563" s="27" t="n"/>
      <c r="O7563" s="27" t="n"/>
      <c r="P7563" s="27" t="n"/>
      <c r="Q7563" s="27" t="n"/>
      <c r="R7563" s="27" t="n"/>
      <c r="S7563" s="27" t="n"/>
      <c r="T7563" s="27" t="n"/>
    </row>
    <row r="7564" ht="13.8" customFormat="1" customHeight="1" s="70">
      <c r="M7564" s="27" t="n"/>
      <c r="N7564" s="27" t="n"/>
      <c r="O7564" s="27" t="n"/>
      <c r="P7564" s="27" t="n"/>
      <c r="Q7564" s="27" t="n"/>
      <c r="R7564" s="27" t="n"/>
      <c r="S7564" s="27" t="n"/>
      <c r="T7564" s="27" t="n"/>
    </row>
    <row r="7565" ht="13.8" customFormat="1" customHeight="1" s="70">
      <c r="M7565" s="27" t="n"/>
      <c r="N7565" s="27" t="n"/>
      <c r="O7565" s="27" t="n"/>
      <c r="P7565" s="27" t="n"/>
      <c r="Q7565" s="27" t="n"/>
      <c r="R7565" s="27" t="n"/>
      <c r="S7565" s="27" t="n"/>
      <c r="T7565" s="27" t="n"/>
    </row>
    <row r="7566" ht="13.8" customFormat="1" customHeight="1" s="70">
      <c r="M7566" s="27" t="n"/>
      <c r="N7566" s="27" t="n"/>
      <c r="O7566" s="27" t="n"/>
      <c r="P7566" s="27" t="n"/>
      <c r="Q7566" s="27" t="n"/>
      <c r="R7566" s="27" t="n"/>
      <c r="S7566" s="27" t="n"/>
      <c r="T7566" s="27" t="n"/>
    </row>
    <row r="7567" ht="13.8" customFormat="1" customHeight="1" s="70">
      <c r="M7567" s="27" t="n"/>
      <c r="N7567" s="27" t="n"/>
      <c r="O7567" s="27" t="n"/>
      <c r="P7567" s="27" t="n"/>
      <c r="Q7567" s="27" t="n"/>
      <c r="R7567" s="27" t="n"/>
      <c r="S7567" s="27" t="n"/>
      <c r="T7567" s="27" t="n"/>
    </row>
    <row r="7568" ht="13.8" customFormat="1" customHeight="1" s="70">
      <c r="M7568" s="27" t="n"/>
      <c r="N7568" s="27" t="n"/>
      <c r="O7568" s="27" t="n"/>
      <c r="P7568" s="27" t="n"/>
      <c r="Q7568" s="27" t="n"/>
      <c r="R7568" s="27" t="n"/>
      <c r="S7568" s="27" t="n"/>
      <c r="T7568" s="27" t="n"/>
    </row>
    <row r="7569" ht="13.8" customFormat="1" customHeight="1" s="70">
      <c r="M7569" s="27" t="n"/>
      <c r="N7569" s="27" t="n"/>
      <c r="O7569" s="27" t="n"/>
      <c r="P7569" s="27" t="n"/>
      <c r="Q7569" s="27" t="n"/>
      <c r="R7569" s="27" t="n"/>
      <c r="S7569" s="27" t="n"/>
      <c r="T7569" s="27" t="n"/>
    </row>
    <row r="7570" ht="13.8" customFormat="1" customHeight="1" s="70">
      <c r="M7570" s="27" t="n"/>
      <c r="N7570" s="27" t="n"/>
      <c r="O7570" s="27" t="n"/>
      <c r="P7570" s="27" t="n"/>
      <c r="Q7570" s="27" t="n"/>
      <c r="R7570" s="27" t="n"/>
      <c r="S7570" s="27" t="n"/>
      <c r="T7570" s="27" t="n"/>
    </row>
    <row r="7571" ht="13.8" customFormat="1" customHeight="1" s="70">
      <c r="M7571" s="27" t="n"/>
      <c r="N7571" s="27" t="n"/>
      <c r="O7571" s="27" t="n"/>
      <c r="P7571" s="27" t="n"/>
      <c r="Q7571" s="27" t="n"/>
      <c r="R7571" s="27" t="n"/>
      <c r="S7571" s="27" t="n"/>
      <c r="T7571" s="27" t="n"/>
    </row>
    <row r="7572" ht="13.8" customFormat="1" customHeight="1" s="70">
      <c r="M7572" s="27" t="n"/>
      <c r="N7572" s="27" t="n"/>
      <c r="O7572" s="27" t="n"/>
      <c r="P7572" s="27" t="n"/>
      <c r="Q7572" s="27" t="n"/>
      <c r="R7572" s="27" t="n"/>
      <c r="S7572" s="27" t="n"/>
      <c r="T7572" s="27" t="n"/>
    </row>
    <row r="7573" ht="13.8" customFormat="1" customHeight="1" s="70">
      <c r="M7573" s="27" t="n"/>
      <c r="N7573" s="27" t="n"/>
      <c r="O7573" s="27" t="n"/>
      <c r="P7573" s="27" t="n"/>
      <c r="Q7573" s="27" t="n"/>
      <c r="R7573" s="27" t="n"/>
      <c r="S7573" s="27" t="n"/>
      <c r="T7573" s="27" t="n"/>
    </row>
    <row r="7574" ht="13.8" customFormat="1" customHeight="1" s="70">
      <c r="M7574" s="27" t="n"/>
      <c r="N7574" s="27" t="n"/>
      <c r="O7574" s="27" t="n"/>
      <c r="P7574" s="27" t="n"/>
      <c r="Q7574" s="27" t="n"/>
      <c r="R7574" s="27" t="n"/>
      <c r="S7574" s="27" t="n"/>
      <c r="T7574" s="27" t="n"/>
    </row>
    <row r="7575" ht="13.8" customFormat="1" customHeight="1" s="70">
      <c r="M7575" s="27" t="n"/>
      <c r="N7575" s="27" t="n"/>
      <c r="O7575" s="27" t="n"/>
      <c r="P7575" s="27" t="n"/>
      <c r="Q7575" s="27" t="n"/>
      <c r="R7575" s="27" t="n"/>
      <c r="S7575" s="27" t="n"/>
      <c r="T7575" s="27" t="n"/>
    </row>
    <row r="7576" ht="13.8" customFormat="1" customHeight="1" s="70">
      <c r="M7576" s="27" t="n"/>
      <c r="N7576" s="27" t="n"/>
      <c r="O7576" s="27" t="n"/>
      <c r="P7576" s="27" t="n"/>
      <c r="Q7576" s="27" t="n"/>
      <c r="R7576" s="27" t="n"/>
      <c r="S7576" s="27" t="n"/>
      <c r="T7576" s="27" t="n"/>
    </row>
    <row r="7577" ht="13.8" customFormat="1" customHeight="1" s="70">
      <c r="M7577" s="27" t="n"/>
      <c r="N7577" s="27" t="n"/>
      <c r="O7577" s="27" t="n"/>
      <c r="P7577" s="27" t="n"/>
      <c r="Q7577" s="27" t="n"/>
      <c r="R7577" s="27" t="n"/>
      <c r="S7577" s="27" t="n"/>
      <c r="T7577" s="27" t="n"/>
    </row>
    <row r="7578" ht="13.8" customFormat="1" customHeight="1" s="70">
      <c r="M7578" s="27" t="n"/>
      <c r="N7578" s="27" t="n"/>
      <c r="O7578" s="27" t="n"/>
      <c r="P7578" s="27" t="n"/>
      <c r="Q7578" s="27" t="n"/>
      <c r="R7578" s="27" t="n"/>
      <c r="S7578" s="27" t="n"/>
      <c r="T7578" s="27" t="n"/>
    </row>
    <row r="7579" ht="13.8" customFormat="1" customHeight="1" s="70">
      <c r="M7579" s="27" t="n"/>
      <c r="N7579" s="27" t="n"/>
      <c r="O7579" s="27" t="n"/>
      <c r="P7579" s="27" t="n"/>
      <c r="Q7579" s="27" t="n"/>
      <c r="R7579" s="27" t="n"/>
      <c r="S7579" s="27" t="n"/>
      <c r="T7579" s="27" t="n"/>
    </row>
    <row r="7580" ht="13.8" customFormat="1" customHeight="1" s="70">
      <c r="M7580" s="27" t="n"/>
      <c r="N7580" s="27" t="n"/>
      <c r="O7580" s="27" t="n"/>
      <c r="P7580" s="27" t="n"/>
      <c r="Q7580" s="27" t="n"/>
      <c r="R7580" s="27" t="n"/>
      <c r="S7580" s="27" t="n"/>
      <c r="T7580" s="27" t="n"/>
    </row>
    <row r="7581" ht="13.8" customFormat="1" customHeight="1" s="70">
      <c r="M7581" s="27" t="n"/>
      <c r="N7581" s="27" t="n"/>
      <c r="O7581" s="27" t="n"/>
      <c r="P7581" s="27" t="n"/>
      <c r="Q7581" s="27" t="n"/>
      <c r="R7581" s="27" t="n"/>
      <c r="S7581" s="27" t="n"/>
      <c r="T7581" s="27" t="n"/>
    </row>
    <row r="7582" ht="13.8" customFormat="1" customHeight="1" s="70">
      <c r="M7582" s="27" t="n"/>
      <c r="N7582" s="27" t="n"/>
      <c r="O7582" s="27" t="n"/>
      <c r="P7582" s="27" t="n"/>
      <c r="Q7582" s="27" t="n"/>
      <c r="R7582" s="27" t="n"/>
      <c r="S7582" s="27" t="n"/>
      <c r="T7582" s="27" t="n"/>
    </row>
    <row r="7583" ht="13.8" customFormat="1" customHeight="1" s="70">
      <c r="M7583" s="27" t="n"/>
      <c r="N7583" s="27" t="n"/>
      <c r="O7583" s="27" t="n"/>
      <c r="P7583" s="27" t="n"/>
      <c r="Q7583" s="27" t="n"/>
      <c r="R7583" s="27" t="n"/>
      <c r="S7583" s="27" t="n"/>
      <c r="T7583" s="27" t="n"/>
    </row>
    <row r="7584" ht="13.8" customFormat="1" customHeight="1" s="70">
      <c r="M7584" s="27" t="n"/>
      <c r="N7584" s="27" t="n"/>
      <c r="O7584" s="27" t="n"/>
      <c r="P7584" s="27" t="n"/>
      <c r="Q7584" s="27" t="n"/>
      <c r="R7584" s="27" t="n"/>
      <c r="S7584" s="27" t="n"/>
      <c r="T7584" s="27" t="n"/>
    </row>
    <row r="7585" ht="13.8" customFormat="1" customHeight="1" s="70">
      <c r="M7585" s="27" t="n"/>
      <c r="N7585" s="27" t="n"/>
      <c r="O7585" s="27" t="n"/>
      <c r="P7585" s="27" t="n"/>
      <c r="Q7585" s="27" t="n"/>
      <c r="R7585" s="27" t="n"/>
      <c r="S7585" s="27" t="n"/>
      <c r="T7585" s="27" t="n"/>
    </row>
    <row r="7586" ht="13.8" customFormat="1" customHeight="1" s="70">
      <c r="M7586" s="27" t="n"/>
      <c r="N7586" s="27" t="n"/>
      <c r="O7586" s="27" t="n"/>
      <c r="P7586" s="27" t="n"/>
      <c r="Q7586" s="27" t="n"/>
      <c r="R7586" s="27" t="n"/>
      <c r="S7586" s="27" t="n"/>
      <c r="T7586" s="27" t="n"/>
    </row>
    <row r="7587" ht="13.8" customFormat="1" customHeight="1" s="70">
      <c r="M7587" s="27" t="n"/>
      <c r="N7587" s="27" t="n"/>
      <c r="O7587" s="27" t="n"/>
      <c r="P7587" s="27" t="n"/>
      <c r="Q7587" s="27" t="n"/>
      <c r="R7587" s="27" t="n"/>
      <c r="S7587" s="27" t="n"/>
      <c r="T7587" s="27" t="n"/>
    </row>
    <row r="7588" ht="13.8" customFormat="1" customHeight="1" s="70">
      <c r="M7588" s="27" t="n"/>
      <c r="N7588" s="27" t="n"/>
      <c r="O7588" s="27" t="n"/>
      <c r="P7588" s="27" t="n"/>
      <c r="Q7588" s="27" t="n"/>
      <c r="R7588" s="27" t="n"/>
      <c r="S7588" s="27" t="n"/>
      <c r="T7588" s="27" t="n"/>
    </row>
    <row r="7589" ht="13.8" customFormat="1" customHeight="1" s="70">
      <c r="M7589" s="27" t="n"/>
      <c r="N7589" s="27" t="n"/>
      <c r="O7589" s="27" t="n"/>
      <c r="P7589" s="27" t="n"/>
      <c r="Q7589" s="27" t="n"/>
      <c r="R7589" s="27" t="n"/>
      <c r="S7589" s="27" t="n"/>
      <c r="T7589" s="27" t="n"/>
    </row>
    <row r="7590" ht="13.8" customFormat="1" customHeight="1" s="70">
      <c r="M7590" s="27" t="n"/>
      <c r="N7590" s="27" t="n"/>
      <c r="O7590" s="27" t="n"/>
      <c r="P7590" s="27" t="n"/>
      <c r="Q7590" s="27" t="n"/>
      <c r="R7590" s="27" t="n"/>
      <c r="S7590" s="27" t="n"/>
      <c r="T7590" s="27" t="n"/>
    </row>
    <row r="7591" ht="13.8" customFormat="1" customHeight="1" s="70">
      <c r="M7591" s="27" t="n"/>
      <c r="N7591" s="27" t="n"/>
      <c r="O7591" s="27" t="n"/>
      <c r="P7591" s="27" t="n"/>
      <c r="Q7591" s="27" t="n"/>
      <c r="R7591" s="27" t="n"/>
      <c r="S7591" s="27" t="n"/>
      <c r="T7591" s="27" t="n"/>
    </row>
  </sheetData>
  <dataValidations count="2">
    <dataValidation sqref="C37" showDropDown="0" showInputMessage="1" showErrorMessage="1" allowBlank="1" type="list">
      <formula1>"1,2,3,4,5,6,7,8"</formula1>
    </dataValidation>
    <dataValidation sqref="E46" showDropDown="0" showInputMessage="1" showErrorMessage="1" allowBlank="1" type="list">
      <formula1>"1a,1b,1c,2,3,4,5,6,7,8,9,10,11"</formula1>
    </dataValidation>
  </dataValidations>
  <hyperlinks>
    <hyperlink xmlns:r="http://schemas.openxmlformats.org/officeDocument/2006/relationships" ref="B13" r:id="rId1"/>
    <hyperlink xmlns:r="http://schemas.openxmlformats.org/officeDocument/2006/relationships" ref="F59" r:id="rId2"/>
  </hyperlinks>
  <pageMargins left="0.4724409448818898" right="0.2362204724409449" top="0.3149606299212598" bottom="0.984251968503937" header="0.4330708661417323" footer="0.5905511811023623"/>
  <pageSetup orientation="portrait" horizontalDpi="300"/>
  <headerFooter alignWithMargins="0">
    <oddHeader/>
    <oddFooter>&amp;C&amp;"Arial,Bold"ABBOTT AEROSPACE INC. PROPRIETARY INFORMATION&amp;"Arial,Regular"_x000a_Subject to restrictions on the cover or first page</oddFooter>
    <evenHeader/>
    <evenFooter/>
    <firstHeader/>
    <firstFooter/>
  </headerFooter>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www.abbottaerospace.com;Microsoft Corporation</dc:creator>
  <dc:description xmlns:dc="http://purl.org/dc/elements/1.1/">N/A</dc:description>
  <dc:subject xmlns:dc="http://purl.org/dc/elements/1.1/">Standard Methods</dc:subject>
  <dcterms:created xmlns:dcterms="http://purl.org/dc/terms/" xmlns:xsi="http://www.w3.org/2001/XMLSchema-instance" xsi:type="dcterms:W3CDTF">1996-10-14T23:33:28Z</dcterms:created>
  <dcterms:modified xmlns:dcterms="http://purl.org/dc/terms/" xmlns:xsi="http://www.w3.org/2001/XMLSchema-instance" xsi:type="dcterms:W3CDTF">2026-07-25T06:53:26Z</dcterms:modified>
  <cp:lastModifiedBy>Richard Abbott</cp:lastModifiedBy>
  <cp:category>Engineering Spreadsheets</cp:category>
  <cp:keywords>Stress; Structures; Analysis</cp:keywords>
  <cp:lastPrinted>2015-12-08T01:49:30Z</cp:lastPrinted>
</cp:coreProperties>
</file>